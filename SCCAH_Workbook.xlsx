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B38E2510-1E14-4EB1-B196-E215E4708BBD}" xr6:coauthVersionLast="47" xr6:coauthVersionMax="47" xr10:uidLastSave="{00000000-0000-0000-0000-000000000000}"/>
  <bookViews>
    <workbookView xWindow="0" yWindow="0" windowWidth="0" windowHeight="0" firstSheet="3" activeTab="2" xr2:uid="{00000000-000D-0000-FFFF-FFFF00000000}"/>
  </bookViews>
  <sheets>
    <sheet name="README" sheetId="1" r:id="rId1"/>
    <sheet name="Controlled_Vocabulary" sheetId="2" r:id="rId2"/>
    <sheet name="Sources_Log" sheetId="3" r:id="rId3"/>
    <sheet name="Evidence_Items" sheetId="4" r:id="rId4"/>
    <sheet name="Edges_Summary" sheetId="5" r:id="rId5"/>
    <sheet name="Sensitivity_Passe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qn+gj0JDj71z7XQx3T/FD/OGdyuapM2wUbuZta1RUSk="/>
    </ext>
  </extLst>
</workbook>
</file>

<file path=xl/calcChain.xml><?xml version="1.0" encoding="utf-8"?>
<calcChain xmlns="http://schemas.openxmlformats.org/spreadsheetml/2006/main">
  <c r="I17" i="6" l="1"/>
  <c r="I16" i="6"/>
  <c r="I15" i="6"/>
  <c r="I14" i="6"/>
  <c r="I13" i="6"/>
  <c r="I12" i="6"/>
  <c r="I11" i="6"/>
  <c r="I10" i="6"/>
  <c r="I9" i="6"/>
  <c r="I8" i="6"/>
  <c r="I7" i="6"/>
  <c r="I6" i="6"/>
  <c r="I5" i="6"/>
  <c r="N82" i="5"/>
  <c r="H82" i="5"/>
  <c r="G82" i="5"/>
  <c r="F82" i="5"/>
  <c r="J82" i="5" s="1"/>
  <c r="E82" i="5"/>
  <c r="D82" i="5"/>
  <c r="K82" i="5" s="1"/>
  <c r="N81" i="5"/>
  <c r="K81" i="5"/>
  <c r="J81" i="5"/>
  <c r="I81" i="5"/>
  <c r="H81" i="5"/>
  <c r="G81" i="5"/>
  <c r="F81" i="5"/>
  <c r="E81" i="5"/>
  <c r="D81" i="5"/>
  <c r="N80" i="5"/>
  <c r="M80" i="5" a="1"/>
  <c r="M80" i="5"/>
  <c r="L80" i="5" a="1"/>
  <c r="L80" i="5"/>
  <c r="K80" i="5"/>
  <c r="J80" i="5"/>
  <c r="I80" i="5"/>
  <c r="H80" i="5"/>
  <c r="G80" i="5"/>
  <c r="F80" i="5"/>
  <c r="E80" i="5"/>
  <c r="D80" i="5"/>
  <c r="N79" i="5"/>
  <c r="M79" i="5" a="1"/>
  <c r="M79" i="5"/>
  <c r="L79" i="5" a="1"/>
  <c r="L79" i="5"/>
  <c r="K79" i="5"/>
  <c r="J79" i="5"/>
  <c r="I79" i="5"/>
  <c r="H79" i="5"/>
  <c r="G79" i="5"/>
  <c r="F79" i="5"/>
  <c r="E79" i="5"/>
  <c r="D79" i="5"/>
  <c r="N78" i="5"/>
  <c r="K78" i="5"/>
  <c r="J78" i="5"/>
  <c r="I78" i="5"/>
  <c r="H78" i="5"/>
  <c r="G78" i="5"/>
  <c r="F78" i="5"/>
  <c r="E78" i="5"/>
  <c r="D78" i="5"/>
  <c r="N77" i="5"/>
  <c r="K77" i="5"/>
  <c r="F17" i="6" s="1"/>
  <c r="J77" i="5"/>
  <c r="D17" i="6" s="1"/>
  <c r="I77" i="5"/>
  <c r="H77" i="5"/>
  <c r="G77" i="5"/>
  <c r="F77" i="5"/>
  <c r="E77" i="5"/>
  <c r="B17" i="6" s="1"/>
  <c r="D77" i="5"/>
  <c r="N76" i="5"/>
  <c r="M76" i="5" a="1"/>
  <c r="M76" i="5"/>
  <c r="L76" i="5" a="1"/>
  <c r="L76" i="5"/>
  <c r="K76" i="5"/>
  <c r="J76" i="5"/>
  <c r="I76" i="5"/>
  <c r="H76" i="5"/>
  <c r="G76" i="5"/>
  <c r="F76" i="5"/>
  <c r="E76" i="5"/>
  <c r="D76" i="5"/>
  <c r="N75" i="5"/>
  <c r="M75" i="5" a="1"/>
  <c r="M75" i="5"/>
  <c r="L75" i="5" a="1"/>
  <c r="L75" i="5"/>
  <c r="K75" i="5"/>
  <c r="J75" i="5"/>
  <c r="I75" i="5"/>
  <c r="H75" i="5"/>
  <c r="G75" i="5"/>
  <c r="F75" i="5"/>
  <c r="E75" i="5"/>
  <c r="D75" i="5"/>
  <c r="N74" i="5"/>
  <c r="H74" i="5"/>
  <c r="G74" i="5"/>
  <c r="F74" i="5"/>
  <c r="J74" i="5" s="1"/>
  <c r="E74" i="5"/>
  <c r="D74" i="5"/>
  <c r="N73" i="5"/>
  <c r="H73" i="5"/>
  <c r="G73" i="5"/>
  <c r="J73" i="5" s="1"/>
  <c r="F73" i="5"/>
  <c r="E73" i="5"/>
  <c r="D73" i="5"/>
  <c r="K73" i="5" s="1"/>
  <c r="N72" i="5"/>
  <c r="H72" i="5"/>
  <c r="G72" i="5"/>
  <c r="F72" i="5"/>
  <c r="J72" i="5" s="1"/>
  <c r="E72" i="5"/>
  <c r="D72" i="5"/>
  <c r="K72" i="5" s="1"/>
  <c r="N71" i="5"/>
  <c r="M71" i="5" a="1"/>
  <c r="M71" i="5"/>
  <c r="L71" i="5" a="1"/>
  <c r="L71" i="5"/>
  <c r="K71" i="5"/>
  <c r="J71" i="5"/>
  <c r="D16" i="6" s="1"/>
  <c r="I71" i="5"/>
  <c r="H71" i="5"/>
  <c r="G71" i="5"/>
  <c r="F71" i="5"/>
  <c r="E71" i="5"/>
  <c r="B16" i="6" s="1"/>
  <c r="D71" i="5"/>
  <c r="N70" i="5"/>
  <c r="M70" i="5" a="1"/>
  <c r="M70" i="5"/>
  <c r="L70" i="5" a="1"/>
  <c r="L70" i="5"/>
  <c r="K70" i="5"/>
  <c r="J70" i="5"/>
  <c r="I70" i="5"/>
  <c r="H70" i="5"/>
  <c r="G70" i="5"/>
  <c r="F70" i="5"/>
  <c r="E70" i="5"/>
  <c r="D70" i="5"/>
  <c r="N69" i="5"/>
  <c r="K69" i="5"/>
  <c r="J69" i="5"/>
  <c r="I69" i="5"/>
  <c r="H69" i="5"/>
  <c r="G69" i="5"/>
  <c r="F69" i="5"/>
  <c r="E69" i="5"/>
  <c r="D69" i="5"/>
  <c r="N68" i="5"/>
  <c r="K68" i="5"/>
  <c r="J68" i="5"/>
  <c r="I68" i="5"/>
  <c r="H68" i="5"/>
  <c r="G68" i="5"/>
  <c r="F68" i="5"/>
  <c r="E68" i="5"/>
  <c r="D68" i="5"/>
  <c r="N67" i="5"/>
  <c r="M67" i="5" a="1"/>
  <c r="M67" i="5"/>
  <c r="L67" i="5" a="1"/>
  <c r="L67" i="5"/>
  <c r="K67" i="5"/>
  <c r="J67" i="5"/>
  <c r="I67" i="5"/>
  <c r="H67" i="5"/>
  <c r="G67" i="5"/>
  <c r="F67" i="5"/>
  <c r="E67" i="5"/>
  <c r="D67" i="5"/>
  <c r="N66" i="5"/>
  <c r="K66" i="5"/>
  <c r="J66" i="5"/>
  <c r="I66" i="5"/>
  <c r="H66" i="5"/>
  <c r="G66" i="5"/>
  <c r="F66" i="5"/>
  <c r="E66" i="5"/>
  <c r="D66" i="5"/>
  <c r="N65" i="5"/>
  <c r="M65" i="5" a="1"/>
  <c r="M65" i="5"/>
  <c r="L65" i="5" a="1"/>
  <c r="L65" i="5"/>
  <c r="K65" i="5"/>
  <c r="F15" i="6" s="1"/>
  <c r="J65" i="5"/>
  <c r="D15" i="6" s="1"/>
  <c r="I65" i="5"/>
  <c r="H65" i="5"/>
  <c r="G65" i="5"/>
  <c r="F65" i="5"/>
  <c r="E65" i="5"/>
  <c r="B15" i="6" s="1"/>
  <c r="D65" i="5"/>
  <c r="N64" i="5"/>
  <c r="M64" i="5" a="1"/>
  <c r="M64" i="5"/>
  <c r="L64" i="5" a="1"/>
  <c r="L64" i="5"/>
  <c r="K64" i="5"/>
  <c r="J64" i="5"/>
  <c r="I64" i="5"/>
  <c r="H64" i="5"/>
  <c r="G64" i="5"/>
  <c r="F64" i="5"/>
  <c r="E64" i="5"/>
  <c r="D64" i="5"/>
  <c r="N63" i="5"/>
  <c r="K63" i="5"/>
  <c r="J63" i="5"/>
  <c r="I63" i="5"/>
  <c r="H63" i="5"/>
  <c r="G63" i="5"/>
  <c r="F63" i="5"/>
  <c r="E63" i="5"/>
  <c r="D63" i="5"/>
  <c r="N62" i="5"/>
  <c r="M62" i="5" a="1"/>
  <c r="M62" i="5"/>
  <c r="L62" i="5" a="1"/>
  <c r="L62" i="5"/>
  <c r="K62" i="5"/>
  <c r="J62" i="5"/>
  <c r="I62" i="5"/>
  <c r="H62" i="5"/>
  <c r="G62" i="5"/>
  <c r="F62" i="5"/>
  <c r="E62" i="5"/>
  <c r="D62" i="5"/>
  <c r="N61" i="5"/>
  <c r="K61" i="5"/>
  <c r="J61" i="5"/>
  <c r="I61" i="5"/>
  <c r="H61" i="5"/>
  <c r="G61" i="5"/>
  <c r="F61" i="5"/>
  <c r="E61" i="5"/>
  <c r="D61" i="5"/>
  <c r="N60" i="5"/>
  <c r="K60" i="5"/>
  <c r="J60" i="5"/>
  <c r="I60" i="5"/>
  <c r="H60" i="5"/>
  <c r="G60" i="5"/>
  <c r="F60" i="5"/>
  <c r="E60" i="5"/>
  <c r="D60" i="5"/>
  <c r="N59" i="5"/>
  <c r="M59" i="5" a="1"/>
  <c r="M59" i="5"/>
  <c r="L59" i="5" a="1"/>
  <c r="L59" i="5"/>
  <c r="K59" i="5"/>
  <c r="F14" i="6" s="1"/>
  <c r="J59" i="5"/>
  <c r="D14" i="6" s="1"/>
  <c r="I59" i="5"/>
  <c r="H59" i="5"/>
  <c r="G59" i="5"/>
  <c r="F59" i="5"/>
  <c r="E59" i="5"/>
  <c r="B14" i="6" s="1"/>
  <c r="D59" i="5"/>
  <c r="N58" i="5"/>
  <c r="K58" i="5"/>
  <c r="J58" i="5"/>
  <c r="I58" i="5"/>
  <c r="H58" i="5"/>
  <c r="G58" i="5"/>
  <c r="F58" i="5"/>
  <c r="E58" i="5"/>
  <c r="D58" i="5"/>
  <c r="N57" i="5"/>
  <c r="K57" i="5"/>
  <c r="J57" i="5"/>
  <c r="I57" i="5"/>
  <c r="H57" i="5"/>
  <c r="G57" i="5"/>
  <c r="F57" i="5"/>
  <c r="E57" i="5"/>
  <c r="D57" i="5"/>
  <c r="N56" i="5"/>
  <c r="M56" i="5" a="1"/>
  <c r="M56" i="5"/>
  <c r="L56" i="5" a="1"/>
  <c r="L56" i="5"/>
  <c r="K56" i="5"/>
  <c r="J56" i="5"/>
  <c r="I56" i="5"/>
  <c r="H56" i="5"/>
  <c r="G56" i="5"/>
  <c r="F56" i="5"/>
  <c r="E56" i="5"/>
  <c r="D56" i="5"/>
  <c r="N55" i="5"/>
  <c r="M55" i="5" a="1"/>
  <c r="M55" i="5"/>
  <c r="L55" i="5" a="1"/>
  <c r="L55" i="5"/>
  <c r="K55" i="5"/>
  <c r="J55" i="5"/>
  <c r="I55" i="5"/>
  <c r="H55" i="5"/>
  <c r="G55" i="5"/>
  <c r="F55" i="5"/>
  <c r="E55" i="5"/>
  <c r="D55" i="5"/>
  <c r="N54" i="5"/>
  <c r="M54" i="5" a="1"/>
  <c r="M54" i="5"/>
  <c r="L54" i="5" a="1"/>
  <c r="L54" i="5"/>
  <c r="K54" i="5"/>
  <c r="J54" i="5"/>
  <c r="I54" i="5"/>
  <c r="H54" i="5"/>
  <c r="G54" i="5"/>
  <c r="F54" i="5"/>
  <c r="E54" i="5"/>
  <c r="D54" i="5"/>
  <c r="N53" i="5"/>
  <c r="K53" i="5"/>
  <c r="F13" i="6" s="1"/>
  <c r="J53" i="5"/>
  <c r="D13" i="6" s="1"/>
  <c r="I53" i="5"/>
  <c r="H53" i="5"/>
  <c r="G53" i="5"/>
  <c r="F53" i="5"/>
  <c r="E53" i="5"/>
  <c r="B13" i="6" s="1"/>
  <c r="D53" i="5"/>
  <c r="N52" i="5"/>
  <c r="M52" i="5" a="1"/>
  <c r="M52" i="5"/>
  <c r="L52" i="5" a="1"/>
  <c r="L52" i="5"/>
  <c r="K52" i="5"/>
  <c r="J52" i="5"/>
  <c r="I52" i="5"/>
  <c r="H52" i="5"/>
  <c r="G52" i="5"/>
  <c r="F52" i="5"/>
  <c r="E52" i="5"/>
  <c r="D52" i="5"/>
  <c r="N51" i="5"/>
  <c r="K51" i="5"/>
  <c r="J51" i="5"/>
  <c r="I51" i="5"/>
  <c r="H51" i="5"/>
  <c r="G51" i="5"/>
  <c r="F51" i="5"/>
  <c r="E51" i="5"/>
  <c r="D51" i="5"/>
  <c r="N50" i="5"/>
  <c r="K50" i="5"/>
  <c r="J50" i="5"/>
  <c r="I50" i="5"/>
  <c r="H50" i="5"/>
  <c r="G50" i="5"/>
  <c r="F50" i="5"/>
  <c r="E50" i="5"/>
  <c r="D50" i="5"/>
  <c r="N49" i="5"/>
  <c r="K49" i="5"/>
  <c r="J49" i="5"/>
  <c r="I49" i="5"/>
  <c r="H49" i="5"/>
  <c r="G49" i="5"/>
  <c r="F49" i="5"/>
  <c r="E49" i="5"/>
  <c r="D49" i="5"/>
  <c r="N48" i="5"/>
  <c r="K48" i="5"/>
  <c r="J48" i="5"/>
  <c r="I48" i="5"/>
  <c r="H48" i="5"/>
  <c r="G48" i="5"/>
  <c r="F48" i="5"/>
  <c r="E48" i="5"/>
  <c r="D48" i="5"/>
  <c r="N47" i="5"/>
  <c r="M47" i="5" a="1"/>
  <c r="M47" i="5"/>
  <c r="L47" i="5" a="1"/>
  <c r="L47" i="5"/>
  <c r="K47" i="5"/>
  <c r="F12" i="6" s="1"/>
  <c r="J47" i="5"/>
  <c r="I47" i="5"/>
  <c r="H47" i="5"/>
  <c r="G47" i="5"/>
  <c r="F47" i="5"/>
  <c r="E47" i="5"/>
  <c r="B12" i="6" s="1"/>
  <c r="D47" i="5"/>
  <c r="N46" i="5"/>
  <c r="M46" i="5" a="1"/>
  <c r="M46" i="5"/>
  <c r="L46" i="5" a="1"/>
  <c r="L46" i="5"/>
  <c r="K46" i="5"/>
  <c r="I46" i="5"/>
  <c r="H46" i="5"/>
  <c r="G46" i="5"/>
  <c r="F46" i="5"/>
  <c r="J46" i="5" s="1"/>
  <c r="E46" i="5"/>
  <c r="D46" i="5"/>
  <c r="N45" i="5"/>
  <c r="H45" i="5"/>
  <c r="G45" i="5"/>
  <c r="J45" i="5" s="1"/>
  <c r="F45" i="5"/>
  <c r="E45" i="5"/>
  <c r="D45" i="5"/>
  <c r="I45" i="5" s="1"/>
  <c r="N44" i="5"/>
  <c r="H44" i="5"/>
  <c r="G44" i="5"/>
  <c r="J44" i="5" s="1"/>
  <c r="F44" i="5"/>
  <c r="E44" i="5"/>
  <c r="I44" i="5" s="1"/>
  <c r="D44" i="5"/>
  <c r="K44" i="5" s="1"/>
  <c r="N43" i="5"/>
  <c r="K43" i="5"/>
  <c r="I43" i="5"/>
  <c r="H43" i="5"/>
  <c r="G43" i="5"/>
  <c r="F43" i="5"/>
  <c r="J43" i="5" s="1"/>
  <c r="E43" i="5"/>
  <c r="D43" i="5"/>
  <c r="N42" i="5"/>
  <c r="M42" i="5" a="1"/>
  <c r="M42" i="5" s="1"/>
  <c r="L42" i="5" a="1"/>
  <c r="L42" i="5" s="1"/>
  <c r="H42" i="5"/>
  <c r="G42" i="5"/>
  <c r="J42" i="5" s="1"/>
  <c r="F42" i="5"/>
  <c r="E42" i="5"/>
  <c r="D42" i="5"/>
  <c r="I42" i="5" s="1"/>
  <c r="N41" i="5"/>
  <c r="M41" i="5" a="1"/>
  <c r="M41" i="5"/>
  <c r="L41" i="5" a="1"/>
  <c r="L41" i="5" s="1"/>
  <c r="H41" i="5"/>
  <c r="G41" i="5"/>
  <c r="J41" i="5" s="1"/>
  <c r="D11" i="6" s="1"/>
  <c r="F41" i="5"/>
  <c r="E41" i="5"/>
  <c r="B11" i="6" s="1"/>
  <c r="D41" i="5"/>
  <c r="K41" i="5" s="1"/>
  <c r="N40" i="5"/>
  <c r="K40" i="5"/>
  <c r="I40" i="5"/>
  <c r="H40" i="5"/>
  <c r="G40" i="5"/>
  <c r="F40" i="5"/>
  <c r="J40" i="5" s="1"/>
  <c r="E40" i="5"/>
  <c r="D40" i="5"/>
  <c r="N39" i="5"/>
  <c r="M39" i="5" a="1"/>
  <c r="M39" i="5" s="1"/>
  <c r="L39" i="5" a="1"/>
  <c r="L39" i="5" s="1"/>
  <c r="H39" i="5"/>
  <c r="G39" i="5"/>
  <c r="J39" i="5" s="1"/>
  <c r="F39" i="5"/>
  <c r="E39" i="5"/>
  <c r="D39" i="5"/>
  <c r="I39" i="5" s="1"/>
  <c r="N38" i="5"/>
  <c r="M38" i="5" a="1"/>
  <c r="M38" i="5"/>
  <c r="L38" i="5" a="1"/>
  <c r="L38" i="5" s="1"/>
  <c r="H38" i="5"/>
  <c r="G38" i="5"/>
  <c r="J38" i="5" s="1"/>
  <c r="F38" i="5"/>
  <c r="E38" i="5"/>
  <c r="I38" i="5" s="1"/>
  <c r="D38" i="5"/>
  <c r="K38" i="5" s="1"/>
  <c r="N37" i="5"/>
  <c r="M37" i="5" a="1"/>
  <c r="M37" i="5" s="1"/>
  <c r="L37" i="5" a="1"/>
  <c r="L37" i="5"/>
  <c r="K37" i="5"/>
  <c r="I37" i="5"/>
  <c r="H37" i="5"/>
  <c r="G37" i="5"/>
  <c r="F37" i="5"/>
  <c r="J37" i="5" s="1"/>
  <c r="E37" i="5"/>
  <c r="D37" i="5"/>
  <c r="N36" i="5"/>
  <c r="M36" i="5" a="1"/>
  <c r="M36" i="5" s="1"/>
  <c r="L36" i="5" a="1"/>
  <c r="L36" i="5" s="1"/>
  <c r="H36" i="5"/>
  <c r="G36" i="5"/>
  <c r="J36" i="5" s="1"/>
  <c r="F36" i="5"/>
  <c r="E36" i="5"/>
  <c r="D36" i="5"/>
  <c r="I36" i="5" s="1"/>
  <c r="N35" i="5"/>
  <c r="M35" i="5" a="1"/>
  <c r="M35" i="5"/>
  <c r="L35" i="5" a="1"/>
  <c r="L35" i="5" s="1"/>
  <c r="H35" i="5"/>
  <c r="G35" i="5"/>
  <c r="J35" i="5" s="1"/>
  <c r="D10" i="6" s="1"/>
  <c r="F35" i="5"/>
  <c r="E35" i="5"/>
  <c r="B10" i="6" s="1"/>
  <c r="D35" i="5"/>
  <c r="K35" i="5" s="1"/>
  <c r="N34" i="5"/>
  <c r="M34" i="5" a="1"/>
  <c r="M34" i="5"/>
  <c r="L34" i="5" a="1"/>
  <c r="L34" i="5"/>
  <c r="K34" i="5"/>
  <c r="H34" i="5"/>
  <c r="G34" i="5"/>
  <c r="F34" i="5"/>
  <c r="J34" i="5" s="1"/>
  <c r="E34" i="5"/>
  <c r="I34" i="5" s="1"/>
  <c r="D34" i="5"/>
  <c r="N33" i="5"/>
  <c r="M33" i="5" a="1"/>
  <c r="M33" i="5" s="1"/>
  <c r="L33" i="5" a="1"/>
  <c r="L33" i="5"/>
  <c r="I33" i="5"/>
  <c r="H33" i="5"/>
  <c r="G33" i="5"/>
  <c r="F33" i="5"/>
  <c r="J33" i="5" s="1"/>
  <c r="E33" i="5"/>
  <c r="D33" i="5"/>
  <c r="K33" i="5" s="1"/>
  <c r="N32" i="5"/>
  <c r="H32" i="5"/>
  <c r="G32" i="5"/>
  <c r="J32" i="5" s="1"/>
  <c r="F32" i="5"/>
  <c r="E32" i="5"/>
  <c r="I32" i="5" s="1"/>
  <c r="D32" i="5"/>
  <c r="K32" i="5" s="1"/>
  <c r="N31" i="5"/>
  <c r="M31" i="5" a="1"/>
  <c r="M31" i="5"/>
  <c r="L31" i="5" a="1"/>
  <c r="L31" i="5"/>
  <c r="K31" i="5"/>
  <c r="H31" i="5"/>
  <c r="G31" i="5"/>
  <c r="F31" i="5"/>
  <c r="J31" i="5" s="1"/>
  <c r="E31" i="5"/>
  <c r="I31" i="5" s="1"/>
  <c r="D31" i="5"/>
  <c r="N30" i="5"/>
  <c r="M30" i="5" a="1"/>
  <c r="M30" i="5" s="1"/>
  <c r="L30" i="5" a="1"/>
  <c r="L30" i="5" s="1"/>
  <c r="H30" i="5"/>
  <c r="G30" i="5"/>
  <c r="J30" i="5" s="1"/>
  <c r="F30" i="5"/>
  <c r="E30" i="5"/>
  <c r="D30" i="5"/>
  <c r="I30" i="5" s="1"/>
  <c r="N29" i="5"/>
  <c r="M29" i="5" a="1"/>
  <c r="M29" i="5"/>
  <c r="L29" i="5" a="1"/>
  <c r="L29" i="5" s="1"/>
  <c r="H29" i="5"/>
  <c r="G29" i="5"/>
  <c r="J29" i="5" s="1"/>
  <c r="D9" i="6" s="1"/>
  <c r="F29" i="5"/>
  <c r="E29" i="5"/>
  <c r="B9" i="6" s="1"/>
  <c r="D29" i="5"/>
  <c r="K29" i="5" s="1"/>
  <c r="N28" i="5"/>
  <c r="M28" i="5" a="1"/>
  <c r="M28" i="5" s="1"/>
  <c r="L28" i="5" a="1"/>
  <c r="L28" i="5"/>
  <c r="K28" i="5"/>
  <c r="I28" i="5"/>
  <c r="H28" i="5"/>
  <c r="G28" i="5"/>
  <c r="F28" i="5"/>
  <c r="J28" i="5" s="1"/>
  <c r="E28" i="5"/>
  <c r="D28" i="5"/>
  <c r="N27" i="5"/>
  <c r="H27" i="5"/>
  <c r="G27" i="5"/>
  <c r="J27" i="5" s="1"/>
  <c r="F27" i="5"/>
  <c r="E27" i="5"/>
  <c r="D27" i="5"/>
  <c r="I27" i="5" s="1"/>
  <c r="N26" i="5"/>
  <c r="H26" i="5"/>
  <c r="G26" i="5"/>
  <c r="J26" i="5" s="1"/>
  <c r="F26" i="5"/>
  <c r="E26" i="5"/>
  <c r="I26" i="5" s="1"/>
  <c r="D26" i="5"/>
  <c r="K26" i="5" s="1"/>
  <c r="N25" i="5"/>
  <c r="K25" i="5"/>
  <c r="I25" i="5"/>
  <c r="H25" i="5"/>
  <c r="G25" i="5"/>
  <c r="F25" i="5"/>
  <c r="J25" i="5" s="1"/>
  <c r="E25" i="5"/>
  <c r="D25" i="5"/>
  <c r="N24" i="5"/>
  <c r="H24" i="5"/>
  <c r="G24" i="5"/>
  <c r="J24" i="5" s="1"/>
  <c r="F24" i="5"/>
  <c r="E24" i="5"/>
  <c r="D24" i="5"/>
  <c r="I24" i="5" s="1"/>
  <c r="N23" i="5"/>
  <c r="M23" i="5" a="1"/>
  <c r="M23" i="5"/>
  <c r="L23" i="5" a="1"/>
  <c r="L23" i="5" s="1"/>
  <c r="H23" i="5"/>
  <c r="G23" i="5"/>
  <c r="J23" i="5" s="1"/>
  <c r="D8" i="6" s="1"/>
  <c r="F23" i="5"/>
  <c r="E23" i="5"/>
  <c r="B8" i="6" s="1"/>
  <c r="D23" i="5"/>
  <c r="K23" i="5" s="1"/>
  <c r="N22" i="5"/>
  <c r="K22" i="5"/>
  <c r="I22" i="5"/>
  <c r="H22" i="5"/>
  <c r="G22" i="5"/>
  <c r="F22" i="5"/>
  <c r="J22" i="5" s="1"/>
  <c r="E22" i="5"/>
  <c r="D22" i="5"/>
  <c r="N21" i="5"/>
  <c r="M21" i="5" a="1"/>
  <c r="M21" i="5" s="1"/>
  <c r="L21" i="5" a="1"/>
  <c r="L21" i="5" s="1"/>
  <c r="H21" i="5"/>
  <c r="G21" i="5"/>
  <c r="J21" i="5" s="1"/>
  <c r="F21" i="5"/>
  <c r="E21" i="5"/>
  <c r="D21" i="5"/>
  <c r="I21" i="5" s="1"/>
  <c r="N20" i="5"/>
  <c r="M20" i="5" a="1"/>
  <c r="M20" i="5"/>
  <c r="L20" i="5" a="1"/>
  <c r="L20" i="5" s="1"/>
  <c r="H20" i="5"/>
  <c r="G20" i="5"/>
  <c r="J20" i="5" s="1"/>
  <c r="F20" i="5"/>
  <c r="E20" i="5"/>
  <c r="I20" i="5" s="1"/>
  <c r="D20" i="5"/>
  <c r="K20" i="5" s="1"/>
  <c r="N19" i="5"/>
  <c r="K19" i="5"/>
  <c r="I19" i="5"/>
  <c r="H19" i="5"/>
  <c r="G19" i="5"/>
  <c r="F19" i="5"/>
  <c r="J19" i="5" s="1"/>
  <c r="E19" i="5"/>
  <c r="D19" i="5"/>
  <c r="N18" i="5"/>
  <c r="M18" i="5" a="1"/>
  <c r="M18" i="5" s="1"/>
  <c r="L18" i="5" a="1"/>
  <c r="L18" i="5" s="1"/>
  <c r="H18" i="5"/>
  <c r="G18" i="5"/>
  <c r="J18" i="5" s="1"/>
  <c r="F18" i="5"/>
  <c r="E18" i="5"/>
  <c r="D18" i="5"/>
  <c r="I18" i="5" s="1"/>
  <c r="N17" i="5"/>
  <c r="M17" i="5" a="1"/>
  <c r="M17" i="5"/>
  <c r="L17" i="5" a="1"/>
  <c r="L17" i="5" s="1"/>
  <c r="H17" i="5"/>
  <c r="G17" i="5"/>
  <c r="J17" i="5" s="1"/>
  <c r="D7" i="6" s="1"/>
  <c r="F17" i="5"/>
  <c r="E17" i="5"/>
  <c r="B7" i="6" s="1"/>
  <c r="D17" i="5"/>
  <c r="K17" i="5" s="1"/>
  <c r="N16" i="5"/>
  <c r="M16" i="5" a="1"/>
  <c r="M16" i="5" s="1"/>
  <c r="L16" i="5" a="1"/>
  <c r="L16" i="5"/>
  <c r="K16" i="5"/>
  <c r="I16" i="5"/>
  <c r="H16" i="5"/>
  <c r="G16" i="5"/>
  <c r="F16" i="5"/>
  <c r="J16" i="5" s="1"/>
  <c r="E16" i="5"/>
  <c r="D16" i="5"/>
  <c r="N15" i="5"/>
  <c r="H15" i="5"/>
  <c r="G15" i="5"/>
  <c r="J15" i="5" s="1"/>
  <c r="F15" i="5"/>
  <c r="E15" i="5"/>
  <c r="D15" i="5"/>
  <c r="I15" i="5" s="1"/>
  <c r="N14" i="5"/>
  <c r="H14" i="5"/>
  <c r="G14" i="5"/>
  <c r="J14" i="5" s="1"/>
  <c r="F14" i="5"/>
  <c r="E14" i="5"/>
  <c r="I14" i="5" s="1"/>
  <c r="D14" i="5"/>
  <c r="K14" i="5" s="1"/>
  <c r="N13" i="5"/>
  <c r="K13" i="5"/>
  <c r="I13" i="5"/>
  <c r="H13" i="5"/>
  <c r="G13" i="5"/>
  <c r="F13" i="5"/>
  <c r="J13" i="5" s="1"/>
  <c r="E13" i="5"/>
  <c r="D13" i="5"/>
  <c r="N12" i="5"/>
  <c r="H12" i="5"/>
  <c r="G12" i="5"/>
  <c r="J12" i="5" s="1"/>
  <c r="F12" i="5"/>
  <c r="E12" i="5"/>
  <c r="D12" i="5"/>
  <c r="I12" i="5" s="1"/>
  <c r="N11" i="5"/>
  <c r="M11" i="5" a="1"/>
  <c r="M11" i="5"/>
  <c r="L11" i="5" a="1"/>
  <c r="L11" i="5" s="1"/>
  <c r="H11" i="5"/>
  <c r="G11" i="5"/>
  <c r="J11" i="5" s="1"/>
  <c r="D6" i="6" s="1"/>
  <c r="F11" i="5"/>
  <c r="E11" i="5"/>
  <c r="B6" i="6" s="1"/>
  <c r="D11" i="5"/>
  <c r="K11" i="5" s="1"/>
  <c r="N10" i="5"/>
  <c r="M10" i="5" a="1"/>
  <c r="M10" i="5" s="1"/>
  <c r="L10" i="5" a="1"/>
  <c r="L10" i="5"/>
  <c r="K10" i="5"/>
  <c r="I10" i="5"/>
  <c r="H10" i="5"/>
  <c r="G10" i="5"/>
  <c r="F10" i="5"/>
  <c r="J10" i="5" s="1"/>
  <c r="E10" i="5"/>
  <c r="D10" i="5"/>
  <c r="N9" i="5"/>
  <c r="M9" i="5" a="1"/>
  <c r="M9" i="5" s="1"/>
  <c r="L9" i="5" a="1"/>
  <c r="L9" i="5" s="1"/>
  <c r="H9" i="5"/>
  <c r="G9" i="5"/>
  <c r="J9" i="5" s="1"/>
  <c r="F9" i="5"/>
  <c r="E9" i="5"/>
  <c r="D9" i="5"/>
  <c r="I9" i="5" s="1"/>
  <c r="N8" i="5"/>
  <c r="M8" i="5" a="1"/>
  <c r="M8" i="5"/>
  <c r="L8" i="5" a="1"/>
  <c r="L8" i="5" s="1"/>
  <c r="H8" i="5"/>
  <c r="G8" i="5"/>
  <c r="J8" i="5" s="1"/>
  <c r="F8" i="5"/>
  <c r="E8" i="5"/>
  <c r="I8" i="5" s="1"/>
  <c r="D8" i="5"/>
  <c r="K8" i="5" s="1"/>
  <c r="N7" i="5"/>
  <c r="M7" i="5" a="1"/>
  <c r="M7" i="5" s="1"/>
  <c r="L7" i="5" a="1"/>
  <c r="L7" i="5"/>
  <c r="K7" i="5"/>
  <c r="I7" i="5"/>
  <c r="H7" i="5"/>
  <c r="G7" i="5"/>
  <c r="F7" i="5"/>
  <c r="J7" i="5" s="1"/>
  <c r="E7" i="5"/>
  <c r="D7" i="5"/>
  <c r="N6" i="5"/>
  <c r="M6" i="5" a="1"/>
  <c r="M6" i="5" s="1"/>
  <c r="L6" i="5" a="1"/>
  <c r="L6" i="5" s="1"/>
  <c r="I6" i="5"/>
  <c r="H6" i="5"/>
  <c r="G6" i="5"/>
  <c r="F6" i="5"/>
  <c r="J6" i="5" s="1"/>
  <c r="E6" i="5"/>
  <c r="D6" i="5"/>
  <c r="K6" i="5" s="1"/>
  <c r="N5" i="5"/>
  <c r="M5" i="5" a="1"/>
  <c r="M5" i="5"/>
  <c r="L5" i="5" a="1"/>
  <c r="L5" i="5" s="1"/>
  <c r="H5" i="5"/>
  <c r="G5" i="5"/>
  <c r="J5" i="5" s="1"/>
  <c r="D5" i="6" s="1"/>
  <c r="F5" i="5"/>
  <c r="E5" i="5"/>
  <c r="B5" i="6" s="1"/>
  <c r="C5" i="6" s="1"/>
  <c r="D5" i="5"/>
  <c r="K5" i="5" s="1"/>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48" i="5" s="1" a="1"/>
  <c r="M48" i="5" s="1"/>
  <c r="I5" i="5" l="1"/>
  <c r="K9" i="5"/>
  <c r="F5" i="6" s="1"/>
  <c r="I11" i="5"/>
  <c r="K12" i="5"/>
  <c r="L13" i="5" a="1"/>
  <c r="L13" i="5" s="1"/>
  <c r="M14" i="5" a="1"/>
  <c r="M14" i="5" s="1"/>
  <c r="K15" i="5"/>
  <c r="I17" i="5"/>
  <c r="K18" i="5"/>
  <c r="L19" i="5" a="1"/>
  <c r="L19" i="5" s="1"/>
  <c r="K21" i="5"/>
  <c r="L22" i="5" a="1"/>
  <c r="L22" i="5" s="1"/>
  <c r="I23" i="5"/>
  <c r="K24" i="5"/>
  <c r="L25" i="5" a="1"/>
  <c r="L25" i="5" s="1"/>
  <c r="M26" i="5" a="1"/>
  <c r="M26" i="5" s="1"/>
  <c r="K27" i="5"/>
  <c r="I29" i="5"/>
  <c r="K30" i="5"/>
  <c r="F9" i="6" s="1"/>
  <c r="M32" i="5" a="1"/>
  <c r="M32" i="5" s="1"/>
  <c r="I35" i="5"/>
  <c r="K36" i="5"/>
  <c r="F10" i="6" s="1"/>
  <c r="K39" i="5"/>
  <c r="L40" i="5" a="1"/>
  <c r="L40" i="5" s="1"/>
  <c r="I41" i="5"/>
  <c r="K42" i="5"/>
  <c r="L43" i="5" a="1"/>
  <c r="L43" i="5" s="1"/>
  <c r="M44" i="5" a="1"/>
  <c r="M44" i="5" s="1"/>
  <c r="K45" i="5"/>
  <c r="M12" i="5" a="1"/>
  <c r="M12" i="5" s="1"/>
  <c r="L14" i="5" a="1"/>
  <c r="L14" i="5" s="1"/>
  <c r="M15" i="5" a="1"/>
  <c r="M15" i="5" s="1"/>
  <c r="M24" i="5" a="1"/>
  <c r="M24" i="5" s="1"/>
  <c r="L26" i="5" a="1"/>
  <c r="L26" i="5" s="1"/>
  <c r="M27" i="5" a="1"/>
  <c r="M27" i="5" s="1"/>
  <c r="L32" i="5" a="1"/>
  <c r="L32" i="5" s="1"/>
  <c r="L44" i="5" a="1"/>
  <c r="L44" i="5" s="1"/>
  <c r="M45" i="5" a="1"/>
  <c r="M45" i="5" s="1"/>
  <c r="D12" i="6"/>
  <c r="M51" i="5" a="1"/>
  <c r="M51" i="5" s="1"/>
  <c r="L51" i="5" a="1"/>
  <c r="L51" i="5" s="1"/>
  <c r="M50" i="5" a="1"/>
  <c r="M50" i="5" s="1"/>
  <c r="L50" i="5" a="1"/>
  <c r="L50" i="5" s="1"/>
  <c r="M49" i="5" a="1"/>
  <c r="M49" i="5" s="1"/>
  <c r="L49" i="5" a="1"/>
  <c r="L49" i="5" s="1"/>
  <c r="C6" i="6"/>
  <c r="L12" i="5" a="1"/>
  <c r="L12" i="5" s="1"/>
  <c r="M13" i="5" a="1"/>
  <c r="M13" i="5" s="1"/>
  <c r="L15" i="5" a="1"/>
  <c r="L15" i="5" s="1"/>
  <c r="C7" i="6"/>
  <c r="M19" i="5" a="1"/>
  <c r="M19" i="5" s="1"/>
  <c r="M22" i="5" a="1"/>
  <c r="M22" i="5" s="1"/>
  <c r="C8" i="6"/>
  <c r="L24" i="5" a="1"/>
  <c r="L24" i="5" s="1"/>
  <c r="M25" i="5" a="1"/>
  <c r="M25" i="5" s="1"/>
  <c r="L27" i="5" a="1"/>
  <c r="L27" i="5" s="1"/>
  <c r="C9" i="6"/>
  <c r="C10" i="6"/>
  <c r="M40" i="5" a="1"/>
  <c r="M40" i="5" s="1"/>
  <c r="C11" i="6"/>
  <c r="M43" i="5" a="1"/>
  <c r="M43" i="5" s="1"/>
  <c r="L45" i="5" a="1"/>
  <c r="L45" i="5" s="1"/>
  <c r="C12" i="6"/>
  <c r="L48" i="5" a="1"/>
  <c r="L48" i="5" s="1"/>
  <c r="L58" i="5" a="1"/>
  <c r="L58" i="5" s="1"/>
  <c r="M57" i="5" a="1"/>
  <c r="M57" i="5" s="1"/>
  <c r="L57" i="5" a="1"/>
  <c r="L57" i="5" s="1"/>
  <c r="M53" i="5" a="1"/>
  <c r="M53" i="5" s="1"/>
  <c r="L53" i="5" a="1"/>
  <c r="L53" i="5" s="1"/>
  <c r="C13" i="6"/>
  <c r="J13" i="6" s="1"/>
  <c r="E13" i="6"/>
  <c r="M61" i="5" a="1"/>
  <c r="M61" i="5" s="1"/>
  <c r="L61" i="5" a="1"/>
  <c r="L61" i="5" s="1"/>
  <c r="M60" i="5" a="1"/>
  <c r="M60" i="5" s="1"/>
  <c r="L60" i="5" a="1"/>
  <c r="L60" i="5" s="1"/>
  <c r="M58" i="5" a="1"/>
  <c r="M58" i="5" s="1"/>
  <c r="C14" i="6"/>
  <c r="E14" i="6"/>
  <c r="L68" i="5" a="1"/>
  <c r="L68" i="5" s="1"/>
  <c r="M66" i="5" a="1"/>
  <c r="M66" i="5" s="1"/>
  <c r="L66" i="5" a="1"/>
  <c r="L66" i="5" s="1"/>
  <c r="M63" i="5" a="1"/>
  <c r="M63" i="5" s="1"/>
  <c r="L63" i="5" a="1"/>
  <c r="L63" i="5" s="1"/>
  <c r="C15" i="6"/>
  <c r="J15" i="6" s="1"/>
  <c r="E15" i="6"/>
  <c r="M69" i="5" a="1"/>
  <c r="M69" i="5" s="1"/>
  <c r="L69" i="5" a="1"/>
  <c r="L69" i="5" s="1"/>
  <c r="M68" i="5" a="1"/>
  <c r="M68" i="5" s="1"/>
  <c r="C16" i="6"/>
  <c r="E16" i="6"/>
  <c r="F16" i="6"/>
  <c r="M72" i="5" a="1"/>
  <c r="M72" i="5" s="1"/>
  <c r="L72" i="5" a="1"/>
  <c r="L72" i="5" s="1"/>
  <c r="I72" i="5"/>
  <c r="I73" i="5"/>
  <c r="M73" i="5" a="1"/>
  <c r="M73" i="5" s="1"/>
  <c r="L73" i="5" a="1"/>
  <c r="L73" i="5" s="1"/>
  <c r="K74" i="5"/>
  <c r="I74" i="5"/>
  <c r="L77" i="5" a="1"/>
  <c r="L77" i="5" s="1"/>
  <c r="M74" i="5" a="1"/>
  <c r="M74" i="5" s="1"/>
  <c r="L74" i="5" a="1"/>
  <c r="L74" i="5" s="1"/>
  <c r="C17" i="6"/>
  <c r="J17" i="6" s="1"/>
  <c r="E17" i="6"/>
  <c r="L81" i="5" a="1"/>
  <c r="L81" i="5" s="1"/>
  <c r="M78" i="5" a="1"/>
  <c r="M78" i="5" s="1"/>
  <c r="L78" i="5" a="1"/>
  <c r="L78" i="5" s="1"/>
  <c r="M77" i="5" a="1"/>
  <c r="M77" i="5" s="1"/>
  <c r="M82" i="5" a="1"/>
  <c r="M82" i="5" s="1"/>
  <c r="L82" i="5" a="1"/>
  <c r="L82" i="5" s="1"/>
  <c r="M81" i="5" a="1"/>
  <c r="M81" i="5" s="1"/>
  <c r="I82" i="5"/>
  <c r="J16" i="6" l="1"/>
  <c r="J7" i="6"/>
  <c r="E12" i="6"/>
  <c r="J12" i="6" s="1"/>
  <c r="E5" i="6"/>
  <c r="E6" i="6"/>
  <c r="E7" i="6"/>
  <c r="E8" i="6"/>
  <c r="J8" i="6" s="1"/>
  <c r="E9" i="6"/>
  <c r="J9" i="6" s="1"/>
  <c r="E10" i="6"/>
  <c r="J10" i="6" s="1"/>
  <c r="E11" i="6"/>
  <c r="J11" i="6" s="1"/>
  <c r="B22" i="6"/>
  <c r="J14" i="6"/>
  <c r="J6" i="6"/>
  <c r="F11" i="6"/>
  <c r="F8" i="6"/>
  <c r="F7" i="6"/>
  <c r="G7" i="6" s="1"/>
  <c r="F6" i="6"/>
  <c r="G10" i="6" s="1"/>
  <c r="G9" i="6" l="1"/>
  <c r="G5" i="6"/>
  <c r="G8" i="6"/>
  <c r="J5" i="6"/>
  <c r="B20" i="6"/>
  <c r="G6" i="6"/>
  <c r="G12" i="6"/>
  <c r="G13" i="6"/>
  <c r="G17" i="6"/>
  <c r="G15" i="6"/>
  <c r="G14" i="6"/>
  <c r="G11" i="6"/>
  <c r="G16" i="6"/>
  <c r="B21"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300-000002000000}">
      <text>
        <r>
          <rPr>
            <sz val="11"/>
            <color theme="1"/>
            <rFont val="Calibri"/>
            <scheme val="minor"/>
          </rPr>
          <t>======
ID#AAACFdbd_nY
Unknown Author    (2026-08-11 12:14:48)
Unique claim ID (e.g., EV-0001).</t>
        </r>
      </text>
    </comment>
    <comment ref="B4" authorId="0" shapeId="0" xr:uid="{00000000-0006-0000-0300-000003000000}">
      <text>
        <r>
          <rPr>
            <sz val="11"/>
            <color theme="1"/>
            <rFont val="Calibri"/>
            <scheme val="minor"/>
          </rPr>
          <t>======
ID#AAACFdbehxY
Unknown Author    (2026-08-11 12:14:48)
FK to Sources_Log.</t>
        </r>
      </text>
    </comment>
    <comment ref="C4" authorId="0" shapeId="0" xr:uid="{00000000-0006-0000-0300-000004000000}">
      <text>
        <r>
          <rPr>
            <sz val="11"/>
            <color theme="1"/>
            <rFont val="Calibri"/>
            <scheme val="minor"/>
          </rPr>
          <t>======
ID#AAACFdbd_ng
Unknown Author    (2026-08-11 12:14:48)
YYYY-MM-DD.</t>
        </r>
      </text>
    </comment>
    <comment ref="D4" authorId="0" shapeId="0" xr:uid="{00000000-0006-0000-0300-000005000000}">
      <text>
        <r>
          <rPr>
            <sz val="11"/>
            <color theme="1"/>
            <rFont val="Calibri"/>
            <scheme val="minor"/>
          </rPr>
          <t>======
ID#AAACFdbehxU
Unknown Author    (2026-08-11 12:14:48)
Coder initials.</t>
        </r>
      </text>
    </comment>
    <comment ref="E4" authorId="0" shapeId="0" xr:uid="{00000000-0006-0000-0300-000006000000}">
      <text>
        <r>
          <rPr>
            <sz val="11"/>
            <color theme="1"/>
            <rFont val="Calibri"/>
            <scheme val="minor"/>
          </rPr>
          <t>======
ID#AAACFdbd_nE
Unknown Author    (2026-08-11 12:14:48)
MANDATORY. From Controlled_Vocabulary §2.</t>
        </r>
      </text>
    </comment>
    <comment ref="F4" authorId="0" shapeId="0" xr:uid="{00000000-0006-0000-0300-000007000000}">
      <text>
        <r>
          <rPr>
            <sz val="11"/>
            <color theme="1"/>
            <rFont val="Calibri"/>
            <scheme val="minor"/>
          </rPr>
          <t>======
ID#AAACFdbehxk
Unknown Author    (2026-08-11 12:14:48)
MANDATORY. One of AUT-EPI/DEC/VOL/BEH/OPP/DOM.</t>
        </r>
      </text>
    </comment>
    <comment ref="G4" authorId="0" shapeId="0" xr:uid="{00000000-0006-0000-0300-000008000000}">
      <text>
        <r>
          <rPr>
            <sz val="11"/>
            <color theme="1"/>
            <rFont val="Calibri"/>
            <scheme val="minor"/>
          </rPr>
          <t>======
ID#AAACFdbehxc
Unknown Author    (2026-08-11 12:14:48)
MANDATORY. One of E01-E13.</t>
        </r>
      </text>
    </comment>
    <comment ref="H4" authorId="0" shapeId="0" xr:uid="{00000000-0006-0000-0300-000009000000}">
      <text>
        <r>
          <rPr>
            <sz val="11"/>
            <color theme="1"/>
            <rFont val="Calibri"/>
            <scheme val="minor"/>
          </rPr>
          <t>======
ID#AAACFdbd_nM
Unknown Author    (2026-08-11 12:14:48)
MANDATORY. Facilitation / Intensification / Concealment-Power.</t>
        </r>
      </text>
    </comment>
    <comment ref="I4" authorId="0" shapeId="0" xr:uid="{00000000-0006-0000-0300-00000A000000}">
      <text>
        <r>
          <rPr>
            <sz val="11"/>
            <color theme="1"/>
            <rFont val="Calibri"/>
            <scheme val="minor"/>
          </rPr>
          <t>======
ID#AAACFdbd_mw
Unknown Author    (2026-08-11 12:14:48)
Harm criterion 1.</t>
        </r>
      </text>
    </comment>
    <comment ref="J4" authorId="0" shapeId="0" xr:uid="{00000000-0006-0000-0300-00000B000000}">
      <text>
        <r>
          <rPr>
            <sz val="11"/>
            <color theme="1"/>
            <rFont val="Calibri"/>
            <scheme val="minor"/>
          </rPr>
          <t>======
ID#AAACFdbehxo
Unknown Author    (2026-08-11 12:14:48)
Harm criterion 2.</t>
        </r>
      </text>
    </comment>
    <comment ref="K4" authorId="0" shapeId="0" xr:uid="{00000000-0006-0000-0300-00000C000000}">
      <text>
        <r>
          <rPr>
            <sz val="11"/>
            <color theme="1"/>
            <rFont val="Calibri"/>
            <scheme val="minor"/>
          </rPr>
          <t>======
ID#AAACFdbd_nA
Unknown Author    (2026-08-11 12:14:48)
Harm criterion 3.</t>
        </r>
      </text>
    </comment>
    <comment ref="L4" authorId="0" shapeId="0" xr:uid="{00000000-0006-0000-0300-00000D000000}">
      <text>
        <r>
          <rPr>
            <sz val="11"/>
            <color theme="1"/>
            <rFont val="Calibri"/>
            <scheme val="minor"/>
          </rPr>
          <t>======
ID#AAACFdbehxA
Unknown Author    (2026-08-11 12:14:48)
Harm criterion 4. (Describe it in the optional 'Harm mechanism' field.)</t>
        </r>
      </text>
    </comment>
    <comment ref="M4" authorId="0" shapeId="0" xr:uid="{00000000-0006-0000-0300-00000E000000}">
      <text>
        <r>
          <rPr>
            <sz val="11"/>
            <color theme="1"/>
            <rFont val="Calibri"/>
            <scheme val="minor"/>
          </rPr>
          <t>======
ID#AAACFdbd_mc
Unknown Author    (2026-08-11 12:14:48)
Auto: include if all four harm criteria = Y. Optional fields never affect this.</t>
        </r>
      </text>
    </comment>
    <comment ref="N4" authorId="0" shapeId="0" xr:uid="{00000000-0006-0000-0300-00000F000000}">
      <text>
        <r>
          <rPr>
            <sz val="11"/>
            <color theme="1"/>
            <rFont val="Calibri"/>
            <scheme val="minor"/>
          </rPr>
          <t>======
ID#AAACFdbd_mg
Unknown Author    (2026-08-11 12:14:48)
If excluded: why.</t>
        </r>
      </text>
    </comment>
    <comment ref="O4" authorId="0" shapeId="0" xr:uid="{00000000-0006-0000-0300-000010000000}">
      <text>
        <r>
          <rPr>
            <sz val="11"/>
            <color theme="1"/>
            <rFont val="Calibri"/>
            <scheme val="minor"/>
          </rPr>
          <t>======
ID#AAACFdP6Kac
Unknown Author    (2026-08-11 12:14:48)
MANDATORY. 1, 2, or 3.</t>
        </r>
      </text>
    </comment>
    <comment ref="P4" authorId="0" shapeId="0" xr:uid="{00000000-0006-0000-0300-000011000000}">
      <text>
        <r>
          <rPr>
            <sz val="11"/>
            <color theme="1"/>
            <rFont val="Calibri"/>
            <scheme val="minor"/>
          </rPr>
          <t>======
ID#AAACFdbehw8
Unknown Author    (2026-08-11 12:14:48)
From Controlled_Vocabulary §4.</t>
        </r>
      </text>
    </comment>
    <comment ref="Q4" authorId="0" shapeId="0" xr:uid="{00000000-0006-0000-0300-000012000000}">
      <text>
        <r>
          <rPr>
            <sz val="11"/>
            <color theme="1"/>
            <rFont val="Calibri"/>
            <scheme val="minor"/>
          </rPr>
          <t>======
ID#AAACFdbd_mo
Unknown Author    (2026-08-11 12:14:48)
UK-S / UK-A / UK-U.</t>
        </r>
      </text>
    </comment>
    <comment ref="R4" authorId="0" shapeId="0" xr:uid="{00000000-0006-0000-0300-000013000000}">
      <text>
        <r>
          <rPr>
            <sz val="11"/>
            <color theme="1"/>
            <rFont val="Calibri"/>
            <scheme val="minor"/>
          </rPr>
          <t>======
ID#AAACFdbd_nI
Unknown Author    (2026-08-11 12:14:48)
H / M / L.</t>
        </r>
      </text>
    </comment>
    <comment ref="S4" authorId="0" shapeId="0" xr:uid="{00000000-0006-0000-0300-000014000000}">
      <text>
        <r>
          <rPr>
            <sz val="11"/>
            <color theme="1"/>
            <rFont val="Calibri"/>
            <scheme val="minor"/>
          </rPr>
          <t>======
ID#AAACFdbehxI
Unknown Author    (2026-08-11 12:14:48)
Page, paragraph, or URL fragment.</t>
        </r>
      </text>
    </comment>
    <comment ref="T4" authorId="0" shapeId="0" xr:uid="{00000000-0006-0000-0300-000015000000}">
      <text>
        <r>
          <rPr>
            <sz val="11"/>
            <color theme="1"/>
            <rFont val="Calibri"/>
            <scheme val="minor"/>
          </rPr>
          <t>======
ID#AAACFdbd_m8
Unknown Author    (2026-08-11 12:14:48)
&lt;=30 words; paraphrase if longer.</t>
        </r>
      </text>
    </comment>
    <comment ref="U4" authorId="0" shapeId="0" xr:uid="{00000000-0006-0000-0300-000016000000}">
      <text>
        <r>
          <rPr>
            <sz val="11"/>
            <color theme="1"/>
            <rFont val="Calibri"/>
            <scheme val="minor"/>
          </rPr>
          <t>======
ID#AAACFdbehw0
Unknown Author    (2026-08-11 12:14:48)
Other sources making the SAME claim from the SAME evidence base (do not create new rows).</t>
        </r>
      </text>
    </comment>
    <comment ref="V4" authorId="0" shapeId="0" xr:uid="{00000000-0006-0000-0300-000017000000}">
      <text>
        <r>
          <rPr>
            <sz val="11"/>
            <color theme="1"/>
            <rFont val="Calibri"/>
            <scheme val="minor"/>
          </rPr>
          <t>======
ID#AAACFdbd_nk
Unknown Author    (2026-08-11 12:14:48)
OPTIONAL. Free text: what platform/entity collects the data (e.g., 'Meta Facebook app').</t>
        </r>
      </text>
    </comment>
    <comment ref="W4" authorId="0" shapeId="0" xr:uid="{00000000-0006-0000-0300-000018000000}">
      <text>
        <r>
          <rPr>
            <sz val="11"/>
            <color theme="1"/>
            <rFont val="Calibri"/>
            <scheme val="minor"/>
          </rPr>
          <t>======
ID#AAACFdbd_nU
Unknown Author    (2026-08-11 12:14:48)
OPTIONAL. From Controlled_Vocabulary §8.</t>
        </r>
      </text>
    </comment>
    <comment ref="X4" authorId="0" shapeId="0" xr:uid="{00000000-0006-0000-0300-000019000000}">
      <text>
        <r>
          <rPr>
            <sz val="11"/>
            <color theme="1"/>
            <rFont val="Calibri"/>
            <scheme val="minor"/>
          </rPr>
          <t>======
ID#AAACFdbd_m0
Unknown Author    (2026-08-11 12:14:48)
OPTIONAL. From Controlled_Vocabulary §9.</t>
        </r>
      </text>
    </comment>
    <comment ref="Y4" authorId="0" shapeId="0" xr:uid="{00000000-0006-0000-0300-00001A000000}">
      <text>
        <r>
          <rPr>
            <sz val="11"/>
            <color theme="1"/>
            <rFont val="Calibri"/>
            <scheme val="minor"/>
          </rPr>
          <t>======
ID#AAACFdbd_mk
Unknown Author    (2026-08-11 12:14:48)
OPTIONAL. Free-text elaboration of the collection method.</t>
        </r>
      </text>
    </comment>
    <comment ref="Z4" authorId="0" shapeId="0" xr:uid="{00000000-0006-0000-0300-00001B000000}">
      <text>
        <r>
          <rPr>
            <sz val="11"/>
            <color theme="1"/>
            <rFont val="Calibri"/>
            <scheme val="minor"/>
          </rPr>
          <t>======
ID#AAACFdbd_nQ
Unknown Author    (2026-08-11 12:14:48)
OPTIONAL. Free text: who receives/buys the data (e.g., 'sold to broker Acxiom').</t>
        </r>
      </text>
    </comment>
    <comment ref="AA4" authorId="0" shapeId="0" xr:uid="{00000000-0006-0000-0300-00001C000000}">
      <text>
        <r>
          <rPr>
            <sz val="11"/>
            <color theme="1"/>
            <rFont val="Calibri"/>
            <scheme val="minor"/>
          </rPr>
          <t>======
ID#AAACFdbehxg
Unknown Author    (2026-08-11 12:14:48)
OPTIONAL. From Controlled_Vocabulary §10.</t>
        </r>
      </text>
    </comment>
    <comment ref="AB4" authorId="0" shapeId="0" xr:uid="{00000000-0006-0000-0300-00001D000000}">
      <text>
        <r>
          <rPr>
            <sz val="11"/>
            <color theme="1"/>
            <rFont val="Calibri"/>
            <scheme val="minor"/>
          </rPr>
          <t>======
ID#AAACFdbd_m4
Unknown Author    (2026-08-11 12:14:48)
OPTIONAL. From Controlled_Vocabulary §11.</t>
        </r>
      </text>
    </comment>
    <comment ref="AC4" authorId="0" shapeId="0" xr:uid="{00000000-0006-0000-0300-00001E000000}">
      <text>
        <r>
          <rPr>
            <sz val="11"/>
            <color theme="1"/>
            <rFont val="Calibri"/>
            <scheme val="minor"/>
          </rPr>
          <t>======
ID#AAACFdbehxE
Unknown Author    (2026-08-11 12:14:48)
OPTIONAL (but recommended). Free text: how the capability is used to cause the harm.</t>
        </r>
      </text>
    </comment>
    <comment ref="AD4" authorId="0" shapeId="0" xr:uid="{00000000-0006-0000-0300-00001F000000}">
      <text>
        <r>
          <rPr>
            <sz val="11"/>
            <color theme="1"/>
            <rFont val="Calibri"/>
            <scheme val="minor"/>
          </rPr>
          <t>======
ID#AAACFdbehxM
Unknown Author    (2026-08-11 12:14:48)
OPTIONAL. Free text: who experiences the harm (e.g., 'teenagers', 'voters in marginal seats').</t>
        </r>
      </text>
    </comment>
    <comment ref="AE4" authorId="0" shapeId="0" xr:uid="{00000000-0006-0000-0300-000020000000}">
      <text>
        <r>
          <rPr>
            <sz val="11"/>
            <color theme="1"/>
            <rFont val="Calibri"/>
            <scheme val="minor"/>
          </rPr>
          <t>======
ID#AAACFdbehxQ
Unknown Author    (2026-08-11 12:14:48)
OPTIONAL. From Controlled_Vocabulary §12.</t>
        </r>
      </text>
    </comment>
    <comment ref="AF4" authorId="0" shapeId="0" xr:uid="{00000000-0006-0000-0300-000021000000}">
      <text>
        <r>
          <rPr>
            <sz val="11"/>
            <color theme="1"/>
            <rFont val="Calibri"/>
            <scheme val="minor"/>
          </rPr>
          <t>======
ID#AAACFdbd_ms
Unknown Author    (2026-08-11 12:14:48)
OPTIONAL. Free text: geographic scope (e.g., 'EU', 'UK', 'US').</t>
        </r>
      </text>
    </comment>
    <comment ref="AG4" authorId="0" shapeId="0" xr:uid="{00000000-0006-0000-0300-000022000000}">
      <text>
        <r>
          <rPr>
            <sz val="11"/>
            <color theme="1"/>
            <rFont val="Calibri"/>
            <scheme val="minor"/>
          </rPr>
          <t>======
ID#AAACFdbehw4
Unknown Author    (2026-08-11 12:14:48)
OPTIONAL. Free text: named case or scandal (e.g., 'Cambridge Analytica').</t>
        </r>
      </text>
    </comment>
    <comment ref="AH4" authorId="0" shapeId="0" xr:uid="{00000000-0006-0000-0300-000023000000}">
      <text>
        <r>
          <rPr>
            <sz val="11"/>
            <color theme="1"/>
            <rFont val="Calibri"/>
            <scheme val="minor"/>
          </rPr>
          <t>======
ID#AAACFdbd_nc
Unknown Author    (2026-08-11 12:14:48)
Flag for reliability subsample.</t>
        </r>
      </text>
    </comment>
    <comment ref="AI4" authorId="0" shapeId="0" xr:uid="{00000000-0006-0000-0300-000024000000}">
      <text>
        <r>
          <rPr>
            <sz val="11"/>
            <color theme="1"/>
            <rFont val="Calibri"/>
            <scheme val="minor"/>
          </rPr>
          <t>======
ID#AAACFdbehww
Unknown Author    (2026-08-11 12:14:48)
If double-coded: agreement on edge type + dimension.</t>
        </r>
      </text>
    </comment>
    <comment ref="AJ4" authorId="0" shapeId="0" xr:uid="{00000000-0006-0000-0300-000001000000}">
      <text>
        <r>
          <rPr>
            <sz val="11"/>
            <color theme="1"/>
            <rFont val="Calibri"/>
            <scheme val="minor"/>
          </rPr>
          <t>======
ID#AAACFdbehws
Unknown Author    (2026-08-11 12:14:48)
Free-text commentary.</t>
        </r>
      </text>
    </comment>
  </commentList>
  <extLst>
    <ext xmlns:r="http://schemas.openxmlformats.org/officeDocument/2006/relationships" uri="GoogleSheetsCustomDataVersion2">
      <go:sheetsCustomData xmlns:go="http://customooxmlschemas.google.com/" r:id="rId1" roundtripDataSignature="AMtx7mjH1/1WnwS6NdcCE6dXsV8nPo6UaA=="/>
    </ext>
  </extLst>
</comments>
</file>

<file path=xl/sharedStrings.xml><?xml version="1.0" encoding="utf-8"?>
<sst xmlns="http://schemas.openxmlformats.org/spreadsheetml/2006/main" count="7352" uniqueCount="2960">
  <si>
    <t>KG+SNA Coding Workbook</t>
  </si>
  <si>
    <t>Dissertation focus: Capabilities, Autonomy harms, and Edge types. The expanded optional fields capture the wider data-supply-chain 'story' for possible post-dissertation publication. These can be differentiated by the header colour; Blue = Dissertation, Green = Future research</t>
  </si>
  <si>
    <t>THE GOLDEN RULE</t>
  </si>
  <si>
    <t>A study is INCLUDED if, and only if, it documents a Capability linked to an Autonomy dimension AND passes all four harm criteria. The optional data-lifecycle fields NEVER affect inclusion. If a qualifying study contains no collection, flow, or target information, code the core fields, leave the optional fields blank, and include it.</t>
  </si>
  <si>
    <t>WHAT IS MANDATORY (dark blue columns)</t>
  </si>
  <si>
    <t>Capability_ID, Autonomy_Dim_ID, Edge type (fine + superordinate), the four harm-criteria Y/N gates, the Include decision, evidential status, source type, UK relevance, coder confidence, and provenance (page, quote/paraphrase, corroborating IDs). These are the dissertation's analytic core.</t>
  </si>
  <si>
    <t>WHAT IS OPTIONAL (green columns)</t>
  </si>
  <si>
    <t>The data-lifecycle 'story' fields: where and how the capability's data is collected, where the data flows onward, how the capability is used to cause the harm, and who is affected. Fill these when the source provides the information; leave blank otherwise.</t>
  </si>
  <si>
    <t>ADMIN (grey columns)</t>
  </si>
  <si>
    <t>Double-coding flags and free-text notes.</t>
  </si>
  <si>
    <t>THE DATA-LIFECYCLE STORY</t>
  </si>
  <si>
    <t>The optional fields are organised to trace one capability-harm data point from origin to impact:</t>
  </si>
  <si>
    <t xml:space="preserve">  1. Collection (where)</t>
  </si>
  <si>
    <t>What platform / entity / context collects the data underlying the capability (e.g., a mobile app, a website, a smart device, a data broker's feed).</t>
  </si>
  <si>
    <t xml:space="preserve">  2. Collection (how)</t>
  </si>
  <si>
    <t>The technical means of collection (e.g., embedded SDK, cookies, device fingerprinting, sensor telemetry, location services, inference).</t>
  </si>
  <si>
    <t xml:space="preserve">  3. Onward flow (where it goes)</t>
  </si>
  <si>
    <t>Who receives, buys, or is sold the data downstream (e.g., a named data broker, an ad exchange, a specific advertiser, a political consultancy).</t>
  </si>
  <si>
    <t xml:space="preserve">  4. Transfer mechanism</t>
  </si>
  <si>
    <t>How the data moves onward (sold, licensed, shared, broadcast via real-time bidding, brokered, breached).</t>
  </si>
  <si>
    <t xml:space="preserve">  5. Harm enactment (how)</t>
  </si>
  <si>
    <t>How the capability is actually used to cause the autonomy harm — the mechanism that translates the capability into the harm. (A mechanism must be PRESENT to include the item; here you describe it in full.)</t>
  </si>
  <si>
    <t xml:space="preserve">  6. Target / affected party (who)</t>
  </si>
  <si>
    <t>Who experiences the harm — the population, group, or individuals affected (e.g., teenagers, voters in marginal seats, economically vulnerable consumers).</t>
  </si>
  <si>
    <t xml:space="preserve">  7. Context (optional extras)</t>
  </si>
  <si>
    <t>Jurisdiction/region and any named documented case (e.g., a specific enforcement action or scandal) the source describes.</t>
  </si>
  <si>
    <t>WORKFLOW</t>
  </si>
  <si>
    <t>Step 1</t>
  </si>
  <si>
    <t>Lock the seed ontology in 'Controlled_Vocabulary' (capabilities, autonomy dimensions, edge types). Review the lifecycle vocabularies too.</t>
  </si>
  <si>
    <t>Step 2</t>
  </si>
  <si>
    <t>Log every screened source in 'Sources_Log' (feeds the PRISMA-ScR flow diagram).</t>
  </si>
  <si>
    <t>Step 3</t>
  </si>
  <si>
    <t>For each included source, create one row per capability -&gt; autonomy dimension claim in 'Evidence_Items'. Fill the mandatory core fields first.</t>
  </si>
  <si>
    <t>Step 4</t>
  </si>
  <si>
    <t>Apply the four harm criteria. If all four are Y, the item is included. Fill optional lifecycle fields only if the source provides the information.</t>
  </si>
  <si>
    <t>Step 5</t>
  </si>
  <si>
    <t>'Edges_Summary' auto-aggregates edge weights from included items. 'Sensitivity_Passes' computes ranking robustness.</t>
  </si>
  <si>
    <t>EVIDENTIAL STATUS DECISION RULES</t>
  </si>
  <si>
    <t>3 - Empirically demonstrated</t>
  </si>
  <si>
    <t>Primary data DIRECTLY observing/measuring/testing the specific capability -&gt; autonomy dimension link.</t>
  </si>
  <si>
    <t>2 - Empirically informed</t>
  </si>
  <si>
    <t>Primary data on an adjacent/analogous link, requiring a short inferential step to the coded pair.</t>
  </si>
  <si>
    <t>1 - Theoretically proposed</t>
  </si>
  <si>
    <t>Conceptual/theoretical argument without primary data.</t>
  </si>
  <si>
    <t>EDGE WEIGHT FORMULA</t>
  </si>
  <si>
    <t>edge_weight = sum of evidential_status scores across all INDEPENDENT evidence items supporting the edge. Corroborating sources making the same claim from the same evidence base are linked on one item, not counted separately.</t>
  </si>
  <si>
    <t>HARM CRITERIA GATE (all four required)</t>
  </si>
  <si>
    <t>Capacity impact</t>
  </si>
  <si>
    <t>Impairment to the ability to decide, act, or participate (not mere inconvenience).</t>
  </si>
  <si>
    <t>Social mediation</t>
  </si>
  <si>
    <t>Impairment arises through social arrangements, not private preference alone.</t>
  </si>
  <si>
    <t>Preventability</t>
  </si>
  <si>
    <t>Plausibly alterable through different governance or design.</t>
  </si>
  <si>
    <t>Mechanism present</t>
  </si>
  <si>
    <t>The source specifies HOW the capability produces the impairment (describe it fully in the optional 'Harm mechanism' field).</t>
  </si>
  <si>
    <t>COLOUR KEY</t>
  </si>
  <si>
    <t>Dark blue = mandatory core | Green = optional data-lifecycle story | Grey = admin/reliability.</t>
  </si>
  <si>
    <t>Controlled Vocabulary</t>
  </si>
  <si>
    <r>
      <rPr>
        <b/>
        <i/>
        <sz val="10"/>
        <color rgb="FF000000"/>
        <rFont val="Arial"/>
      </rPr>
      <t>Sections 1-7 are the dissertation core.</t>
    </r>
    <r>
      <rPr>
        <i/>
        <sz val="10"/>
        <color rgb="FF000000"/>
        <rFont val="Arial"/>
      </rPr>
      <t xml:space="preserve"> Sections 8-12 are the optional data-lifecycle vocabularies (meant for future research). Extend the Capabilities list inductively; log additions in the change log at the bottom.</t>
    </r>
  </si>
  <si>
    <t>1. AUTONOMY DIMENSIONS  (6 fixed outcome nodes - CORE)</t>
  </si>
  <si>
    <t>ID</t>
  </si>
  <si>
    <t>Dimension</t>
  </si>
  <si>
    <t>Include when...</t>
  </si>
  <si>
    <t>Exclude when...</t>
  </si>
  <si>
    <t>Key sources</t>
  </si>
  <si>
    <t>AUT-EPI</t>
  </si>
  <si>
    <t>Epistemic autonomy</t>
  </si>
  <si>
    <t>Deception, engineered confusion, or opacity impairing the ability to know/understand what is done and why.</t>
  </si>
  <si>
    <t>Personalisation without claims of deception or impaired understanding.</t>
  </si>
  <si>
    <t>Susser et al. 2019; Zuboff 2021; OECD 2022</t>
  </si>
  <si>
    <t>AUT-DEC</t>
  </si>
  <si>
    <t>Decisional autonomy</t>
  </si>
  <si>
    <t>Covert targeting or vulnerability exploitation interfering with preference formation or choice integrity.</t>
  </si>
  <si>
    <t>Transparent persuasion absent exploitation or deception.</t>
  </si>
  <si>
    <t>Susser et al. 2019; Solove 2006</t>
  </si>
  <si>
    <t>AUT-VOL</t>
  </si>
  <si>
    <t>Volitional autonomy</t>
  </si>
  <si>
    <t>Coerced 'choice', inability to refuse/exit, surveillance-enabled intimidation and dependency.</t>
  </si>
  <si>
    <t>Refusal/exit meaningfully available without penalty.</t>
  </si>
  <si>
    <t>Raz 1986; coercive control literature</t>
  </si>
  <si>
    <t>AUT-BEH</t>
  </si>
  <si>
    <t>Behavioural autonomy</t>
  </si>
  <si>
    <t>Chilling effects or behavioural modification attributable to perceived surveillance (self-censorship, withdrawal).</t>
  </si>
  <si>
    <t>Behaviour change described as mere convenience absent surveillance pressure.</t>
  </si>
  <si>
    <t>Penney 2016, 2017</t>
  </si>
  <si>
    <t>AUT-OPP</t>
  </si>
  <si>
    <t>Option/opportunity autonomy</t>
  </si>
  <si>
    <t>Narrowed life chances, exclusion, or differential treatment linked to profiling/scoring/sorting.</t>
  </si>
  <si>
    <t>Equal treatment maintained or differential treatment justified on non-surveillance grounds.</t>
  </si>
  <si>
    <t>Lyon 2003; Barocas &amp; Selbst 2016</t>
  </si>
  <si>
    <t>AUT-DOM</t>
  </si>
  <si>
    <t>Agency under domination</t>
  </si>
  <si>
    <t>Exposure to unaccountable, contestation-resistant power enabled by surveillance infrastructure.</t>
  </si>
  <si>
    <t>Generic 'big tech is powerful' claims without a described pathway of arbitrary control.</t>
  </si>
  <si>
    <t>Hoeksema 2023</t>
  </si>
  <si>
    <t>2. SURVEILLANCE-CAPITALIST CAPABILITIES  (seed - extend inductively - CORE)</t>
  </si>
  <si>
    <t>Capability</t>
  </si>
  <si>
    <t>Definition</t>
  </si>
  <si>
    <t>Status / origin</t>
  </si>
  <si>
    <t>CAP-001</t>
  </si>
  <si>
    <t>Persistent identification</t>
  </si>
  <si>
    <t>Durable identifiers (cookies, device fingerprints, auth IDs, SSO) enabling tracking across time/devices/contexts.</t>
  </si>
  <si>
    <t>seed</t>
  </si>
  <si>
    <t>CAP-002</t>
  </si>
  <si>
    <t>Location inference</t>
  </si>
  <si>
    <t>Inference of location from IP, wifi, GPS, bluetooth, telemetry, or behavioural fingerprints.</t>
  </si>
  <si>
    <t>CAP-003</t>
  </si>
  <si>
    <t>Audience microtargeting</t>
  </si>
  <si>
    <t>Fine-grained segmentation and delivery of content to specific segments or individuals.</t>
  </si>
  <si>
    <t>CAP-004</t>
  </si>
  <si>
    <t>Real-time bidding / programmatic adtech</t>
  </si>
  <si>
    <t>Auction-based real-time advertising infrastructure broadcasting bid-request data widely.</t>
  </si>
  <si>
    <t>CAP-005</t>
  </si>
  <si>
    <t>Behavioural profiling</t>
  </si>
  <si>
    <t>Aggregation of behavioural signals into predictive profiles or scores.</t>
  </si>
  <si>
    <t>CAP-006</t>
  </si>
  <si>
    <t>Content personalisation / algorithmic curation</t>
  </si>
  <si>
    <t>Algorithmic ranking, filtering, or recommendation of content.</t>
  </si>
  <si>
    <t>CAP-007</t>
  </si>
  <si>
    <t>Data broker aggregation</t>
  </si>
  <si>
    <t>Third-party collection, enrichment, and resale of personal/behavioural data.</t>
  </si>
  <si>
    <t>CAP-008</t>
  </si>
  <si>
    <t>Cross-device linking</t>
  </si>
  <si>
    <t>Tying activity across devices/contexts to a single identity profile.</t>
  </si>
  <si>
    <t>CAP-009</t>
  </si>
  <si>
    <t>Dark patterns / deceptive design</t>
  </si>
  <si>
    <t>Interface design that steers, deceives, or coerces users into particular choices.</t>
  </si>
  <si>
    <t>CAP-010</t>
  </si>
  <si>
    <t>Covert telemetry</t>
  </si>
  <si>
    <t>Silent/background collection of app, sensor, or network telemetry without meaningful notice.</t>
  </si>
  <si>
    <t>CAP-011</t>
  </si>
  <si>
    <t>Social graph inference</t>
  </si>
  <si>
    <t>Inference of relationship ties, affiliations, and communities from interaction patterns.</t>
  </si>
  <si>
    <t>CAP-012</t>
  </si>
  <si>
    <t>Predictive scoring / risk rating</t>
  </si>
  <si>
    <t>Automated risk/worth scoring of individuals used to drive decisions.</t>
  </si>
  <si>
    <t>CAP-013</t>
  </si>
  <si>
    <t>Attention-capture / engagement-maximising design</t>
  </si>
  <si>
    <t>Design engineered to capture, hold and maximise users' attention and time-on-service (variable-reward feedback, infinite scroll, autoplay, notification loops, streak/engagement mechanics). Target is continued engagement itself - distinct from deceptive choice-tricks aimed at a specific transactional decision (CAP-009) and from which content is ranked or recommended (CAP-006).</t>
  </si>
  <si>
    <t>inductive (added 2026-06-20; see Change Log s.13)</t>
  </si>
  <si>
    <t>[ADD]</t>
  </si>
  <si>
    <t>[New capability discovered during extraction]</t>
  </si>
  <si>
    <t>[Definition]</t>
  </si>
  <si>
    <t>[Source + date]</t>
  </si>
  <si>
    <t>3. EDGE TYPES  (13 fine-grained -&gt; 3 superordinate groups - CORE)</t>
  </si>
  <si>
    <t>Fine-grained type</t>
  </si>
  <si>
    <t>Superordinate group</t>
  </si>
  <si>
    <t>Coding rule</t>
  </si>
  <si>
    <t>E01</t>
  </si>
  <si>
    <t>ENABLES</t>
  </si>
  <si>
    <t>Facilitation</t>
  </si>
  <si>
    <t>Makes the harm possible; a missing prerequisite is supplied.</t>
  </si>
  <si>
    <t>E02</t>
  </si>
  <si>
    <t>LOWERS_EFFORT</t>
  </si>
  <si>
    <t>Reduces time, skill, money, or coordination needed.</t>
  </si>
  <si>
    <t>E03</t>
  </si>
  <si>
    <t>LOWERS_RISK</t>
  </si>
  <si>
    <t>Reduces risk of detection, attribution, or resistance.</t>
  </si>
  <si>
    <t>E04</t>
  </si>
  <si>
    <t>INCREASES_ACCESS</t>
  </si>
  <si>
    <t>Expands access to targets, victims, contexts, or channels.</t>
  </si>
  <si>
    <t>E05</t>
  </si>
  <si>
    <t>AMPLIFIES</t>
  </si>
  <si>
    <t>Intensification</t>
  </si>
  <si>
    <t>Increases likelihood, severity, reach, or frequency.</t>
  </si>
  <si>
    <t>E06</t>
  </si>
  <si>
    <t>INCREASES_REWARD</t>
  </si>
  <si>
    <t>Raises the payoff of harm.</t>
  </si>
  <si>
    <t>E07</t>
  </si>
  <si>
    <t>INCREASES_PRECISION</t>
  </si>
  <si>
    <t>Improves targeting accuracy; right message/right moment.</t>
  </si>
  <si>
    <t>E08</t>
  </si>
  <si>
    <t>INCREASES_SCALE</t>
  </si>
  <si>
    <t>Allows harms at larger volume with similar effort.</t>
  </si>
  <si>
    <t>E09</t>
  </si>
  <si>
    <t>ACCELERATES</t>
  </si>
  <si>
    <t>Speeds up harm production cycles.</t>
  </si>
  <si>
    <t>E10</t>
  </si>
  <si>
    <t>INCREASES_PERSISTENCE</t>
  </si>
  <si>
    <t>Extends duration of tracking/influence/control.</t>
  </si>
  <si>
    <t>E11</t>
  </si>
  <si>
    <t>OBSCURES_VISIBILITY</t>
  </si>
  <si>
    <t>Concealment/Power</t>
  </si>
  <si>
    <t>Reduces detectability of the mechanism.</t>
  </si>
  <si>
    <t>E12</t>
  </si>
  <si>
    <t>INCREASES_ASYMMETRY</t>
  </si>
  <si>
    <t>Increases information/power imbalance.</t>
  </si>
  <si>
    <t>E13</t>
  </si>
  <si>
    <t>INVITES</t>
  </si>
  <si>
    <t>Design actively encourages harmful use.</t>
  </si>
  <si>
    <t>4. SOURCE TYPES  (metadata - CORE)</t>
  </si>
  <si>
    <t>Source type</t>
  </si>
  <si>
    <t>SRC-EQ</t>
  </si>
  <si>
    <t>Empirical-quantitative</t>
  </si>
  <si>
    <t>Primary quantitative research (experiments, surveys, observational with numerical data).</t>
  </si>
  <si>
    <t>SRC-EL</t>
  </si>
  <si>
    <t>Empirical-qualitative</t>
  </si>
  <si>
    <t>Primary qualitative research (interviews, ethnography, case studies).</t>
  </si>
  <si>
    <t>SRC-RL</t>
  </si>
  <si>
    <t>Regulatory / legal</t>
  </si>
  <si>
    <t>Enforcement decisions, regulator opinions, case law, legislative findings.</t>
  </si>
  <si>
    <t>SRC-TA</t>
  </si>
  <si>
    <t>Technical audit</t>
  </si>
  <si>
    <t>Reverse engineering, traffic analysis, app/algorithm audits.</t>
  </si>
  <si>
    <t>SRC-TC</t>
  </si>
  <si>
    <t>Theoretical / conceptual</t>
  </si>
  <si>
    <t>Conceptual or normative argument without primary data.</t>
  </si>
  <si>
    <t>SRC-PN</t>
  </si>
  <si>
    <t>Policy / NGO report</t>
  </si>
  <si>
    <t>Civil-society reports, policy papers, think-tank analyses.</t>
  </si>
  <si>
    <t>SRC-CE</t>
  </si>
  <si>
    <t>Case law / enforcement</t>
  </si>
  <si>
    <t>Specific legal proceedings and their reasoning.</t>
  </si>
  <si>
    <t>5. EVIDENTIAL STATUS  (the ONLY weighting dimension - CORE)</t>
  </si>
  <si>
    <t>Score</t>
  </si>
  <si>
    <t>Label</t>
  </si>
  <si>
    <t>Decision rule</t>
  </si>
  <si>
    <t>Empirically demonstrated</t>
  </si>
  <si>
    <t>Primary data DIRECTLY observing the specific capability -&gt; autonomy dimension link.</t>
  </si>
  <si>
    <t>Empirically informed</t>
  </si>
  <si>
    <t>Primary data on an adjacent/analogous link; short inferential step required.</t>
  </si>
  <si>
    <t>Theoretically proposed</t>
  </si>
  <si>
    <t>Conceptual/theoretical argument; no primary data.</t>
  </si>
  <si>
    <t>6. UK RELEVANCE  (CORE)</t>
  </si>
  <si>
    <t>Code</t>
  </si>
  <si>
    <t>UK-S</t>
  </si>
  <si>
    <t>UK-specific</t>
  </si>
  <si>
    <t>About UK jurisdiction/sector/population.</t>
  </si>
  <si>
    <t>UK-A</t>
  </si>
  <si>
    <t>UK-applicable</t>
  </si>
  <si>
    <t>Comparable jurisdiction; plausibly applicable to UK.</t>
  </si>
  <si>
    <t>UK-U</t>
  </si>
  <si>
    <t>UK-uncertain</t>
  </si>
  <si>
    <t>Dissimilar context; applicability unclear.</t>
  </si>
  <si>
    <t>7. CODER CONFIDENCE  (CORE)</t>
  </si>
  <si>
    <t>Meaning</t>
  </si>
  <si>
    <t>H</t>
  </si>
  <si>
    <t>High</t>
  </si>
  <si>
    <t>Claim explicit; mapping to capability and dimension unambiguous.</t>
  </si>
  <si>
    <t>M</t>
  </si>
  <si>
    <t>Medium</t>
  </si>
  <si>
    <t>Claim clear but requires some interpretation.</t>
  </si>
  <si>
    <t>L</t>
  </si>
  <si>
    <t>Low</t>
  </si>
  <si>
    <t>Claim implicit; interpretation required. Flag for review.</t>
  </si>
  <si>
    <t>8. COLLECTION POINT TYPE  (OPTIONAL - where the data is collected)</t>
  </si>
  <si>
    <t>Type</t>
  </si>
  <si>
    <t>CP-APP</t>
  </si>
  <si>
    <t>Mobile app</t>
  </si>
  <si>
    <t>Smartphone/tablet application.</t>
  </si>
  <si>
    <t>CP-WEB</t>
  </si>
  <si>
    <t>Website / web service</t>
  </si>
  <si>
    <t>Browser-accessed site or web app.</t>
  </si>
  <si>
    <t>CP-IOT</t>
  </si>
  <si>
    <t>Smart device / IoT</t>
  </si>
  <si>
    <t>Connected home devices, smart speakers, appliances.</t>
  </si>
  <si>
    <t>CP-WEAR</t>
  </si>
  <si>
    <t>Wearable</t>
  </si>
  <si>
    <t>Fitness trackers, smartwatches, health wearables.</t>
  </si>
  <si>
    <t>CP-OS</t>
  </si>
  <si>
    <t>Operating system / browser</t>
  </si>
  <si>
    <t>OS-level or browser-level data collection.</t>
  </si>
  <si>
    <t>CP-SENS</t>
  </si>
  <si>
    <t>Physical sensor</t>
  </si>
  <si>
    <t>CCTV, beacons, in-store sensors, ANPR.</t>
  </si>
  <si>
    <t>CP-VEH</t>
  </si>
  <si>
    <t>Connected vehicle</t>
  </si>
  <si>
    <t>Telematics, in-car infotainment.</t>
  </si>
  <si>
    <t>CP-PLAT</t>
  </si>
  <si>
    <t>Platform service</t>
  </si>
  <si>
    <t>Social media, search engine, marketplace.</t>
  </si>
  <si>
    <t>CP-3P</t>
  </si>
  <si>
    <t>Third-party feed</t>
  </si>
  <si>
    <t>Data already collected and supplied by another party.</t>
  </si>
  <si>
    <t>CP-OTH</t>
  </si>
  <si>
    <t>Other / unspecified</t>
  </si>
  <si>
    <t>Use the free-text 'Collection point' field for detail.</t>
  </si>
  <si>
    <t>9. COLLECTION METHOD  (OPTIONAL - how the data is collected)</t>
  </si>
  <si>
    <t>Method</t>
  </si>
  <si>
    <t>CM-SDK</t>
  </si>
  <si>
    <t>Embedded SDK / library</t>
  </si>
  <si>
    <t>Third-party software development kit embedded in an app/site.</t>
  </si>
  <si>
    <t>CM-COOK</t>
  </si>
  <si>
    <t>Cookies / pixels / beacons</t>
  </si>
  <si>
    <t>Web-tracking technologies.</t>
  </si>
  <si>
    <t>CM-FP</t>
  </si>
  <si>
    <t>Device fingerprinting</t>
  </si>
  <si>
    <t>Identification via device/browser characteristics.</t>
  </si>
  <si>
    <t>CM-TEL</t>
  </si>
  <si>
    <t>Sensor / telemetry</t>
  </si>
  <si>
    <t>Background sensor or usage telemetry.</t>
  </si>
  <si>
    <t>CM-ACCT</t>
  </si>
  <si>
    <t>Account / profile data</t>
  </si>
  <si>
    <t>Data provided through registration or profile.</t>
  </si>
  <si>
    <t>CM-NET</t>
  </si>
  <si>
    <t>Network / traffic monitoring</t>
  </si>
  <si>
    <t>Inspection of network traffic.</t>
  </si>
  <si>
    <t>CM-LOC</t>
  </si>
  <si>
    <t>Location services</t>
  </si>
  <si>
    <t>GPS, wifi, bluetooth, cell-tower positioning.</t>
  </si>
  <si>
    <t>CM-INF</t>
  </si>
  <si>
    <t>Inferred / modelled</t>
  </si>
  <si>
    <t>Derived through inference rather than direct capture.</t>
  </si>
  <si>
    <t>CM-SCR</t>
  </si>
  <si>
    <t>Scraping</t>
  </si>
  <si>
    <t>Automated extraction from public or semi-public sources.</t>
  </si>
  <si>
    <t>CM-PUR</t>
  </si>
  <si>
    <t>Purchased / acquired</t>
  </si>
  <si>
    <t>Bought or licensed from a third party.</t>
  </si>
  <si>
    <t>CM-OTH</t>
  </si>
  <si>
    <t>Use the free-text 'Collection method detail' field.</t>
  </si>
  <si>
    <t>10. ONWARD RECIPIENT TYPE  (OPTIONAL - where the data goes)</t>
  </si>
  <si>
    <t>RC-FIRST</t>
  </si>
  <si>
    <t>First-party retention only</t>
  </si>
  <si>
    <t>Data kept by the collecting entity; no onward transfer described.</t>
  </si>
  <si>
    <t>RC-BROKER</t>
  </si>
  <si>
    <t>Data broker / aggregator</t>
  </si>
  <si>
    <t>Sold/passed to a data broker or aggregator.</t>
  </si>
  <si>
    <t>RC-EXCH</t>
  </si>
  <si>
    <t>Ad exchange / SSP / DSP</t>
  </si>
  <si>
    <t>Programmatic advertising intermediaries.</t>
  </si>
  <si>
    <t>RC-ADV</t>
  </si>
  <si>
    <t>Advertiser / brand</t>
  </si>
  <si>
    <t>Demand-side buyer using the data for targeting.</t>
  </si>
  <si>
    <t>RC-POL</t>
  </si>
  <si>
    <t>Political campaign / consultancy</t>
  </si>
  <si>
    <t>Electoral or political targeting use.</t>
  </si>
  <si>
    <t>RC-ANALYTICS</t>
  </si>
  <si>
    <t>Analytics provider</t>
  </si>
  <si>
    <t>Measurement/analytics third party.</t>
  </si>
  <si>
    <t>RC-GOV</t>
  </si>
  <si>
    <t>Government / law enforcement</t>
  </si>
  <si>
    <t>State access or acquisition.</t>
  </si>
  <si>
    <t>RC-OTH</t>
  </si>
  <si>
    <t>Other third party</t>
  </si>
  <si>
    <t>Any other recipient.</t>
  </si>
  <si>
    <t>RC-UNK</t>
  </si>
  <si>
    <t>Unknown / unspecified</t>
  </si>
  <si>
    <t>Source does not state the recipient.</t>
  </si>
  <si>
    <t>11. TRANSFER MECHANISM  (OPTIONAL - how the data moves onward)</t>
  </si>
  <si>
    <t>Mechanism</t>
  </si>
  <si>
    <t>TM-SOLD</t>
  </si>
  <si>
    <t>Sold</t>
  </si>
  <si>
    <t>Transferred for payment.</t>
  </si>
  <si>
    <t>TM-LIC</t>
  </si>
  <si>
    <t>Licensed</t>
  </si>
  <si>
    <t>Licensed for defined use.</t>
  </si>
  <si>
    <t>TM-SHARE</t>
  </si>
  <si>
    <t>Shared (no fee)</t>
  </si>
  <si>
    <t>Disclosed without direct payment.</t>
  </si>
  <si>
    <t>TM-RTB</t>
  </si>
  <si>
    <t>RTB broadcast</t>
  </si>
  <si>
    <t>Broadcast through real-time bidding bid requests.</t>
  </si>
  <si>
    <t>TM-BROKER</t>
  </si>
  <si>
    <t>Brokered</t>
  </si>
  <si>
    <t>Passed via an intermediary broker.</t>
  </si>
  <si>
    <t>TM-BREACH</t>
  </si>
  <si>
    <t>Breached / leaked</t>
  </si>
  <si>
    <t>Disclosed through breach or leak.</t>
  </si>
  <si>
    <t>TM-UNK</t>
  </si>
  <si>
    <t>Source does not state the mechanism.</t>
  </si>
  <si>
    <t>12. TARGET / AFFECTED PARTY TYPE  (OPTIONAL - who is harmed)</t>
  </si>
  <si>
    <t>TG-GEN</t>
  </si>
  <si>
    <t>General population / all users</t>
  </si>
  <si>
    <t>Harm affects users broadly.</t>
  </si>
  <si>
    <t>TG-CHILD</t>
  </si>
  <si>
    <t>Children / minors</t>
  </si>
  <si>
    <t>Affects under-18s specifically.</t>
  </si>
  <si>
    <t>TG-DEMO</t>
  </si>
  <si>
    <t>Specific demographic group</t>
  </si>
  <si>
    <t>Age, gender, ethnicity, location group (use free text).</t>
  </si>
  <si>
    <t>TG-VULN</t>
  </si>
  <si>
    <t>Economically vulnerable</t>
  </si>
  <si>
    <t>Low-income or financially precarious groups.</t>
  </si>
  <si>
    <t>TG-POL</t>
  </si>
  <si>
    <t>Political / activist group</t>
  </si>
  <si>
    <t>Voters, activists, dissidents.</t>
  </si>
  <si>
    <t>TG-HEALTH</t>
  </si>
  <si>
    <t>Health-condition group</t>
  </si>
  <si>
    <t>People with particular health conditions.</t>
  </si>
  <si>
    <t>TG-CONS</t>
  </si>
  <si>
    <t>Consumers</t>
  </si>
  <si>
    <t>In a purchasing/commercial context.</t>
  </si>
  <si>
    <t>TG-WORK</t>
  </si>
  <si>
    <t>Employees / workers</t>
  </si>
  <si>
    <t>Workplace surveillance context.</t>
  </si>
  <si>
    <t>TG-PROT</t>
  </si>
  <si>
    <t>Protected-characteristic group</t>
  </si>
  <si>
    <t>Groups defined by protected characteristics.</t>
  </si>
  <si>
    <t>TG-OTH</t>
  </si>
  <si>
    <t>Use the free-text 'Target/affected party' field.</t>
  </si>
  <si>
    <t>13. CAPABILITY CHANGE LOG  (record every inductive addition)</t>
  </si>
  <si>
    <t>Date</t>
  </si>
  <si>
    <t>New ID</t>
  </si>
  <si>
    <t>Source ID</t>
  </si>
  <si>
    <t>Rationale</t>
  </si>
  <si>
    <t>2026-06-20</t>
  </si>
  <si>
    <t>S145; S135; S106</t>
  </si>
  <si>
    <t>Attention-capture / addictive engagement design was previously accommodated across CAP-006 (curation) and CAP-009 (deceptive design), but its target - the user's attention and continued engagement itself (variable rewards, infinite scroll, notifications) - and its characteristic harm to volitional autonomy (compulsive use, 'corruption of the will') make it a distinct capability. Promoted to a dedicated node after review. Recoded to CAP-013: EV-0145 (Williams 2018, theoretical) from CAP-009; EV-0137 (Allcott et al. 2020, empirical FB-deactivation self-control finding) and EV-0108 (Milano et al. 2020, engagement-tuned recommenders habituate attention) from CAP-006. First inductive capability addition; seed vocabulary CAP-001..012 otherwise unchanged.</t>
  </si>
  <si>
    <t>[DATE]</t>
  </si>
  <si>
    <t>[CAP-ID]</t>
  </si>
  <si>
    <t>[Capability]</t>
  </si>
  <si>
    <t>[Source ID]</t>
  </si>
  <si>
    <t>[Rationale]</t>
  </si>
  <si>
    <t>Sources Log (PRISMA-ScR tracking)</t>
  </si>
  <si>
    <t>One row per screened source. Every source used in Evidence_Items must appear here with decision = include.</t>
  </si>
  <si>
    <t>Source_ID</t>
  </si>
  <si>
    <t>Full citation</t>
  </si>
  <si>
    <t>Year</t>
  </si>
  <si>
    <t>Source type (see CV §4)</t>
  </si>
  <si>
    <t>Database / retrieval</t>
  </si>
  <si>
    <t>Date screened</t>
  </si>
  <si>
    <t>Title/abstract decision</t>
  </si>
  <si>
    <t>Full-text decision</t>
  </si>
  <si>
    <t>Final decision (include/exclude)</t>
  </si>
  <si>
    <t>Exclusion reason</t>
  </si>
  <si>
    <t>Notes</t>
  </si>
  <si>
    <t>S001</t>
  </si>
  <si>
    <t>Susser, D., Roessler, B., &amp; Nissenbaum, H. (2019). Online manipulation. Georgetown Law Technology Review.</t>
  </si>
  <si>
    <t>Google Scholar</t>
  </si>
  <si>
    <t>Include</t>
  </si>
  <si>
    <t>include</t>
  </si>
  <si>
    <t>Core conceptual source</t>
  </si>
  <si>
    <t>S002</t>
  </si>
  <si>
    <t>ICO (2019). Update report into adtech and real time bidding.</t>
  </si>
  <si>
    <t>ICO website</t>
  </si>
  <si>
    <t>UK-specific RTB evidence</t>
  </si>
  <si>
    <t>S003</t>
  </si>
  <si>
    <t>Zuboff, S. (2015). Big other: Surveillance capitalism and the prospects of an information civilization. Journal of Information Technology, 30(1), 75-89.</t>
  </si>
  <si>
    <t>Google Scholar / SSRN</t>
  </si>
  <si>
    <t>Foundational surveillance-capitalism source. DOI 10.1057/jit.2015.5. Verified.</t>
  </si>
  <si>
    <t>S004</t>
  </si>
  <si>
    <t>Solove, D. J. (2006). A Taxonomy of Privacy. University of Pennsylvania Law Review, 154(3), 477-564.</t>
  </si>
  <si>
    <t>HeinOnline / SSRN</t>
  </si>
  <si>
    <t>Foundational privacy-law taxonomy (aggregation, identification, exclusion, decisional interference). Verified.</t>
  </si>
  <si>
    <t>S005</t>
  </si>
  <si>
    <t>Nissenbaum, H. (2004). Privacy as contextual integrity. Washington Law Review, 79(1), 119-157.</t>
  </si>
  <si>
    <t>Google Scholar / NYU Scholars</t>
  </si>
  <si>
    <t>Contextual-integrity framework (appropriate information flow). Verified.</t>
  </si>
  <si>
    <t>S006</t>
  </si>
  <si>
    <t>Kosinski, M., Stillwell, D., &amp; Graepel, T. (2013). Private traits and attributes are predictable from digital records of human behavior. PNAS, 110(15), 5802-5805.</t>
  </si>
  <si>
    <t>PNAS</t>
  </si>
  <si>
    <t>Inference of sensitive attributes from Facebook Likes (n&gt;58,000). DOI 10.1073/pnas.1218772110. Verified.</t>
  </si>
  <si>
    <t>S007</t>
  </si>
  <si>
    <t>Matz, S. C., Kosinski, M., Nave, G., &amp; Stillwell, D. J. (2017). Psychological targeting as an effective approach to digital mass persuasion. PNAS, 114(48), 12714-12719.</t>
  </si>
  <si>
    <t>Field experiments (reach &gt;3.5M) on psychological targeting. DOI 10.1073/pnas.1710966114. Verified.</t>
  </si>
  <si>
    <t>S008</t>
  </si>
  <si>
    <t>Acquisti, A., Taylor, C., &amp; Wagman, L. (2016). The Economics of Privacy. Journal of Economic Literature, 54(2), 442-492.</t>
  </si>
  <si>
    <t>AEA / SSRN</t>
  </si>
  <si>
    <t>Economics review; central theme: asymmetric/imperfect information impairs informed choice. DOI 10.1257/jel.54.2.442. Verified.</t>
  </si>
  <si>
    <t>S009</t>
  </si>
  <si>
    <t>Englehardt, S., &amp; Narayanan, A. (2016). Online tracking: A 1-million-site measurement and analysis. ACM CCS 2016, 1388-1401.</t>
  </si>
  <si>
    <t>ACM Digital Library</t>
  </si>
  <si>
    <t>Largest web-tracking measurement; stateful + stateless tracking, cookie syncing. DOI 10.1145/2976749.2978313. Verified.</t>
  </si>
  <si>
    <t>S010</t>
  </si>
  <si>
    <t>Mathur, A., Acar, G., Friedman, M. J., Lucherini, E., Mayer, J., Chetty, M., &amp; Narayanan, A. (2019). Dark patterns at scale: Findings from a crawl of 11K shopping websites. Proceedings of the ACM on Human-Computer Interaction, 3(CSCW), Article 81.</t>
  </si>
  <si>
    <t>Automated audit of dark patterns on 11K shopping sites. DOI 10.1145/3359183. Verified.</t>
  </si>
  <si>
    <t>S011</t>
  </si>
  <si>
    <t>Competition and Markets Authority (2020). Online platforms and digital advertising: Market study final report.</t>
  </si>
  <si>
    <t>gov.uk (CMA case page)</t>
  </si>
  <si>
    <t>UK regulator: consumers have limited control over data; market power + asymmetry. Final report 1 July 2020. Verified.</t>
  </si>
  <si>
    <t>S012</t>
  </si>
  <si>
    <t>Barocas, S., &amp; Selbst, A. D. (2016). Big Data's Disparate Impact. California Law Review, 104(3), 671-732.</t>
  </si>
  <si>
    <t>California Law Review / SSRN</t>
  </si>
  <si>
    <t>Data-mining can produce disparate impact / exclusion (anti-discrimination law). Verified.</t>
  </si>
  <si>
    <t>S013</t>
  </si>
  <si>
    <t>Penney, J. W. (2016). Chilling Effects: Online Surveillance and Wikipedia Use. Berkeley Technology Law Journal, 31(1), 117-182.</t>
  </si>
  <si>
    <t>Berkeley Technology Law Journal</t>
  </si>
  <si>
    <t>First empirical chilling-effects study (Wikipedia traffic post-Snowden). DOI 10.15779/Z38SS13. Verified.</t>
  </si>
  <si>
    <t>S014</t>
  </si>
  <si>
    <t>Calo, R. (2014). Digital Market Manipulation. George Washington Law Review, 82(4), 995-1051.</t>
  </si>
  <si>
    <t>GW Law Review / SSRN</t>
  </si>
  <si>
    <t>Personalised exploitation of individual cognitive biases at scale (the "mediated consumer"). Verified.</t>
  </si>
  <si>
    <t>S015</t>
  </si>
  <si>
    <t>Yeung, K. (2017). 'Hypernudge': Big Data as a mode of regulation by design. Information, Communication &amp; Society, 20(1), 118-136.</t>
  </si>
  <si>
    <t>Taylor &amp; Francis</t>
  </si>
  <si>
    <t>Algorithmic decision-guidance ("hypernudge") shapes choice context; UK author (KCL). DOI 10.1080/1369118X.2016.1186713. Verified.</t>
  </si>
  <si>
    <t>S016</t>
  </si>
  <si>
    <t>Reardon, J., Feal, A., Wijesekera, P., Elazari Bar On, A., Vallina-Rodriguez, N., &amp; Egelman, S. (2019). 50 Ways to Leak Your Data: An Exploration of Apps' Circumvention of the Android Permissions System. 28th USENIX Security Symposium, 603-620.</t>
  </si>
  <si>
    <t>USENIX</t>
  </si>
  <si>
    <t>Apps + third-party SDKs use covert/side channels to access IDs &amp; geolocation without consent. Verified.</t>
  </si>
  <si>
    <t>S017</t>
  </si>
  <si>
    <t>Lyon, D. (Ed.) (2003). Surveillance as Social Sorting: Privacy, Risk, and Digital Discrimination. London: Routledge.</t>
  </si>
  <si>
    <t>Routledge</t>
  </si>
  <si>
    <t>Surveillance as social sorting: categorisation assigns worth/risk -&gt; differential treatment. ISBN 9780415278737. Verified.</t>
  </si>
  <si>
    <t>S018</t>
  </si>
  <si>
    <t>Christl, W. (2017). Corporate Surveillance in Everyday Life: How Companies Collect, Combine, Analyze, Trade, and Use Personal Data on Billions. Cracked Labs, Vienna.</t>
  </si>
  <si>
    <t>Cracked Labs (crackedlabs.org)</t>
  </si>
  <si>
    <t>Investigative report on the data-broker ecosystem and hidden onward data flows. Verified.</t>
  </si>
  <si>
    <t>S019</t>
  </si>
  <si>
    <t>Acquisti, A., Brandimarte, L., &amp; Loewenstein, G. (2015). Privacy and human behavior in the age of information. Science, 347(6221), 509-514.</t>
  </si>
  <si>
    <t>Science (AAAS)</t>
  </si>
  <si>
    <t>Review: privacy decisions are malleable and manipulable by commercial/government interests. DOI 10.1126/science.aaa1465. Verified.</t>
  </si>
  <si>
    <t>S020</t>
  </si>
  <si>
    <t>Zimmeck, S., Li, J. S., Kim, H., Bellovin, S. M., &amp; Jebara, T. (2017). A Privacy Analysis of Cross-device Tracking. In 26th USENIX Security Symposium (USENIX Security 17) (pp. 1391-1408). USENIX Association.</t>
  </si>
  <si>
    <t>USENIX / Semantic Scholar</t>
  </si>
  <si>
    <t>Cross-device linking (CAP-008). Empirically demonstrates mobile-desktop matching (F-1=0.91) across 126 users; audits transparency of 40 cross-device firms. ISBN 978-1-931971-40-9. Verified.</t>
  </si>
  <si>
    <t>S021</t>
  </si>
  <si>
    <t>Brookman, J., Rouge, P., Alva, A., &amp; Yeung, C. (2017). Cross-Device Tracking: Measurement and Disclosures. Proceedings on Privacy Enhancing Technologies, 2017(2), 133-148.</t>
  </si>
  <si>
    <t>PoPETs / petsymposium.org</t>
  </si>
  <si>
    <t>Cross-device linking (CAP-008). Documents construction of consumer 'device graphs'; 861 third-party domains contacted across two devices over 100 sites. FTC-authored. DOI 10.1515/popets-2017-0020. Verified.</t>
  </si>
  <si>
    <t>S022</t>
  </si>
  <si>
    <t>Garcia, D. (2017). Leaking privacy and shadow profiles in online social networks. Science Advances, 3(8), e1701172.</t>
  </si>
  <si>
    <t>Science Advances (AAAS)</t>
  </si>
  <si>
    <t>Social graph inference (CAP-011). Empirically tests the shadow-profile hypothesis: predicts relationship status &amp; sexual orientation of NON-users from users' contact lists (historical audit of a defunct OSN). DOI 10.1126/sciadv.1701172. Verified.</t>
  </si>
  <si>
    <t>S023</t>
  </si>
  <si>
    <t>Sarigol, E., Garcia, D., &amp; Schweitzer, F. (2014). Online Privacy as a Collective Phenomenon. In Proceedings of the 2014 ACM Conference on Online Social Networks (COSN '14) (pp. 95-106). ACM.</t>
  </si>
  <si>
    <t>Social graph inference (CAP-011). Shows shadow profiles can be built for people without an account via friends' shared contact lists; privacy as a collective (not purely individual) decision. DOI 10.1145/2660460.2660470. Verified.</t>
  </si>
  <si>
    <t>S024</t>
  </si>
  <si>
    <t>Kramer, A. D. I., Guillory, J. E., &amp; Hancock, J. T. (2014). Experimental evidence of massive-scale emotional contagion through social networks. Proceedings of the National Academy of Sciences, 111(24), 8788-8790.</t>
  </si>
  <si>
    <t>Content personalisation/curation (CAP-006). Massive Facebook experiment (N=689,003): manipulating News Feed emotional content shifted users' own emotional expression, 'without their awareness'. DOI 10.1073/pnas.1320040111. Note: PNAS issued an Editorial Expression of Concern re: informed consent/opt-out. Verified.</t>
  </si>
  <si>
    <t>S025</t>
  </si>
  <si>
    <t>Citron, D. K., &amp; Pasquale, F. A. (2014). The Scored Society: Due Process for Automated Predictions. Washington Law Review, 89(1), 1-33.</t>
  </si>
  <si>
    <t>Washington Law Review / SSRN</t>
  </si>
  <si>
    <t>Predictive scoring (CAP-012). Argues opaque, unaccountable scoring affects loans, work, housing and insurance with no meaningful way to contest; calls for technological due process. SSRN 2376209. Verified.</t>
  </si>
  <si>
    <t>S026</t>
  </si>
  <si>
    <t>Veale, M., &amp; Zuiderveen Borgesius, F. (2022). Adtech and Real-Time Bidding under European Data Protection Law. German Law Journal, 23(2), 226-256.</t>
  </si>
  <si>
    <t>German Law Journal (Cambridge) / UCL</t>
  </si>
  <si>
    <t>Real-time bidding / programmatic adtech (CAP-004). Legal-technical analysis: RTB broadcasts personal data to many third parties and is structurally hard to reconcile with EU/UK data-protection law; publishers themselves lack insight into what is collected. DOI 10.1017/glj.2022.18. Verified.</t>
  </si>
  <si>
    <t>S027</t>
  </si>
  <si>
    <t>Eubanks, V. (2018). Automating Inequality: How High-Tech Tools Profile, Police, and Punish the Poor. New York: St. Martin's Press.</t>
  </si>
  <si>
    <t>St. Martin's Press</t>
  </si>
  <si>
    <t>Predictive scoring / risk rating (CAP-012). Investigative case studies (Indiana welfare automation; LA homelessness vulnerability scoring; Allegheny child-welfare risk model) showing automated scoring excludes and penalises poor/working-class people. ISBN 978-1-250-07431-7. Verified.</t>
  </si>
  <si>
    <t>S028</t>
  </si>
  <si>
    <t>Stoycheff, E. (2016). Under Surveillance: Examining Facebook's Spiral of Silence Effects in the Wake of NSA Internet Monitoring. Journalism &amp; Mass Communication Quarterly, 93(2), 296-311.</t>
  </si>
  <si>
    <t>Journalism &amp; Mass Communication Quarterly (SAGE)</t>
  </si>
  <si>
    <t>Chilling effects (AUT-BEH). Survey experiment: priming that online activity is monitored reduced willingness to voice minority political views (spiral of silence). Concerns surveillance awareness generally (state-surveillance analog for persistent commercial identification, cf. S013). DOI 10.1177/1077699016630255. Verified.</t>
  </si>
  <si>
    <t>S029</t>
  </si>
  <si>
    <t>Acar, G., Eubank, C., Englehardt, S., Juarez, M., Narayanan, A., &amp; Diaz, C. (2014). The Web Never Forgets: Persistent Tracking Mechanisms in the Wild. In Proceedings of the 2014 ACM SIGSAC Conference on Computer and Communications Security (CCS '14) (pp. 674-689). ACM.</t>
  </si>
  <si>
    <t>Persistent identification (CAP-001). First large-scale measurement of canvas fingerprinting, evercookies and cookie syncing; respawning defeats users' attempts to clear/refuse tracking. DOI 10.1145/2660267.2660347. Found via citation chase from S009. Verified.</t>
  </si>
  <si>
    <t>S030</t>
  </si>
  <si>
    <t>Mayer, J. R., &amp; Mitchell, J. C. (2012). Third-Party Web Tracking: Policy and Technology. In 2012 IEEE Symposium on Security and Privacy (pp. 413-427). IEEE.</t>
  </si>
  <si>
    <t>IEEE Xplore</t>
  </si>
  <si>
    <t>Persistent identification (CAP-001). Foundational survey + FourthParty measurement of third-party tracking across websites; users are largely unaware their browsing is tracked cross-site. DOI 10.1109/SP.2012.47. Found via citation chase from S009/S029. Verified.</t>
  </si>
  <si>
    <t>S031</t>
  </si>
  <si>
    <t>Nouwens, M., Liccardi, I., Veale, M., Karger, D., &amp; Kagal, L. (2020). Dark Patterns after the GDPR: Scraping Consent Pop-ups and Demonstrating their Influence. In Proceedings of the 2020 CHI Conference on Human Factors in Computing Systems (CHI '20) (Art. 194, pp. 1-13). ACM.</t>
  </si>
  <si>
    <t>ACM Digital Library / UCL</t>
  </si>
  <si>
    <t>Dark patterns / deceptive design (CAP-009). Scraped consent pop-ups on the top 10,000 UK websites (n=680): only 11.8% met minimal legal requirements; field experiment (40 participants) showed designs significantly skew consent. UK-specific. DOI 10.1145/3313831.3376321. Found via citation chase from S010/S026. Verified.</t>
  </si>
  <si>
    <t>S032</t>
  </si>
  <si>
    <t>Forbrukerradet (Norwegian Consumer Council). (2018). Deceived by Design: How tech companies use dark patterns to discourage us from exercising our rights to privacy. Oslo: Norwegian Consumer Council.</t>
  </si>
  <si>
    <t>Forbrukerradet (forbrukerradet.no)</t>
  </si>
  <si>
    <t>Dark patterns / deceptive design (CAP-009). Documents how Facebook, Google and Windows 10 use privacy-intrusive defaults and obstruction (easy to accept, hard to reject) to nudge users away from privacy-friendly options, questioning whether consent is freely given. Found via citation chase from S031. Verified.</t>
  </si>
  <si>
    <t>S033</t>
  </si>
  <si>
    <t>Pasquale, F. (2015). The Black Box Society: The Secret Algorithms That Control Money and Information. Cambridge, MA: Harvard University Press.</t>
  </si>
  <si>
    <t>Harvard University Press</t>
  </si>
  <si>
    <t>Predictive scoring / reputation (CAP-012). Argues opaque 'black box' algorithms in reputation, search and finance let powerful firms build invasive profiles and exercise unaccountable power, shielded by secrecy. ISBN 978-0674368279. Found via citation chase from S025. Verified.</t>
  </si>
  <si>
    <t>S034</t>
  </si>
  <si>
    <t>Sweeney, L. (2013). Discrimination in Online Ad Delivery. Communications of the ACM, 56(5), 44-54.</t>
  </si>
  <si>
    <t>ACM / SSRN</t>
  </si>
  <si>
    <t>Audience microtargeting (CAP-003). Empirical study of 2184 racially associated names: Google ad delivery was significantly more likely to show arrest-record ads for Black-identifying names, regardless of any actual record. DOI 10.1145/2447976.2447990. Verified.</t>
  </si>
  <si>
    <t>S035</t>
  </si>
  <si>
    <t>Datta, A., Tschantz, M. C., &amp; Datta, A. (2015). Automated Experiments on Ad Privacy Settings: A Tale of Opacity, Choice, and Discrimination. Proceedings on Privacy Enhancing Technologies, 2015(1), 92-112.</t>
  </si>
  <si>
    <t>Audience microtargeting (CAP-003). Controlled AdFisher experiments (1000 simulated users): setting profile gender to female yielded significantly fewer ads for high-paying jobs than male. DOI 10.1515/popets-2015-0007. Verified.</t>
  </si>
  <si>
    <t>S036</t>
  </si>
  <si>
    <t>Ali, M., Sapiezynski, P., Bogen, M., Korolova, A., Mislove, A., &amp; Rieke, A. (2019). Discrimination through Optimization: How Facebook's Ad Delivery Can Lead to Biased Outcomes. Proceedings of the ACM on Human-Computer Interaction, 3(CSCW), Article 199.</t>
  </si>
  <si>
    <t>Content personalisation / ad delivery (CAP-006). Real ad campaigns on Facebook: the platform's delivery optimisation skewed employment and housing ads along gender and racial lines even with neutral targeting. DOI 10.1145/3359301. Verified.</t>
  </si>
  <si>
    <t>S037</t>
  </si>
  <si>
    <t>Mertens, S., Herberz, M., Hahnel, U. J. J., &amp; Brosch, T. (2022). The effectiveness of nudging: A meta-analysis of choice architecture interventions across behavioral domains. Proceedings of the National Academy of Sciences, 119(1), e2107346118.</t>
  </si>
  <si>
    <t>META-ANALYSIS bearing on the choice-architecture mechanism behind dark patterns (CAP-009). &gt;200 studies / &gt;440 effect sizes (n~2.1M) report nudges shift behaviour (small-medium effect). CONTESTED: PNAS issued a Correction, and Maier et al. (2022) found no effect after publication-bias adjustment. Covers nudging broadly, not only manipulative designs. DOI 10.1073/pnas.2107346118. Verified.</t>
  </si>
  <si>
    <t>S038</t>
  </si>
  <si>
    <t>Marthews, A., &amp; Tucker, C. E. (2017). Government Surveillance and Internet Search Behavior. SSRN Working Paper No. 2412564.</t>
  </si>
  <si>
    <t>SSRN</t>
  </si>
  <si>
    <t>Chilling effects (AUT-BEH). Google Trends panel (282 terms, 11 countries) before/after the June 2013 Snowden shock: searches for privacy-sensitive/flagged terms fell significantly. Widely-cited SSRN working paper (not peer-reviewed). Concerns surveillance awareness as an analog for persistent commercial identification (cf. S013, S028). DOI 10.2139/ssrn.2412564. Verified.</t>
  </si>
  <si>
    <t>S039</t>
  </si>
  <si>
    <t>Youyou, W., Kosinski, M., &amp; Stillwell, D. (2015). Computer-based personality judgments are more accurate than those made by humans. Proceedings of the National Academy of Sciences, 112(4), 1036-1040.</t>
  </si>
  <si>
    <t>Behavioural profiling (CAP-005). With 86,220 volunteers, models using Facebook Likes judged personality more accurately (r=0.56) than friends/family (r=0.49), with higher external validity for life outcomes. Extends Kosinski (S006). DOI 10.1073/pnas.1418680112. Verified.</t>
  </si>
  <si>
    <t>S040</t>
  </si>
  <si>
    <t>Zarouali, B., Dobber, T., De Pauw, G., &amp; de Vreese, C. (2020). Using a Personality-Profiling Algorithm to Investigate Political Microtargeting: Assessing the Persuasion Effects of Personality-Tailored Ads on Social Media. Communication Research, 49(8), 1066-1091.</t>
  </si>
  <si>
    <t>Communication Research (SAGE)</t>
  </si>
  <si>
    <t>Audience microtargeting (CAP-003). Two experiments: people were more strongly persuaded by political ads matched to their (algorithmically profiled) personality than by mismatched ads. DOI 10.1177/0093650220961965. Verified.</t>
  </si>
  <si>
    <t>S041</t>
  </si>
  <si>
    <t>Tappin, B. M., Wittenberg, C., Hewitt, L. B., Berinsky, A. J., &amp; Rand, D. G. (2023). Quantifying the potential persuasive returns to political microtargeting. Proceedings of the National Academy of Sciences, 120(25), e2216261120.</t>
  </si>
  <si>
    <t>Audience microtargeting (CAP-003). Two large experiments (n=32,695): microtargeting yielded a larger persuasive impact only under highly favourable conditions, and was much more limited otherwise - a real but BOUNDED advantage. Important counterweight to strong-effect claims. DOI 10.1073/pnas.2216261120. Verified.</t>
  </si>
  <si>
    <t>S042</t>
  </si>
  <si>
    <t>Buchi, M., Festic, N., &amp; Latzer, M. (2022). The Chilling Effects of Digital Dataveillance: A Theoretical Model and an Empirical Research Agenda. Big Data &amp; Society, 9(1), 1-14.</t>
  </si>
  <si>
    <t>Big Data &amp; Society (SAGE)</t>
  </si>
  <si>
    <t>Covert telemetry / dataveillance (CAP-010). Review + mechanism-based model (theory of planned behaviour): a sense of pervasive data collection drives self-censorship; original survey (n=1202) found &gt;50% of users felt deterred from self-expression or information-seeking. Concerns commercial dataveillance (not only state). DOI 10.1177/20539517211065368. Verified.</t>
  </si>
  <si>
    <t>S043</t>
  </si>
  <si>
    <t>Mittelstadt, B. D., Allo, P., Taddeo, M., Wachter, S., &amp; Floridi, L. (2016). The ethics of algorithms: Mapping the debate. Big Data &amp; Society, 3(2), 1-21.</t>
  </si>
  <si>
    <t>Big Data &amp; Society (SAGE) / Oxford Internet Institute</t>
  </si>
  <si>
    <t>Predictive scoring / algorithmic decisions (CAP-012). Systematic map/review of algorithmic-ethics concerns; identifies opacity ('inscrutable evidence') and unfair outcomes from algorithmic decisions that 'shape and manage' individuals with limited accountability. UK authors (OII). DOI 10.1177/2053951716679679. Verified.</t>
  </si>
  <si>
    <t>S044</t>
  </si>
  <si>
    <t>de Montjoye, Y.-A., Hidalgo, C. A., Verleysen, M., &amp; Blondel, V. D. (2013). Unique in the Crowd: The privacy bounds of human mobility. Scientific Reports, 3, 1376.</t>
  </si>
  <si>
    <t>Scientific Reports (Nature)</t>
  </si>
  <si>
    <t>Location inference (CAP-002). Analysis of 15 months of mobility data for 1.5M people: four spatio-temporal points uniquely identify 95% of individuals; even coarse data gives little anonymity. DOI 10.1038/srep01376. Verified.</t>
  </si>
  <si>
    <t>S045</t>
  </si>
  <si>
    <t>de Montjoye, Y.-A., Radaelli, L., Singh, V. K., &amp; Pentland, A. S. (2015). Unique in the shopping mall: On the reidentifiability of credit card metadata. Science, 347(6221), 536-539.</t>
  </si>
  <si>
    <t>Location inference (CAP-002). 3 months of credit-card records for 1.1M people: four spatio-temporal points reidentify 90%; knowing a transaction's price adds 22% risk; women more reidentifiable. DOI 10.1126/science.1256297. (A published Comment/Response exchange exists.) Verified.</t>
  </si>
  <si>
    <t>S046</t>
  </si>
  <si>
    <t>Hannak, A., Soeller, G., Lazer, D., Mislove, A., &amp; Wilson, C. (2014). Measuring Price Discrimination and Steering on E-commerce Web Sites. In Proceedings of the 2014 Internet Measurement Conference (IMC '14) (pp. 305-318). ACM.</t>
  </si>
  <si>
    <t>Behavioural profiling (CAP-005). Methodology to detect price steering and price discrimination; found real e-commerce sites personalise prices/product ordering to users' disadvantage based on cookies, accounts and behaviour. DOI 10.1145/2663716.2663744. Verified.</t>
  </si>
  <si>
    <t>S047</t>
  </si>
  <si>
    <t>Mikians, J., Gyarmati, L., Erramilli, V., &amp; Laoutaris, N. (2012). Detecting price and search discrimination on the Internet. In Proceedings of the 11th ACM Workshop on Hot Topics in Networks (HotNets-XI) (pp. 79-84). ACM.</t>
  </si>
  <si>
    <t>Behavioural profiling (CAP-005). Early measurement study finding signs of both price discrimination and search (product) steering online, and the data vectors (cookies, location, browser) enabling them. DOI 10.1145/2390231.2390245. Verified.</t>
  </si>
  <si>
    <t>S048</t>
  </si>
  <si>
    <t>Federal Trade Commission. (2014). Data Brokers: A Call for Transparency and Accountability. Washington, DC: Federal Trade Commission.</t>
  </si>
  <si>
    <t>US Federal Trade Commission (ftc.gov)</t>
  </si>
  <si>
    <t>Data broker aggregation (CAP-007). FTC 6(b) study of nine data brokers: billions of data elements on nearly every US consumer (one holds 700bn elements), collected largely without consumers' knowledge, traded between brokers, used for sensitive inferences/categories - with consumers unable to see or control it. Verified.</t>
  </si>
  <si>
    <t>S049</t>
  </si>
  <si>
    <t>Obermeyer, Z., Powers, B., Vogeli, C., &amp; Mullainathan, S. (2019). Dissecting racial bias in an algorithm used to manage the health of populations. Science, 366(6464), 447-453.</t>
  </si>
  <si>
    <t>Predictive scoring (CAP-012). Audit of a widely-used commercial health-risk algorithm (affecting ~200M patients): using cost as a proxy for need, it under-identified Black patients for extra care; at equal risk score Black patients were sicker. DOI 10.1126/science.aax2342. Verified.</t>
  </si>
  <si>
    <t>S050</t>
  </si>
  <si>
    <t>Narayanan, A., &amp; Shmatikov, V. (2008). Robust De-anonymization of Large Sparse Datasets. In Proceedings of the 2008 IEEE Symposium on Security and Privacy (SP '08) (pp. 111-125). IEEE.</t>
  </si>
  <si>
    <t>Data aggregation / re-identification (CAP-007). Foundational de-anonymization attack: applied to the Netflix Prize dataset (500,000 subscribers), an adversary with little auxiliary knowledge can identify a subscriber's record - showing 'anonymised' high-dimensional data is re-identifiable. DOI 10.1109/SP.2008.33. Verified.</t>
  </si>
  <si>
    <t>S051</t>
  </si>
  <si>
    <t>Lambrecht, A., &amp; Tucker, C. (2019). Algorithmic Bias? An Empirical Study of Apparent Gender-Based Discrimination in the Display of STEM Career Ads. Management Science, 65(7), 2966-2981.</t>
  </si>
  <si>
    <t>Management Science (INFORMS)</t>
  </si>
  <si>
    <t>Audience microtargeting (CAP-003). Field test across 190 countries of a gender-neutral STEM career ad: fewer women saw it - not due to lower interest, but because cost-optimised delivery 'crowds out' a prized, more-expensive demographic. UK-relevant (LBS author). DOI 10.1287/mnsc.2018.3093. Verified.</t>
  </si>
  <si>
    <t>S052</t>
  </si>
  <si>
    <t>Crawford, K., &amp; Schultz, J. (2014). Big Data and Due Process: Toward a Framework to Redress Predictive Privacy Harms. Boston College Law Review, 55(1), 93-128.</t>
  </si>
  <si>
    <t>Boston College Law Review / SSRN</t>
  </si>
  <si>
    <t>Predictive scoring (CAP-012). Names 'predictive privacy harm': big-data profiling expands PII, evades existing privacy law, and reaches consequential decisions about individuals with no procedural due process (no right to review, contest or appeal). Proposes procedural data due process. SSRN 2325784. Verified.</t>
  </si>
  <si>
    <t>S053</t>
  </si>
  <si>
    <t>Bakshy, E., Messing, S., &amp; Adamic, L. A. (2015). Exposure to ideologically diverse news and opinion on Facebook. Science, 348(6239), 1130-1132.</t>
  </si>
  <si>
    <t>Content curation (CAP-006). Study of 10.1M Facebook users: algorithmic News Feed ranking reduced exposure to cross-cutting (opposing-ideology) news by ~15% and click-through by more - a real but MODEST filtering effect, which the authors argue is smaller than users' own selective exposure. NOTE: Facebook-authored and methodologically contested. DOI 10.1126/science.aaa1160. Verified.</t>
  </si>
  <si>
    <t>S054</t>
  </si>
  <si>
    <t>Wachter, S., Mittelstadt, B., &amp; Floridi, L. (2017). Why a Right to Explanation of Automated Decision-Making Does Not Exist in the General Data Protection Regulation. International Data Privacy Law, 7(2), 76-99.</t>
  </si>
  <si>
    <t>International Data Privacy Law (OUP) / OII</t>
  </si>
  <si>
    <t>Predictive scoring / automated decisions (CAP-012). Argues the GDPR does not in fact guarantee a 'right to explanation' of automated decisions - only a limited 'right to be informed' - so safeguards against opaque automated decision-making may be 'toothless'. UK authors (OII/Turing/UCL); UK GDPR. A scholarly debate exists (cf. Selbst &amp; Powles). DOI 10.1093/idpl/ipx005. Verified.</t>
  </si>
  <si>
    <t>S055</t>
  </si>
  <si>
    <t>Ren, J., Dubois, D. J., Choffnes, D., Mandalari, A. M., Kolcun, R., &amp; Haddadi, H. (2019). Information Exposure From Consumer IoT Devices: A Multidimensional, Network-Informed Measurement Approach. In Proceedings of the Internet Measurement Conference (IMC '19) (pp. 267-279). ACM.</t>
  </si>
  <si>
    <t>Covert telemetry (CAP-010). Network measurement of 81 consumer IoT devices (US and UK labs): characterised where devices send data, whether it is encrypted, and unexpected exposures of private/sensitive information to third parties. UK co-authors (Imperial). DOI 10.1145/3355369.3355577. Verified.</t>
  </si>
  <si>
    <t>S056</t>
  </si>
  <si>
    <t>Englehardt, S., Han, J., &amp; Narayanan, A. (2018). I never signed up for this! Privacy implications of email tracking. Proceedings on Privacy Enhancing Technologies, 2018(1), 109-126.</t>
  </si>
  <si>
    <t>PoPETs (Sciendo)</t>
  </si>
  <si>
    <t>Persistent identification (CAP-001). Measurement of email tracking: 85% of mailing-list emails contain third-party content and ~29% leak the recipient's email address to third parties on opening, letting trackers link web activity to a durable identifier rather than a pseudonymous cookie. DOI 10.1515/popets-2018-0006. Verified.</t>
  </si>
  <si>
    <t>S057</t>
  </si>
  <si>
    <t>Turow, J. (2011). The Daily You: How the New Advertising Industry Is Defining Your Identity and Your Worth. New Haven, CT: Yale University Press.</t>
  </si>
  <si>
    <t>Yale University Press (book)</t>
  </si>
  <si>
    <t>Behavioural profiling (CAP-005). Drawing on industry-insider interviews, documents how advertisers profile consumers from data they don't know is collected and sort them into 'targets' vs 'waste' (and finer niches), shaping the ads, discounts, news and entertainment they see. Some reviewers find the self-worth effects under-evidenced. ISBN 9780300165012. Verified.</t>
  </si>
  <si>
    <t>S058</t>
  </si>
  <si>
    <t>Richards, N. M. (2013). The Dangers of Surveillance. Harvard Law Review, 126(7), 1934-1965.</t>
  </si>
  <si>
    <t>Harvard Law Review / SSRN</t>
  </si>
  <si>
    <t>Persistent identification / surveillance (CAP-001). Argues surveillance is harmful because it (1) menaces 'intellectual privacy' (chilling free thought) and (2) gives the watcher a power advantage over the watched - enabling blackmail, coercion, persuasion and discrimination. Focuses on state surveillance but extends to commercial. A published reply exists (Citron &amp; Gray). SSRN 2239412. Verified.</t>
  </si>
  <si>
    <t>S059</t>
  </si>
  <si>
    <t>Wachter, S., &amp; Mittelstadt, B. (2019). A Right to Reasonable Inferences: Re-Thinking Data Protection Law in the Age of Big Data and AI. Columbia Business Law Review, 2019(2), 494-620.</t>
  </si>
  <si>
    <t>Columbia Business Law Review / OII</t>
  </si>
  <si>
    <t>Behavioural profiling / inference (CAP-005). Argues big-data and AI draw non-intuitive, unverifiable inferences about people - used for hiring, loans, insurance, admissions - that individuals cannot predict, understand or refute, and that data-protection law fails to govern. Proposes a 'right to reasonable inferences'. UK authors (OII/Turing). DOI 10.7916/cblr.v2019i2.3424. Verified.</t>
  </si>
  <si>
    <t>S060</t>
  </si>
  <si>
    <t>Tufekci, Z. (2014). Engineering the public: Big data, surveillance and computational politics. First Monday, 19(7).</t>
  </si>
  <si>
    <t>First Monday</t>
  </si>
  <si>
    <t>Audience microtargeting (CAP-003). Argues big data plus computational modelling lets resourced actors run opaque, unaccountable campaigns of persuasion and 'social engineering' via individualised targeting and behavioural science, shifting power to those who own the data/platforms. DOI 10.5210/fm.v19i7.4901. Verified.</t>
  </si>
  <si>
    <t>S061</t>
  </si>
  <si>
    <t>Zuiderveen Borgesius, F. J., Moller, J., Kruikemeier, S., O Fathaigh, R., Irion, K., Dobber, T., Bodo, B., &amp; de Vreese, C. (2018). Online Political Microtargeting: Promises and Threats for Democracy. Utrecht Law Review, 14(1), 82-96.</t>
  </si>
  <si>
    <t>Utrecht Law Review</t>
  </si>
  <si>
    <t>Audience microtargeting (CAP-003). Maps the promises and threats of online political microtargeting - matching messages to voters' specific interests and vulnerabilities - including manipulation (e.g. a party presenting itself differently to different individuals). Discusses UK rules. DOI 10.18352/ulr.420. Verified.</t>
  </si>
  <si>
    <t>S062</t>
  </si>
  <si>
    <t>Mohajeri Moghaddam, H., Acar, G., Burgess, B., Mathur, A., Huang, D. Y., Feamster, N., Felten, E. W., Mittal, P., &amp; Narayanan, A. (2019). Watching You Watch: The Tracking Ecosystem of Over-the-Top TV Streaming Devices. In Proceedings of the 2019 ACM SIGSAC Conference on Computer and Communications Security (CCS '19) (pp. 131-147). ACM.</t>
  </si>
  <si>
    <t>Covert telemetry (CAP-010). First measurement of tracking on OTT/smart-TV platforms (Roku, Amazon Fire TV): tracking is pervasive, with Google/Facebook prominent, and 89%/69% of top channels contacting a tracker even when the user enables the privacy feature. DOI 10.1145/3319535.3354198. Verified.</t>
  </si>
  <si>
    <t>S063</t>
  </si>
  <si>
    <t>Cohen, J. E. (2013). What Privacy Is For. Harvard Law Review, 126(7), 1904-1933.</t>
  </si>
  <si>
    <t>Content curation / 'modulation' (CAP-006). Argues privacy is constitutive of autonomous self-development ('dynamic, emergent subjectivity'); pervasive, predictive personalisation ('modulation') renders people 'fixed, transparent, and predictable', foreclosing the breathing room needed to form one's own self and values. SSRN 2175406. Verified.</t>
  </si>
  <si>
    <t>S064</t>
  </si>
  <si>
    <t>Information Commissioner's Office (ICO). (2018). Investigation into the use of data analytics in political campaigns: A report to Parliament. London: ICO, 6 November 2018.</t>
  </si>
  <si>
    <t>UK Information Commissioner's Office (ico.org.uk)</t>
  </si>
  <si>
    <t>Audience microtargeting (CAP-003) - Cambridge Analytica case. UK regulator's investigation into the use of personal data to micro-target voters (Cambridge Analytica/SCL, AggregateIQ, Facebook, Leave.EU); found serious data-protection breaches and fined Facebook for letting data be harvested for political purposes. UK-specific. Verified.</t>
  </si>
  <si>
    <t>S065</t>
  </si>
  <si>
    <t>Rosenblat, A., &amp; Stark, L. (2016). Algorithmic Labor and Information Asymmetries: A Case Study of Uber's Drivers. International Journal of Communication, 10, 3758-3784.</t>
  </si>
  <si>
    <t>International Journal of Communication</t>
  </si>
  <si>
    <t>Predictive scoring / algorithmic management (CAP-012) - gig-labour case. Nine-month study of Uber drivers: the app's information and power asymmetries (surge maps, ratings, timed 'soft control' messages, performance reports) let the platform structure control over nominally independent workers. SSRN 2686227. Verified.</t>
  </si>
  <si>
    <t>S066</t>
  </si>
  <si>
    <t>Reyes, I., Wijesekera, P., Reardon, J., Elazari Bar On, A., Razaghpanah, A., Vallina-Rodriguez, N., &amp; Egelman, S. (2018). 'Won't Somebody Think of the Children?' Examining COPPA Compliance at Scale. Proceedings on Privacy Enhancing Technologies, 2018(3), 63-83.</t>
  </si>
  <si>
    <t>Covert telemetry (CAP-010) - children's data. Automated analysis of 5,855 popular children's Android apps: a majority potentially violate COPPA, mainly via third-party SDKs; many transmit persistent identifiers that defeat Google's resettable advertising ID. DOI 10.1515/popets-2018-0021. Verified.</t>
  </si>
  <si>
    <t>S067</t>
  </si>
  <si>
    <t>Buolamwini, J., &amp; Gebru, T. (2018). Gender Shades: Intersectional Accuracy Disparities in Commercial Gender Classification. Proceedings of Machine Learning Research, 81, 77-91 (Conference on Fairness, Accountability and Transparency).</t>
  </si>
  <si>
    <t>PMLR (FAT* 2018)</t>
  </si>
  <si>
    <t>Persistent identification / facial analysis (CAP-001) - facial-recognition bias. Audit of three commercial gender-classification systems (Microsoft, Face++, IBM): error rates up to 34.7% for darker-skinned women versus 0.8% for lighter-skinned men - large demographic accuracy disparities. Verified.</t>
  </si>
  <si>
    <t>S068</t>
  </si>
  <si>
    <t>Ajunwa, I., Crawford, K., &amp; Schultz, J. (2017). Limitless Worker Surveillance. California Law Review, 105(3), 735-776.</t>
  </si>
  <si>
    <t>Covert telemetry / monitoring (CAP-010) - workplace surveillance. Argues data analytics, communications capture, mobile devices, DNA testing and biometrics enable near-limitless, low-cost employer monitoring on and off the job (productivity apps, wellness programmes), with legal constraints insufficient to check 24/7 surveillance. DOI 10.15779/Z38BR8MF94. Verified.</t>
  </si>
  <si>
    <t>S069</t>
  </si>
  <si>
    <t>Isaak, J., &amp; Hanna, M. J. (2018). User Data Privacy: Facebook, Cambridge Analytica, and Privacy Protection. Computer (IEEE Computer Society), 51(8), 56-59.</t>
  </si>
  <si>
    <t>IEEE Computer / DOI 10.1109/MC.2018.3191268</t>
  </si>
  <si>
    <t>Social graph inference (CAP-011) - Cambridge Analytica case. Peer-reviewed review of how a quiz app obtained PII of 87M+ Facebook users (mostly friends of installers) via social-graph permissions, feeding psychographic profiling. DOI 10.1109/MC.2018.3191268. Verified.</t>
  </si>
  <si>
    <t>S070</t>
  </si>
  <si>
    <t>Hurley, M., &amp; Adebayo, J. (2016). Credit Scoring in the Era of Big Data. Yale Journal of Law and Technology, 18(1), 148-216.</t>
  </si>
  <si>
    <t>Yale J.L. &amp; Tech. / SSRN</t>
  </si>
  <si>
    <t>Predictive scoring (CAP-012) - credit/FinTech field. Big-data credit scoring uses thousands of non-traditional data points in opaque models; consumers cannot see or contest scores that gate access to housing, employment, insurance and credit. 18 Yale J.L. &amp; Tech. 148. Verified.</t>
  </si>
  <si>
    <t>S071</t>
  </si>
  <si>
    <t>Fussey, P., &amp; Murray, D. (2019). Independent Report on the London Metropolitan Police Service's Trial of Live Facial Recognition Technology. Colchester: University of Essex Human Rights Centre.</t>
  </si>
  <si>
    <t>Univ. of Essex Human Rights Centre (HRBDT/ESRC)</t>
  </si>
  <si>
    <t>Persistent identification / facial recognition (CAP-001) - UK case. First independent academic study of a UK police force's live facial recognition; observed six MPS deployments and found weak legal basis, operational shortcomings and human-rights interference; 'highly possible' unlawful. Fed the Bridges appeal. UK-specific. Verified.</t>
  </si>
  <si>
    <t>S072</t>
  </si>
  <si>
    <t>Shipp, L., &amp; Blasco, J. (2020). How private is your period?: A systematic analysis of menstrual app privacy policies. Proceedings on Privacy Enhancing Technologies, 2020(4), 491-510.</t>
  </si>
  <si>
    <t>PoPETs (Sciendo) / DOI 10.2478/popets-2020-0083</t>
  </si>
  <si>
    <t>Covert telemetry (CAP-010) - menstrual/health field. Systematic analysis of 30 menstruation apps (~200M downloads): sensitive reproductive data is largely uncovered by privacy policies and often disregarded, with third-party involvement. DOI 10.2478/popets-2020-0083. Verified.</t>
  </si>
  <si>
    <t>S073</t>
  </si>
  <si>
    <t>Barocas, S., &amp; Nissenbaum, H. (2014). Big Data's End Run around Anonymity and Consent. In J. Lane, V. Stodden, S. Bender, &amp; H. Nissenbaum (Eds.), Privacy, Big Data, and the Public Good: Frameworks for Engagement (pp. 44-75). Cambridge University Press.</t>
  </si>
  <si>
    <t>Cambridge University Press</t>
  </si>
  <si>
    <t>Data aggregation (CAP-007) - foundational. Argues anonymity and consent both fail against big data: anonymisation is defeated by re-identification, and consent cannot cover later inferences about a person or about non-consenting others. Verified.</t>
  </si>
  <si>
    <t>S074</t>
  </si>
  <si>
    <t>Gandy, O. H., Jr. (1993). The Panoptic Sort: A Political Economy of Personal Information. Boulder, CO: Westview Press.</t>
  </si>
  <si>
    <t>Westview Press (2nd ed. Oxford UP, 2021)</t>
  </si>
  <si>
    <t>Behavioural profiling / sorting (CAP-005) - foundational. The 'panoptic sort' classifies and sorts individuals by presumed economic/political value; Gandy frames this discriminatory sorting as a direct threat to individual autonomy and agency. Verified.</t>
  </si>
  <si>
    <t>S075</t>
  </si>
  <si>
    <t>Tene, O., &amp; Polonetsky, J. (2013). Big Data for All: Privacy and User Control in the Age of Analytics. Northwestern Journal of Technology and Intellectual Property, 11(5), 239-273.</t>
  </si>
  <si>
    <t>Nw. J. Tech. &amp; Intell. Prop. / SSRN</t>
  </si>
  <si>
    <t>Data aggregation / analytics (CAP-007) - foundational (balanced). Notes big-data analytics repurpose data for unanticipated secondary uses under opaque decisional criteria, undermining user control; proposes access/transparency remedies. Coded confidence M (solution-oriented). Verified.</t>
  </si>
  <si>
    <t>S076</t>
  </si>
  <si>
    <t>Norwegian Consumer Council (Forbrukeradet). (2020). Out of Control: How consumers are exploited by the online advertising industry. Oslo: Forbrukeradet, 14 January 2020.</t>
  </si>
  <si>
    <t>Policy / NGO</t>
  </si>
  <si>
    <t>Forbrukeradet (technical testing by mnemonic)</t>
  </si>
  <si>
    <t>Data aggregation / adtech sharing (CAP-007) - dating-app case. Technical testing documented dating apps (Grindr, Tinder, OkCupid) transmitting location, age, gender and sexual-orientation/HIV-implicating data to many adtech third parties without valid consent; led to Grindr's ~EUR 6.5M GDPR fine. Verified.</t>
  </si>
  <si>
    <t>S077</t>
  </si>
  <si>
    <t>Cohney, S., Teixeira, R., Kohlbrenner, A., Narayanan, A., Kshirsagar, M., Shvartzshnaider, Y., &amp; Sanfilippo, M. (2021). Virtual Classrooms and Real Harms: Remote Learning at U.S. Universities. In Seventeenth Symposium on Usable Privacy and Security (SOUPS 2021) (pp. 653-674). USENIX Association.</t>
  </si>
  <si>
    <t>SOUPS 2021 (USENIX) / arXiv 2012.05867</t>
  </si>
  <si>
    <t>Covert telemetry (CAP-010) - EdTech field. Surveyed 49 instructors + 14 administrators and analysed 23 remote-learning platforms (policies, 129 state laws, technical assessment) via contextual integrity, documenting privacy violations from the rapid online shift. Coded confidence M. Verified.</t>
  </si>
  <si>
    <t>S078</t>
  </si>
  <si>
    <t>Solove, D. J. (2013). Introduction: Privacy Self-Management and the Consent Dilemma. Harvard Law Review, 126(7), 1880-1903.</t>
  </si>
  <si>
    <t>Data aggregation / consent (CAP-007) - foundational. Argues notice-and-consent ('privacy self-management') cannot deliver meaningful control: people cannot realistically assess or govern downstream collection, use and disclosure, so consent is only an illusion of decisional control. 126 Harv. L. Rev. 1880. Verified.</t>
  </si>
  <si>
    <t>S079</t>
  </si>
  <si>
    <t>Information Commissioner's Office (ICO). (2022). Monetary Penalty Notice and Enforcement Notice: Clearview AI Inc. London: ICO, 18 May 2022.</t>
  </si>
  <si>
    <t>UK ICO (ico.org.uk)</t>
  </si>
  <si>
    <t>Persistent identification / facial recognition (CAP-001) - Clearview AI case. ICO fined Clearview GBP 7.55m and ordered deletion of UK data for scraping 20bn+ facial images from the web/social media into a global database that lets customers identify and monitor people without their knowledge or lawful basis. UK-specific. (FTT later overturned on jurisdiction; Upper Tribunal 2025 restored most ICO grounds; the scraping facts were not disputed.) Verified.</t>
  </si>
  <si>
    <t>S080</t>
  </si>
  <si>
    <t>Federal Trade Commission. (2022). Complaint, FTC v. Kochava Inc., No. 2:22-cv-00377 (D. Idaho, filed 29 August 2022).</t>
  </si>
  <si>
    <t>US FTC (ftc.gov)</t>
  </si>
  <si>
    <t>Location inference (CAP-002) - data-broker case. FTC alleged Kochava sold precise, identity-linkable geolocation feeds from hundreds of millions of devices that trace people to reproductive-health clinics, shelters and places of worship, without their knowledge or ability to avoid it. (An Idaho court dismissed the first complaint in 2023 for insufficient harm allegations; the amended complaint survived and the case settled in 2026.) Verified.</t>
  </si>
  <si>
    <t>S081</t>
  </si>
  <si>
    <t>Information Commissioner's Office (ICO). (2020). Enforcement Notice: Experian Limited, and report 'Investigation into data protection compliance in the direct marketing data broking sector'. London: ICO, 27 October 2020.</t>
  </si>
  <si>
    <t>Data broker aggregation (CAP-007) - UK case. ICO found the three UK credit reference agencies traded, profiled and enriched the data of millions of UK adults without their knowledge ('invisible processing'); Experian held profiles on ~50m UK citizens. UK-specific. (Experian appealed; the FTT in 2023 overturned most remedies, though the invisible-processing findings stand.) Verified.</t>
  </si>
  <si>
    <t>S082</t>
  </si>
  <si>
    <t>Cevolini, A., &amp; Esposito, E. (2020). From pool to profile: Social consequences of algorithmic prediction in insurance. Big Data &amp; Society, 7(2), 1-11.</t>
  </si>
  <si>
    <t>Big Data &amp; Society / DOI 10.1177/2053951720939228</t>
  </si>
  <si>
    <t>Predictive scoring (CAP-012) - insurance field. Argues behaviour-based predictive pricing (e.g. motor telematics) shifts insurance from risk-pooling to individual profiling, undermining mutualisation and producing new forms of exclusion from coverage. Verified.</t>
  </si>
  <si>
    <t>S083</t>
  </si>
  <si>
    <t>McStay, A. (2020). Emotional AI, soft biometrics and the surveillance of emotional life: An unusual consensus on privacy. Big Data &amp; Society, 7(1), 1-13.</t>
  </si>
  <si>
    <t>Big Data &amp; Society / DOI 10.1177/2053951720904386</t>
  </si>
  <si>
    <t>Behavioural profiling / affect (CAP-005) - emotion-AI field. Drawing on 100+ industry/regulator interviews and a UK survey of 2,068 citizens, examines emotion-profiling AI spreading through assistants, wearables, workplaces, retail, policing and borders, and the surveillance of emotional life it entails. Verified.</t>
  </si>
  <si>
    <t>S084</t>
  </si>
  <si>
    <t>Apthorpe, N., Reisman, D., &amp; Feamster, N. (2017). A Smart Home is No Castle: Privacy Vulnerabilities of Encrypted IoT Traffic. Data and Algorithmic Transparency Workshop (DAT 2017); arXiv:1705.06805.</t>
  </si>
  <si>
    <t>DAT 2017 / arXiv:1705.06805 (Princeton)</t>
  </si>
  <si>
    <t>Covert telemetry (CAP-010) - smart-home/IoT field. Showed that the always-on traffic of four smart-home devices (sleep monitor, Nest Cam, WeMo switch, Amazon Echo) leaks sensitive in-home activity to passive network observers even when encrypted. Verified.</t>
  </si>
  <si>
    <t>S085</t>
  </si>
  <si>
    <t>Andrejevic, M. (2014). Big Data, Big Questions: The Big Data Divide. International Journal of Communication, 8, 1673-1689.</t>
  </si>
  <si>
    <t>Data aggregation (CAP-007) - foundational. Develops the 'big data divide': the structural asymmetry between those who collect and mine data and those it targets, who cannot even anticipate how their data will be used. Verified.</t>
  </si>
  <si>
    <t>S086</t>
  </si>
  <si>
    <t>Turow, J. (2021). The Voice Catchers: How Marketers Listen In to Exploit Your Feelings, Your Privacy, and Your Wallet. New Haven, CT: Yale University Press.</t>
  </si>
  <si>
    <t>Yale University Press (ISBN 9780300248036)</t>
  </si>
  <si>
    <t>Behavioural profiling / voice (CAP-005) - voice-profiling field. Documents the voice-intelligence industry: smart speakers and call centres extract voiceprints and infer emotion, personality and even health from the voice to drive hyper-personalised targeting. Verified.</t>
  </si>
  <si>
    <t>S087</t>
  </si>
  <si>
    <t>Hildebrandt, M. (2008). Defining Profiling: A New Type of Knowledge? In M. Hildebrandt &amp; S. Gutwirth (Eds.), Profiling the European Citizen: Cross-Disciplinary Perspectives (pp. 17-45). Dordrecht: Springer.</t>
  </si>
  <si>
    <t>Springer / DOI 10.1007/978-1-4020-6914-7_2</t>
  </si>
  <si>
    <t>Behavioural profiling (CAP-005) - foundational. Defines profiling as a new, group-derived type of knowledge applied to individuals who cannot access or contest the profiles used to judge them. Verified.</t>
  </si>
  <si>
    <t>S088</t>
  </si>
  <si>
    <t>Crain, M. (2018). The limits of transparency: Data brokers and commodification. New Media &amp; Society, 20(1), 88-104.</t>
  </si>
  <si>
    <t>New Media &amp; Society / DOI 10.1177/1461444816657096</t>
  </si>
  <si>
    <t>Data broker aggregation (CAP-007) - foundational. Argues the commodification of personal information is the structural root of the power imbalances that transparency-based remedies cannot fix; data brokers operate 'in the shadows'. Verified.</t>
  </si>
  <si>
    <t>S089</t>
  </si>
  <si>
    <t>Cheney-Lippold, J. (2011). A New Algorithmic Identity: Soft Biopolitics and the Modulation of Control. Theory, Culture &amp; Society, 28(6), 164-181.</t>
  </si>
  <si>
    <t>Theory, Culture &amp; Society / DOI 10.1177/0263276411424420</t>
  </si>
  <si>
    <t>Behavioural profiling (CAP-005). Landmark account of how marketing/analytics algorithms infer categories of identity (gender, class, race) onto users and, through 'soft biopower', modulate what they encounter and who they are made to be. Verified.</t>
  </si>
  <si>
    <t>S090</t>
  </si>
  <si>
    <t>Gillespie, T. (2014). The Relevance of Algorithms. In T. Gillespie, P. J. Boczkowski, &amp; K. A. Foot (Eds.), Media Technologies: Essays on Communication, Materiality, and Society (pp. 167-194). Cambridge, MA: MIT Press.</t>
  </si>
  <si>
    <t>MIT Press / DOI 10.7551/mitpress/9780262525374.003.0009</t>
  </si>
  <si>
    <t>Content curation (CAP-006). Foundational account of how algorithms (search, social media, recommendation) select what counts as 'relevant', governing public discourse through criteria operating largely below users' awareness. Verified.</t>
  </si>
  <si>
    <t>S091</t>
  </si>
  <si>
    <t>Bucher, T. (2012). Want to be on the top? Algorithmic power and the threat of invisibility on Facebook. New Media &amp; Society, 14(7), 1164-1180.</t>
  </si>
  <si>
    <t>New Media &amp; Society / DOI 10.1177/1461444812440159</t>
  </si>
  <si>
    <t>Content curation (CAP-006). Through an analysis of Facebook's EdgeRank, argues the News Feed creates a 'threat of invisibility' that drives users to behave in ways that keep them visible to the algorithm - an inversion of the panopticon. Verified.</t>
  </si>
  <si>
    <t>S092</t>
  </si>
  <si>
    <t>Noble, S. U. (2018). Algorithms of Oppression: How Search Engines Reinforce Racism. New York: New York University Press.</t>
  </si>
  <si>
    <t>NYU Press / DOI 10.2307/j.ctt1pwt9w5</t>
  </si>
  <si>
    <t>Content/search curation (CAP-006). Based on six years of research, documents how commercial search ranking privileges whiteness and returns degrading results for women of colour, arguing commercial interests plus search concentration produce discriminatory results. Verified.</t>
  </si>
  <si>
    <t>S093</t>
  </si>
  <si>
    <t>Burrell, J. (2016). How the machine 'thinks': Understanding opacity in machine learning algorithms. Big Data &amp; Society, 3(1), 1-12.</t>
  </si>
  <si>
    <t>Big Data &amp; Society / DOI 10.1177/2053951715622512</t>
  </si>
  <si>
    <t>Predictive scoring / ML (CAP-012). The landmark taxonomy of three forms of algorithmic opacity - intentional corporate secrecy, technical illiteracy, and the intrinsic uninterpretability of ML at scale - that prevent people understanding decisions about them. Verified.</t>
  </si>
  <si>
    <t>S094</t>
  </si>
  <si>
    <t>Couldry, N., &amp; Mejias, U. A. (2019). Data Colonialism: Rethinking Big Data's Relation to the Contemporary Subject. Television &amp; New Media, 20(4), 336-349.</t>
  </si>
  <si>
    <t>Television &amp; New Media / DOI 10.1177/1527476418796632</t>
  </si>
  <si>
    <t>Data aggregation / extraction (CAP-007). Argues 'data relations' convert daily life into an extractable data stream, enacting a 'data colonialism' that appropriates human life as raw material and produces a new social order of continuous tracking and behavioural influence. Verified.</t>
  </si>
  <si>
    <t>S095</t>
  </si>
  <si>
    <t>Susser, D., Roessler, B., &amp; Nissenbaum, H. (2019). Technology, autonomy, and manipulation. Internet Policy Review, 8(2), 1-22.</t>
  </si>
  <si>
    <t>Internet Policy Review / DOI 10.14763/2019.2.1410</t>
  </si>
  <si>
    <t>Manipulative choice architecture (CAP-009). Policy-facing companion to the authors' Georgetown piece (S001): defines online manipulation as the covert use of information technology to influence decision-making by exploiting vulnerabilities, with its deepest harm being to autonomy. Distinct publication from S001. Verified.</t>
  </si>
  <si>
    <t>S096</t>
  </si>
  <si>
    <t>Edwards, L., &amp; Veale, M. (2017). Slave to the Algorithm? Why a 'Right to an Explanation' Is Probably Not the Remedy You Are Looking For. Duke Law &amp; Technology Review, 16(1), 18-84.</t>
  </si>
  <si>
    <t>Duke Law &amp; Technology Review (SSRN 2972855)</t>
  </si>
  <si>
    <t>Predictive scoring / automated decisions (CAP-012). Argues a GDPR 'right to explanation' cannot by itself remedy the harms of consequential ML decision-making and risks a 'transparency fallacy', leaving people effectively subject to automated decisions they cannot meaningfully contest. Verified.</t>
  </si>
  <si>
    <t>S097</t>
  </si>
  <si>
    <t>Cohen, J. E. (2000). Examined Lives: Informational Privacy and the Subject as Object. Stanford Law Review, 52(5), 1373-1438.</t>
  </si>
  <si>
    <t>Stanford Law Review</t>
  </si>
  <si>
    <t>Persistent identification / surveillance (CAP-001). Foundational argument that meaningful autonomy requires freedom from pervasive monitoring, scrutiny and categorization, and that surveillance reduces individuals to 'objects of others' choices', undermining self-determination. Verified.</t>
  </si>
  <si>
    <t>S098</t>
  </si>
  <si>
    <t>Lanzing, M. (2019). 'Strongly Recommended': Revisiting Decisional Privacy to Judge Hypernudging in Self-Tracking Technologies. Philosophy &amp; Technology, 32(3), 549-568.</t>
  </si>
  <si>
    <t>Philosophy &amp; Technology / DOI 10.1007/s13347-018-0316-4</t>
  </si>
  <si>
    <t>Manipulative choice architecture (CAP-009). Argues the real-time, surveillance-driven personalised choice architectures of self-tracking tech ('hypernudging') interfere with decision-making and violate decisional privacy, compromising the autonomy the devices claim to scaffold. Verified.</t>
  </si>
  <si>
    <t>S099</t>
  </si>
  <si>
    <t>Salvi, F., Horta Ribeiro, M., Gallotti, R., &amp; West, R. (2025). On the conversational persuasiveness of large language models: a randomized controlled trial. Nature Human Behaviour.</t>
  </si>
  <si>
    <t>Nature Human Behaviour / DOI 10.1038/s41562-025-02194-6</t>
  </si>
  <si>
    <t>Audience microtargeting (CAP-003) - contemporary. Preregistered RCT (N=900): in debates, GPT-4 given basic sociodemographic data was more persuasive than human opponents (81.2% higher odds of post-debate agreement). NOTE contested point: Hackenburg &amp; Margetts (2024, PNAS) found the microtargeting-specific advantage not statistically greater than generic LLM persuasion. Verified.</t>
  </si>
  <si>
    <t>S100</t>
  </si>
  <si>
    <t>Federal Trade Commission. (2025). Surveillance Pricing: Initial findings (staff research summaries) from the 6(b) market study. Washington, DC: FTC, 17 January 2025.</t>
  </si>
  <si>
    <t>Predictive scoring / personalised pricing (CAP-012) - contemporary. FTC staff found intermediary firms use precise location, browser/purchase history, demographics and even mouse movements and abandoned-cart data to set individualised prices for the same goods. NOTE: preliminary, redacted summaries; Commission voted 3-2 (two dissents); no finding of wrongdoing. Verified.</t>
  </si>
  <si>
    <t>S101</t>
  </si>
  <si>
    <t>European Parliament and Council. (2024). Regulation (EU) 2024/1689 laying down harmonised rules on artificial intelligence (Artificial Intelligence Act). OJ L, 2024/1689, 12 July 2024.</t>
  </si>
  <si>
    <t>Official Journal of the EU (OJ L 2024/1689)</t>
  </si>
  <si>
    <t>Manipulative choice architecture (CAP-009) - contemporary. Article 5 prohibits AI using subliminal or purposefully manipulative/deceptive techniques that materially distort behaviour by impairing informed decision-making, and bans emotion recognition in workplaces/schools (in force since 2 Feb 2025). EU law - comparative context for the UK (UK-A). Verified.</t>
  </si>
  <si>
    <t>S102</t>
  </si>
  <si>
    <t>Farahany, N. A. (2023). The Battle for Your Brain: Defending the Right to Think Freely in the Age of Neurotechnology. New York: St. Martin's Press.</t>
  </si>
  <si>
    <t>St. Martin's Press (ISBN 9781250272959)</t>
  </si>
  <si>
    <t>Behavioural/neural profiling (CAP-005) - contemporary; opens the neurotechnology field. Argues consumer neural wearables and workplace brain-monitoring can decode emotion, attention and preferences, threatening mental privacy, freedom of thought and self-determination ('cognitive liberty'). NOTE: large-scale neural profiling is emerging and decoding capabilities are debated (confidence M). Verified.</t>
  </si>
  <si>
    <t>S103</t>
  </si>
  <si>
    <t>Federal Trade Commission. (2024). A Look Behind the Screens: Examining the Data Practices of Social Media and Video Streaming Services. FTC Staff Report, September 2024.</t>
  </si>
  <si>
    <t>US FTC (ftc.gov) - 6(b) staff report</t>
  </si>
  <si>
    <t>Behavioural profiling (CAP-005) - contemporary. From 6(b) orders to nine major platforms: documents 'vast surveillance' - enormous data collection (incl. on non-users and from brokers), inference of personal details, and feeding of ad/AI systems behind the scenes while users lack meaningful control; flags acute risks to children and teens. Verified.</t>
  </si>
  <si>
    <t>S104</t>
  </si>
  <si>
    <t>Luguri, J., &amp; Strahilevitz, L. J. (2021). Shining a Light on Dark Patterns. Journal of Legal Analysis, 13(1), 43-109.</t>
  </si>
  <si>
    <t>Journal of Legal Analysis / DOI 10.1093/jla/laaa006</t>
  </si>
  <si>
    <t>Dark patterns (CAP-009). First large-scale RCT evidence that dark patterns work: mild dark patterns more than doubled sign-ups to an unwanted service (11.3% to 25.4%) and aggressive ones nearly quadrupled them (to 37.2%), with less-educated users most susceptible and price becoming immaterial. Verified.</t>
  </si>
  <si>
    <t>S105</t>
  </si>
  <si>
    <t>Kellogg, K. C., Valentine, M. A., &amp; Christin, A. (2020). Algorithms at Work: The New Contested Terrain of Control. Academy of Management Annals, 14(1), 366-410.</t>
  </si>
  <si>
    <t>Academy of Management Annals / DOI 10.5465/annals.2018.0174</t>
  </si>
  <si>
    <t>Predictive scoring / algorithmic management (CAP-012). Synthesises how algorithmic management controls workers through the '6 Rs' (restricting, recommending, recording, rating, replacing, rewarding), creating comprehensive, opaque surveillance-and-evaluation architectures. Verified.</t>
  </si>
  <si>
    <t>S106</t>
  </si>
  <si>
    <t>Milano, S., Taddeo, M., &amp; Floridi, L. (2020). Recommender systems and their ethical challenges. AI &amp; Society, 35(4), 957-967.</t>
  </si>
  <si>
    <t>AI &amp; Society / DOI 10.1007/s00146-020-00950-y</t>
  </si>
  <si>
    <t>Content personalisation (CAP-006). First systematic taxonomy of recommender-system ethics; notes recommenders can encroach on autonomy by nudging users in a direction, attempting to 'addict' them to content, and limiting the options they are exposed to. Verified. [Recoded to CAP-013 attention-capture, 2026-06-20.]</t>
  </si>
  <si>
    <t>S107</t>
  </si>
  <si>
    <t>West, S. M. (2019). Data Capitalism: Redefining the Logics of Surveillance and Privacy. Business &amp; Society, 58(1), 20-41.</t>
  </si>
  <si>
    <t>Business &amp; Society / DOI 10.1177/0007650317718185</t>
  </si>
  <si>
    <t>Data aggregation / commodification (CAP-007). Traces how commercial surveillance crystallised into 'data capitalism': the commoditisation of personal data driving an asymmetric redistribution of power toward those who can collect and interpret it. Corroborates S085, S088, S094. Verified.</t>
  </si>
  <si>
    <t>S108</t>
  </si>
  <si>
    <t>Benjamin, R. (2019). Race After Technology: Abolitionist Tools for the New Jim Code. Cambridge, UK: Polity Press.</t>
  </si>
  <si>
    <t>Polity Press (ISBN 9781509526437)</t>
  </si>
  <si>
    <t>Predictive/automated systems (CAP-012). Develops the 'New Jim Code': technologies that reproduce existing inequities while appearing more objective and benevolent than past discrimination, encoding bias across hiring, policing, marketing and more. Verified.</t>
  </si>
  <si>
    <t>S109</t>
  </si>
  <si>
    <t>Matz, S. C., Teeny, J. D., Vaid, S. S., Peters, H., Harari, G. M., &amp; Cerf, M. (2024). The potential of generative AI for personalized persuasion at scale. Scientific Reports, 14, 4692.</t>
  </si>
  <si>
    <t>Scientific Reports / DOI 10.1038/s41598-024-53755-0</t>
  </si>
  <si>
    <t>Audience microtargeting (CAP-003) - contemporary. Across four studies (N=1788), ChatGPT-generated messages matched to recipients' psychological profiles (Big Five, moral foundations, political orientation) were significantly more persuasive than non-personalised ones, showing LLMs can automate and scale personalised persuasion. Complements S099. Verified.</t>
  </si>
  <si>
    <t>S110</t>
  </si>
  <si>
    <t>Federal Trade Commission. (2024). In the Matter of X-Mode Social, Inc. and Outlogic, LLC. Decision and Order (complaint announced January 2024; finalised 2024).</t>
  </si>
  <si>
    <t>Location inference / brokerage (CAP-002) - contemporary. The FTC's first-ever ban on the sale of sensitive location data: charged that the broker collected precise geolocation via an app SDK and sold raw, re-identifiable data without informed consent or safeguards, including data revealing visits to reproductive-health clinics, places of worship and LGBTQ+ venues. NOTE: Outlogic disputes the characterisation. Verified.</t>
  </si>
  <si>
    <t>S111</t>
  </si>
  <si>
    <t>Ienca, M., &amp; Andorno, R. (2017). Towards new human rights in the age of neuroscience and neurotechnology. Life Sciences, Society and Policy, 13(1), Article 5.</t>
  </si>
  <si>
    <t>Life Sciences, Society and Policy / DOI 10.1186/s40504-017-0050-1</t>
  </si>
  <si>
    <t>Behavioural/neural profiling (CAP-005) - neurorights foundation. Proposes four new human rights (cognitive liberty, mental privacy, mental integrity, psychological continuity) in response to neurotech that can access, decode and manipulate brain information. Conceptual anchor that S102 (Farahany) builds on. NOTE: emerging field, capabilities debated (confidence M). Verified.</t>
  </si>
  <si>
    <t>S112</t>
  </si>
  <si>
    <t>Véliz, C. (2020). Privacy Is Power: Why and How You Should Take Back Control of Your Data. London: Bantam Press.</t>
  </si>
  <si>
    <t>Bantam Press / Transworld (ISBN 9781787634046)</t>
  </si>
  <si>
    <t>Persistent identification / surveillance (CAP-001) - contemporary. Argues 'whoever has the data has the power', so the concentration of personal data lets tech companies and states exert soft and hard power over individuals, eroding free choice, equality and democracy. Verified.</t>
  </si>
  <si>
    <t>S113</t>
  </si>
  <si>
    <t>Sadowski, J. (2019). When data is capital: Datafication, accumulation, and extraction. Big Data &amp; Society, 6(1), 1-12.</t>
  </si>
  <si>
    <t>Big Data &amp; Society / DOI 10.1177/2053951718820549</t>
  </si>
  <si>
    <t>Data aggregation / extraction (CAP-007). Analyses data as a form of capital whose accumulation drives an imperative to capture all data by any means, reframing routine collection as 'extraction' taken with little regard for consent, where flows of data correspond to flows of power. Corroborates S085, S094, S107. Verified.</t>
  </si>
  <si>
    <t>S114</t>
  </si>
  <si>
    <t>Ananny, M., &amp; Crawford, K. (2018). Seeing without knowing: Limitations of the transparency ideal and its application to algorithmic accountability. New Media &amp; Society, 20(3), 973-989.</t>
  </si>
  <si>
    <t>New Media &amp; Society / DOI 10.1177/1461444816676645</t>
  </si>
  <si>
    <t>Predictive scoring / algorithmic systems (CAP-012). Argues that 'seeing' an algorithmic system is not the same as 'knowing' it: transparency tends toward binary visible/invisible conceptions, can cause its own harms, and is inadequate for understanding or governing algorithmic systems. Corroborates S093 (Burrell). Verified.</t>
  </si>
  <si>
    <t>S115</t>
  </si>
  <si>
    <t>Yeung, K. (2018). Algorithmic regulation: A critical interrogation. Regulation &amp; Governance, 12(4), 505-523.</t>
  </si>
  <si>
    <t>Regulation &amp; Governance / DOI 10.1111/rego.12158</t>
  </si>
  <si>
    <t>Predictive scoring / algorithmic ordering (CAP-012). Characterises 'algorithmic regulation' as a new mode of social ordering that alters behaviour through continuous real-time data collection toward pre-specified goals, warning it can erode participatory rights and entrench power asymmetries. Distinct from S015 (Yeung hypernudge). Verified.</t>
  </si>
  <si>
    <t>S116</t>
  </si>
  <si>
    <t>Hartzog, W. (2018). Privacy's Blueprint: The Battle to Control the Design of New Technologies. Cambridge, MA: Harvard University Press.</t>
  </si>
  <si>
    <t>Harvard University Press (ISBN 9780674976009)</t>
  </si>
  <si>
    <t>Manipulative/abusive design (CAP-009). Argues digital tools are deliberately designed to expose people and manipulate them into disclosing personal information ('abusive design'), and that privacy law should regulate product design to nurture trust, obscurity and autonomy rather than leaving users to fend for themselves. Verified.</t>
  </si>
  <si>
    <t>S117</t>
  </si>
  <si>
    <t>Frischmann, B., &amp; Selinger, E. (2018). Re-Engineering Humanity. Cambridge: Cambridge University Press.</t>
  </si>
  <si>
    <t>Cambridge University Press (ISBN 9781107147096)</t>
  </si>
  <si>
    <t>Content/environment personalisation (CAP-006). A sustained critique of 'techno-social engineering': how smart environments, persuasive design and frictionless electronic contracting condition and 'program' human behaviour, risking the erosion of judgment, self-determination and free will. Verified.</t>
  </si>
  <si>
    <t>S118</t>
  </si>
  <si>
    <t>Crawford, K. (2021). Atlas of AI: Power, Politics, and the Planetary Costs of Artificial Intelligence. New Haven: Yale University Press.</t>
  </si>
  <si>
    <t>Yale University Press (ISBN 9780300209570)</t>
  </si>
  <si>
    <t>Classification / profiling (CAP-005) - contemporary. Frames AI as a 'technology of extraction' and shows how the classificatory logic of training data encodes historical and structural inequities behind an 'aesthetic of objectivity'. Coded here for its classification -&gt; opportunity mechanism; also speaks to data extraction/power (CAP-007/AUT-DOM). Verified.</t>
  </si>
  <si>
    <t>S119</t>
  </si>
  <si>
    <t>O'Neil, C. (2016). Weapons of Math Destruction: How Big Data Increases Inequality and Threatens Democracy. New York: Crown.</t>
  </si>
  <si>
    <t>Crown / Penguin Random House (ISBN 9780553418811)</t>
  </si>
  <si>
    <t>Predictive scoring (CAP-012) - landmark. Documents how opaque, unregulated, uncontestable scoring models ('WMDs', defined by opacity, scale and damage) govern access to jobs, credit, education, insurance and parole, reinforcing inequality while those affected are ranked without knowing the variables used. Verified.</t>
  </si>
  <si>
    <t>S120</t>
  </si>
  <si>
    <t>Lessig, L. (2006). Code: And Other Laws of Cyberspace, Version 2.0. New York: Basic Books.</t>
  </si>
  <si>
    <t>Basic Books (ISBN 9780465039142)</t>
  </si>
  <si>
    <t>Design/architecture (CAP-009) - landmark. The foundational 'code is law' argument: architecture (software/hardware) is a primary modality of regulation alongside law, norms and markets, structuring and controlling behaviour online - often invisibly - with whoever writes the code shaping what people can and cannot do. Verified.</t>
  </si>
  <si>
    <t>S121</t>
  </si>
  <si>
    <t>Olejnik, L., Minh-Dung, T., &amp; Castelluccia, C. (2014). Selling Off Privacy at Auction. Proceedings of the Network and Distributed System Security Symposium (NDSS 2014).</t>
  </si>
  <si>
    <t>NDSS 2014 (Internet Society)</t>
  </si>
  <si>
    <t>RTB / programmatic adtech (CAP-004) - thin-capability boost. Empirical audit of real-time bidding and cookie matching: detected 41 RTB and 125+ cookie-matching companies; 91% of users affected by cookie matching and up to 27% of browsing histories leaked to third parties via RTB; 'RTB is by design a non-transparent technology'. Verified.</t>
  </si>
  <si>
    <t>S122</t>
  </si>
  <si>
    <t>Bagrow, J. P., Liu, X., &amp; Mitchell, L. (2019). Information flow reveals prediction limits in online social activity. Nature Human Behaviour, 3(2), 122-128.</t>
  </si>
  <si>
    <t>Nature Human Behaviour / DOI 10.1038/s41562-018-0510-5</t>
  </si>
  <si>
    <t>Social graph inference (CAP-011) - thin-capability boost. Information-theoretic analysis of Twitter showing ~95% of the predictive accuracy about an individual is achievable from their social ties alone (8-9 contacts suffice), so a platform can in principle profile someone from their network even if they never use the platform (shadow profiles). Verified.</t>
  </si>
  <si>
    <t>S123</t>
  </si>
  <si>
    <t>Angwin, J., Larson, J., Mattu, S., &amp; Kirchner, L. (2016). Machine Bias. ProPublica, 23 May 2016 (with companion: Larson et al., How We Analyzed the COMPAS Recidivism Algorithm).</t>
  </si>
  <si>
    <t>ProPublica (propublica.org)</t>
  </si>
  <si>
    <t>Predictive scoring (CAP-012) - documented case, CONTESTED. ProPublica's analysis of COMPAS recidivism scores for 7,000+ Broward County defendants found Black defendants ~2x as likely to be falsely flagged high-risk. NOTE: heavily contested - Northpointe's rebuttal and Corbett-Davies/Kleinberg et al. showed competing fairness definitions are mathematically incompatible; Dressel &amp; Farid later found COMPAS no better than untrained humans. Confidence M. Verified.</t>
  </si>
  <si>
    <t>S124</t>
  </si>
  <si>
    <t>Information Commissioner's Office. (2023). Commissioner warns UK's top websites to make cookie changes (21 November 2023); and ICO guidance on harmful design / cookie consent (August 2023).</t>
  </si>
  <si>
    <t>Dark patterns / consent design (CAP-009) - contemporary, UK-specific. The ICO wrote to 53 of the UK's top 100 websites warning of enforcement unless rejecting advertising cookies is made as easy as accepting them, treating banners that emphasise 'accept' over 'reject' as a non-compliant design that influences users toward consent. Verified.</t>
  </si>
  <si>
    <t>S125</t>
  </si>
  <si>
    <t>Narayanan, A. (2023). Understanding Social Media Recommendation Algorithms. Knight First Amendment Institute, 9 March 2023.</t>
  </si>
  <si>
    <t>Knight First Amendment Institute (knightcolumbia.org)</t>
  </si>
  <si>
    <t>Content personalisation / curation (CAP-006) - contemporary. An authoritative primer arguing that recommender systems optimised for engagement determine 'who will hear us' online and thereby shape society, while critiquing the flaws of the engagement-optimisation mindset. Verified.</t>
  </si>
  <si>
    <t>S126</t>
  </si>
  <si>
    <t>Kang, J. (1998). Information Privacy in Cyberspace Transactions. Stanford Law Review, 50(4), 1193-1294.</t>
  </si>
  <si>
    <t>Stanford Law Review / DOI 10.2307/1229286</t>
  </si>
  <si>
    <t>Persistent identification / surveillance (CAP-001) - foundational, prescient. Argues online data collection is 'more like surveillance than casual observation' and that another's control of one's personal information enables 'influence that crosses the line between persuasion and undue influence', with advertisers manufacturing preferences. Verified.</t>
  </si>
  <si>
    <t>S127</t>
  </si>
  <si>
    <t>Bai, H., Voelkel, J. G., Muldowney, S., Eichstaedt, J. C., &amp; Willer, R. (2025). LLM-generated messages can persuade humans on policy issues. Nature Communications, 16, 6037.</t>
  </si>
  <si>
    <t>Nature Communications / DOI 10.1038/s41467-025-61345-5</t>
  </si>
  <si>
    <t>Audience persuasion (CAP-003) - contemporary. Across three preregistered experiments (N=4829), LLM-generated messages produced significant attitude change across polarised policies (assault-weapons ban, carbon tax, paid leave), and labelling messages as AI-generated did not reduce their effect. Complements S099 and S109. Verified.</t>
  </si>
  <si>
    <t>S128</t>
  </si>
  <si>
    <t>Yuste, R., Goering, S., Aguera y Arcas, B., et al. (2017). Four ethical priorities for neurotechnologies and AI. Nature, 551(7679), 159-163.</t>
  </si>
  <si>
    <t>Nature / DOI 10.1038/551159a</t>
  </si>
  <si>
    <t>Behavioural/neural profiling (CAP-005) - neurorights. Landmark 25-author comment arguing that brain-computer interfaces and AI must preserve privacy, identity, agency and equality, and that agency ('our ability to choose our actions') and mental integrity should be protected as basic 'neurorights'. Completes a neurorights cluster with S102 and S111. NOTE: emerging field (confidence M). Verified.</t>
  </si>
  <si>
    <t>S129</t>
  </si>
  <si>
    <t>Bond, R. M., Fariss, C. J., Jones, J. J., Kramer, A. D. I., Marlow, C., Settle, J. E., &amp; Fowler, J. H. (2012). A 61-million-person experiment in social influence and political mobilization. Nature, 489(7415), 295-298.</t>
  </si>
  <si>
    <t>Nature / DOI 10.1038/nature11421</t>
  </si>
  <si>
    <t>Content/feed curation with social cues (CAP-006) - EMPIRICAL (RCT). A 61-million-user randomized experiment showing a feed message with social cues ('I Voted' + friends' faces) measurably increased real-world voting, verified against records, mostly via social contagion (~340,000 extra votes). NOTE: the studied effect was prosocial (voting) but it demonstrates the behavioural-engineering capability. Verified.</t>
  </si>
  <si>
    <t>S130</t>
  </si>
  <si>
    <t>Epstein, R., &amp; Robertson, R. E. (2015). The search engine manipulation effect (SEME) and its possible impact on the outcomes of elections. PNAS, 112(33), E4512-E4521.</t>
  </si>
  <si>
    <t>PNAS / DOI 10.1073/pnas.1419828112</t>
  </si>
  <si>
    <t>Search ranking/curation (CAP-006) - EMPIRICAL (5 RCTs incl. field). Found biased search rankings could shift undecided voters' preferences by 20%+ with little awareness of the manipulation. NOTE: effect magnitudes and external validity are debated (confidence M). Verified.</t>
  </si>
  <si>
    <t>S131</t>
  </si>
  <si>
    <t>Guess, A. M., Malhotra, N., Pan, J., Barbera, P., Allcott, H., et al. (2023). How do social media feed algorithms affect attitudes and behavior in an election campaign? Science, 381(6656), 398-404.</t>
  </si>
  <si>
    <t>Science / DOI 10.1126/science.abp9364</t>
  </si>
  <si>
    <t>Content curation (CAP-006) - EMPIRICAL (large RCT), contemporary. A Meta-academic experiment during the 2020 US election moving users to chronological feeds: the algorithm substantially shaped exposure and engagement, but did NOT significantly change polarization, knowledge or attitudes over 3 months - an important nuance. NOTE: a 'break-glass' measure may affect external validity. Verified.</t>
  </si>
  <si>
    <t>S132</t>
  </si>
  <si>
    <t>Reardon, J., Feal, A., Wijesekera, P., Elazari Bar On, A., Vallina-Rodriguez, N., &amp; Egelman, S. (2019). 50 Ways to Leak Your Data: An Exploration of Apps' Circumvention of the Android Permissions System. USENIX Security Symposium 2019.</t>
  </si>
  <si>
    <t>USENIX Security '19</t>
  </si>
  <si>
    <t>Exclude</t>
  </si>
  <si>
    <t>Duplicate of S016 (same paper) - independent-claims rule S2.4</t>
  </si>
  <si>
    <t>DUPLICATE of S016 (Reardon et al. 2019, 50 Ways to Leak Your Data). Excluded as a separate evidence item per S2.4; the paper is already coded under S016 (EV-0016, EV-0017).</t>
  </si>
  <si>
    <t>S133</t>
  </si>
  <si>
    <t>Athey, S., Catalini, C., &amp; Tucker, C. (2017). The Digital Privacy Paradox: Small Money, Small Costs, Small Talk. NBER Working Paper 23488.</t>
  </si>
  <si>
    <t>NBER Working Paper 23488 / DOI 10.3386/w23488</t>
  </si>
  <si>
    <t>Choice architecture / dark patterns (CAP-009) - EMPIRICAL (field experiment). MIT digital-currency field experiment showing small incentives, small navigation frictions, and irrelevant-but-reassuring 'privacy talk' each push people into disclosing data and accepting tracking against their stated privacy preferences. Verified.</t>
  </si>
  <si>
    <t>S134</t>
  </si>
  <si>
    <t>Hannak, A., Soeller, G., Lazer, D., Mislove, A., &amp; Wilson, C. (2014). Measuring Price Discrimination and Steering on E-commerce Web Sites. ACM Internet Measurement Conference (IMC '14), 305-318.</t>
  </si>
  <si>
    <t>ACM IMC '14 / DOI 10.1145/2663716.2663744</t>
  </si>
  <si>
    <t>Duplicate of S046 (same paper) - independent-claims rule S2.4</t>
  </si>
  <si>
    <t>DUPLICATE of S046 (Hannak et al. 2014, Measuring Price Discrimination and Steering). Excluded as a separate evidence item per S2.4; the paper is already coded under S046 (EV-0048).</t>
  </si>
  <si>
    <t>S135</t>
  </si>
  <si>
    <t>Allcott, H., Braghieri, L., Eichmeyer, S., &amp; Gentzkow, M. (2020). The Welfare Effects of Social Media. American Economic Review, 110(3), 629-676.</t>
  </si>
  <si>
    <t>American Economic Review / DOI 10.1257/aer.20190658</t>
  </si>
  <si>
    <t>Engagement-optimised platform (CAP-006) - EMPIRICAL (RCT). Paying users to deactivate Facebook for four weeks increased subjective well-being and caused a large persistent reduction in post-experiment use and lower valuations, indicating habitual engagement beyond endorsed levels (self-control). NOTE: mixed effects (also reduced news knowledge); coded for the self-control finding. Verified. [Recoded to CAP-013 attention-capture, 2026-06-20.]</t>
  </si>
  <si>
    <t>S136</t>
  </si>
  <si>
    <t>Utz, C., Degeling, M., Fahl, S., Schaub, F., &amp; Holz, T. (2019). (Un)informed Consent: Studying GDPR Consent Notices in the Field. ACM SIGSAC Conference on Computer and Communications Security (CCS '19), 973-990.</t>
  </si>
  <si>
    <t>ACM CCS '19 / DOI 10.1145/3319535.3354212</t>
  </si>
  <si>
    <t>Consent dark patterns (CAP-009) - EMPIRICAL (field experiments). Three field experiments with 80,000+ users showing notice position, choice type and nudging (highlighting 'Accept', pre-ticked boxes) substantially change consent rates, with most notices designed to steer toward privacy-unfriendly options. Hard backing for the ICO cookies action (S124). Verified.</t>
  </si>
  <si>
    <t>S137</t>
  </si>
  <si>
    <t>Binns, R., Lyngs, U., Van Kleek, M., Zhao, J., Libert, T., &amp; Shadbolt, N. (2018). Third Party Tracking in the Mobile Ecosystem. ACM Conference on Web Science (WebSci '18), 23-31.</t>
  </si>
  <si>
    <t>ACM WebSci '18 / DOI 10.1145/3201064.3201089</t>
  </si>
  <si>
    <t>Data aggregation / tracking concentration (CAP-007) - EMPIRICAL (audit). Study of 959,000 US and UK Play Store apps found most contain third-party tracking, with a long-tailed distribution dominated by a few firms (Alphabet foremost), children's and news apps among the worst, and no OS-level way for users to control it. First empirical anchor for the data-concentration cluster. Verified.</t>
  </si>
  <si>
    <t>S138</t>
  </si>
  <si>
    <t>Muchnik, L., Aral, S., &amp; Taylor, S. J. (2013). Social influence bias: A randomized experiment. Science, 341(6146), 647-651.</t>
  </si>
  <si>
    <t>Science / DOI 10.1126/science.1240466</t>
  </si>
  <si>
    <t>Social cues in curation (CAP-006) - EMPIRICAL (RCT). A randomized experiment on 100,000+ posts where a single seeded up-vote produced accumulating 'herding', raising final ratings by ~25% and the likelihood of positive ratings by 32%, demonstrating that visible social cues distort individual judgments. Verified.</t>
  </si>
  <si>
    <t>S139</t>
  </si>
  <si>
    <t>Aggarwal, M., Allen, J., Coppock, A., Frankowski, D., Messing, S., Zhang, K., Barnes, J., Beasley, A., Hantman, H., &amp; Zheng, S. (2023). A 2 million-person, campaign-wide field experiment shows how digital advertising affects voter turnout. Nature Human Behaviour, 7(3), 332-341.</t>
  </si>
  <si>
    <t>Nature Human Behaviour / DOI 10.1038/s41562-022-01487-4</t>
  </si>
  <si>
    <t>Audience targeting via advertising (CAP-003) - EMPIRICAL (large field experiment). An $8.9M, 8-month field experiment on 2 million persuadable voters in five 2020 battleground states found NO average turnout effect from social-media political advertising, only small differential effects by partisan lean (~0.7pp). Opens an empty cell (CAP-003 -&gt; AUT-BEH) as a demonstrated LIMIT on ad-driven behavioural effects. Verified.</t>
  </si>
  <si>
    <t>S140</t>
  </si>
  <si>
    <t>Costello, T. H., Pennycook, G., &amp; Rand, D. G. (2024). Durably reducing conspiracy beliefs through dialogues with AI. Science, 385(6714), eadq1814.</t>
  </si>
  <si>
    <t>Science / DOI 10.1126/science.adq1814</t>
  </si>
  <si>
    <t>AI persuasion (CAP-003) - EMPIRICAL (RCT), contemporary. Personalized GPT-4 dialogues with 2,190 conspiracy believers cut belief by ~20%, durable at two months and even among the deeply entrenched - demonstrating AI's power to durably reshape beliefs (an epistemic-autonomy facet, distinct from the persuasion-of-decisions cluster). NOTE: the studied use is beneficial (reducing false beliefs) but demonstrates the capability. Verified.</t>
  </si>
  <si>
    <t>S141</t>
  </si>
  <si>
    <t>Information Commissioner's Office &amp; Competition and Markets Authority. (2023). Harmful design in digital markets: How Online Choice Architecture practices can undermine consumer choice and control over personal information. Joint position paper, Digital Regulation Cooperation Forum, 9 August 2023.</t>
  </si>
  <si>
    <t>UK ICO/CMA (DRCF)</t>
  </si>
  <si>
    <t>Online choice architecture / dark patterns (CAP-009) - UK-specific. A joint ICO-CMA position paper setting out how online choice-architecture practices pressure and confuse users into providing more personal data and impair informed decisions. A distinct UK regulatory evidence base from the cookie-banner enforcement (S124). Verified.</t>
  </si>
  <si>
    <t>S142</t>
  </si>
  <si>
    <t>Information Commissioner's Office. (2020). Age appropriate design: a code of practice for online services (the 'Children's Code' / Age Appropriate Design Code). Statutory code under s.123 Data Protection Act 2018.</t>
  </si>
  <si>
    <t>Design directed at children (CAP-009) - UK-specific, children. A statutory code requiring services likely accessed by under-18s to default to high privacy, switch profiling off by default, and not use nudge techniques to lead children to provide unnecessary data or weaken their privacy protections - recognising that data is used to persuade children to spend more time and to shape the content and ads they receive. Verified.</t>
  </si>
  <si>
    <t>S143</t>
  </si>
  <si>
    <t>Allcott, H., Gentzkow, M., Mason, W., Wilkins, A., Barbera, P., et al. (2024). The effects of Facebook and Instagram on the 2020 election: A deactivation experiment. PNAS, 121(21), e2321584121.</t>
  </si>
  <si>
    <t>PNAS / DOI 10.1073/pnas.2321584121</t>
  </si>
  <si>
    <t>No separate evidence item (corroborating reference) - independent-claims rule S2.4</t>
  </si>
  <si>
    <t>CORROBORATING REFERENCE for EV-0133 (S131, Guess et al. 2023). The deactivation arm of the same 2020 Facebook/Instagram Election Study: randomising ~35,000 users to deactivate for 6 weeks before the 2020 election found effects on polarization, perceived legitimacy, candidate favorability and turnout precisely estimated and close to zero. Same research programme and same limited-political-effects conclusion as S131, so recorded as corroboration, not a separate evidence item, per S2.4. Verified.</t>
  </si>
  <si>
    <t>S144</t>
  </si>
  <si>
    <t>Hackenburg, K., &amp; Margetts, H. (2024). Evaluating the persuasive influence of political microtargeting with large language models. PNAS, 121(24), e2403116121.</t>
  </si>
  <si>
    <t>PNAS / DOI 10.1073/pnas.2403116121</t>
  </si>
  <si>
    <t>CORROBORATING REFERENCE for EV-0043 (S041, Tappin et al.). A real-time GPT-4 microtargeting web app found that tailoring messages to individuals yielded only mixed, limited gains over an already-persuasive generic message, challenging claims about LLM microtargeting. This limited-microtargeting claim matches the finding S041 already carries, so recorded as corroboration, not a separate evidence item, per S2.4. Verified.</t>
  </si>
  <si>
    <t>S145</t>
  </si>
  <si>
    <t>Williams, J. (2018). Stand Out of Our Light: Freedom and Resistance in the Attention Economy. Cambridge University Press.</t>
  </si>
  <si>
    <t>Cambridge University Press (Nine Dots Prize; open access)</t>
  </si>
  <si>
    <t>Attention-capture / persuasive design (CAP-013) -&gt; volitional autonomy. A former Google ad strategist turned philosopher argues that technologies engineered to capture and exploit attention produce a 'corruption of the will' (akrasia), undermining self-directedness and cognitive autonomy. Anchors the attention-economy strand philosophically; distinct from consent dark-patterns (S031/S032) and complements engagement items (S063/S106/S135). Verified.</t>
  </si>
  <si>
    <t>S146</t>
  </si>
  <si>
    <t>Ferguson, A. G. (2017). The Rise of Big Data Policing: Surveillance, Race, and the Future of Law Enforcement. New York University Press. ISBN 9781479892822.</t>
  </si>
  <si>
    <t>NYU Press (PROSE Award, Law &amp; Legal Studies)</t>
  </si>
  <si>
    <t>Predictive / big-data policing (CAP-012) -&gt; domination, protected groups. Documents how predictive policing, 'heat lists', intelligence-driven prosecution and social-media scraping are adopted as ostensibly race-neutral and objective yet concentrate surveillance and intervention on minority and disadvantaged communities. Canonical predictive-policing account, distinct from recidivism scoring (S123) and welfare automation (S027). Examples drawn mainly from reporting and case law. Verified.</t>
  </si>
  <si>
    <t>S147</t>
  </si>
  <si>
    <t>Schull, N. D. (2012). Addiction by Design: Machine Gambling in Las Vegas. Princeton University Press. ISBN 9780691127552.</t>
  </si>
  <si>
    <t>Princeton University Press</t>
  </si>
  <si>
    <t>Attention-capture / engagement design (CAP-013) -&gt; volitional autonomy. Canonical 15-year ethnography of how electronic gambling machines are engineered (variable-reward schedules, ergonomics, 'ambience management' optimised for 'time on device') to draw players into a trancelike 'machine zone' where they play to keep playing, overriding self-control. The foundational empirical study of engineered compulsion; mapped by analogy to platform engagement design (status 2). Verified.</t>
  </si>
  <si>
    <t>S148</t>
  </si>
  <si>
    <t>Fogg, B. J. (2003). Persuasive Technology: Using Computers to Change What We Think and Do. Morgan Kaufmann. ISBN 9781558606432.</t>
  </si>
  <si>
    <t>Morgan Kaufmann (foreword P. Zimbardo)</t>
  </si>
  <si>
    <t>Attention-capture / engagement design (CAP-013) -&gt; behavioural autonomy. Foundational text of the field: coined 'captology' (computers as persuasive technologies) and set out how websites, software and mobile devices can be deliberately designed to change attitudes and behaviour. NOTE: Fogg frames persuasive design as a neutral/beneficial discipline (Ch. 9 covers its ethics); the autonomy-harm reading coded here reflects the later critical literature, not Fogg's own stance. Verified.</t>
  </si>
  <si>
    <t>S149</t>
  </si>
  <si>
    <t>Wu, T. (2016). The Attention Merchants: The Epic Scramble to Get Inside Our Heads. Alfred A. Knopf. ISBN 9780385352017.</t>
  </si>
  <si>
    <t>Alfred A. Knopf</t>
  </si>
  <si>
    <t>Attention-capture / engagement design (CAP-013) -&gt; volitional autonomy. Historical and political-economy account of how the capture and resale of human attention became a defining industry, from 1830s penny papers to Google and Facebook, arguing attention-harvesting leaves people's attention captive and their lives less their own. Provides the macro/historical framing for the attention-capture node (status 1). Verified.</t>
  </si>
  <si>
    <t>S150</t>
  </si>
  <si>
    <t>Eckersley, P. (2010). How Unique Is Your Web Browser? In Privacy Enhancing Technologies Symposium (PETS 2010), LNCS 6205, pp. 1-18. Springer.</t>
  </si>
  <si>
    <t>PETS 2010 / DOI 10.1007/978-3-642-14527-8_1 (EFF Panopticlick)</t>
  </si>
  <si>
    <t>Persistent identification via fingerprinting (CAP-001) - ID being collected. The canonical browser-fingerprinting study: from 470,161 browsers, fingerprints (User-Agent, plugins, fonts, screen resolution) carried &gt;=18.1 bits of entropy, making 83.6-94.2% uniquely identifiable without cookies, with firms already selling fingerprinting products. Foundational for covert persistent identification; distinct from canvas fingerprinting (S029) and the 1M-site measurement (S009). Verified.</t>
  </si>
  <si>
    <t>S151</t>
  </si>
  <si>
    <t>Information Commissioner's Office. (2018). Monetary Penalty Notice: Equifax Ltd (20 September 2018). [2017 Equifax data breach; 500,000 GBP penalty for failing to protect UK consumers' personal data.]</t>
  </si>
  <si>
    <t>UK ICO (ico.org.uk); cf. FTC/CFPB settlement 2019</t>
  </si>
  <si>
    <t>Data-broker aggregation breached (CAP-007) - UK-specific; the canonical identity-data breach. The 2017 Equifax breach exposed ~147.9 million people globally (including ~15.2 million UK records) - names, Social Security/identity numbers, dates of birth, addresses - after an unpatched vulnerability. The ICO was the first regulator to fine Equifax (500,000 GBP); the FTC/CFPB/states settlement (2019) reached up to $700m. First use of TM-BREACH. Verified.</t>
  </si>
  <si>
    <t>S152</t>
  </si>
  <si>
    <t>Solove, D. J., &amp; Citron, D. K. (2018). Risk and Anxiety: A Theory of Data Breach Harms. Texas Law Review, 96(4), 737-786.</t>
  </si>
  <si>
    <t>Texas Law Review / SSRN 2885638</t>
  </si>
  <si>
    <t>Theory of data-breach harms (CAP-007/CAP-001). The leading legal-theoretical treatment: breaches inflict cognizable harm along two dimensions - the RISK of future identity theft or fraud, and the ANXIETY about that risk - which courts wrongly dismiss as too speculative. Pairs with the Equifax case (S151) as the harm theory behind the breach. Verified.</t>
  </si>
  <si>
    <t>S153</t>
  </si>
  <si>
    <t>Thomas, K., Li, F., Zand, A., Barrett, J., Ranieri, J., Invernizzi, L., Markov, Y., Comanescu, O., Eranti, V., Moscicki, A., Margolis, D., Paxson, V., &amp; Bursztein, E. (2017). Data Breaches, Phishing, or Malware? Understanding the Risks of Stolen Credentials. ACM CCS '17, pp. 1421-1434.</t>
  </si>
  <si>
    <t>ACM CCS 2017 / DOI 10.1145/3133956.3134067 (Google/Berkeley/ICSI)</t>
  </si>
  <si>
    <t>Identity hacked and sold (CAP-001) - empirical. First longitudinal measurement of the underground credential-theft economy: over one year, 1.9 billion username/password pairs exposed via breaches and traded on blackmarket forums (plus 12.4m phishing-kit and 788k keylogger victims); 7-25% of stolen passwords enabled attackers to seize complete control of victims' online identities. The empirical 'hacked and sold' anchor. Verified.</t>
  </si>
  <si>
    <t>S154</t>
  </si>
  <si>
    <t>Federal Trade Commission. (2023). In the Matter of BetterHelp, Inc., FTC Matter No. 2023169. (Decision and Order; $7.8 million.)</t>
  </si>
  <si>
    <t>Adjacent area: health-data commercialisation (CAP-007) -&gt; domination; TG-HEALTH. The FTC found online counselling service BetterHelp shared consumers' sensitive mental-health data (email/IP addresses, health-questionnaire answers) with Facebook, Snapchat, Criteo and Pinterest for advertising and lookalike targeting despite privacy promises. Illustrates the HIPAA gap for consumer health apps. Adaptable; fills thin TG-HEALTH. Verified.</t>
  </si>
  <si>
    <t>S155</t>
  </si>
  <si>
    <t>Haggerty, K. D., &amp; Ericson, R. V. (2000). The Surveillant Assemblage. The British Journal of Sociology, 51(4), 605-622.</t>
  </si>
  <si>
    <t>British Journal of Sociology / DOI 10.1080/00071310020015280</t>
  </si>
  <si>
    <t>Adjacent/foundational: surveillance-studies theory adaptable to the whole framework. The 'surveillant assemblage' describes how once-separate surveillance systems converge to abstract people into data flows reassembled elsewhere as virtual 'data doubles' - a foundational lens for the aggregation/profiling cluster. Verified.</t>
  </si>
  <si>
    <t>S156</t>
  </si>
  <si>
    <t>Information Commissioner's Office &amp; Office of the Privacy Commissioner of Canada. (2025). Joint investigation into the 2023 23andMe data breach. [ICO fine 2.31m GBP; breach disclosed October 2023.]</t>
  </si>
  <si>
    <t>UK ICO &amp; Privacy Commissioner of Canada</t>
  </si>
  <si>
    <t>Adjacent area: genetic data breached and sold (CAP-001/CAP-005) -&gt; domination; TG-PROT. A five-month credential-stuffing attack exposed the genetic/ancestry/health data of ~6.9 million people via the DNA Relatives feature; stolen data was offered for sale on a dark-web forum in lists curated to target Ashkenazi Jewish and Chinese-descent users. Genetic data is immutable and implicates relatives. Extends the identity/breach cluster (uses TM-BREACH) into genetic data and ethnic targeting. Verified.</t>
  </si>
  <si>
    <t>S157</t>
  </si>
  <si>
    <t>Ribeiro, M. H., Ottoni, R., West, R., Almeida, V. A. F., &amp; Meira Jr., W. (2020). Auditing Radicalization Pathways on YouTube. ACM FAT* '20, pp. 131-141.</t>
  </si>
  <si>
    <t>ACM FAT* 2020 / DOI 10.1145/3351095.3372879</t>
  </si>
  <si>
    <t>Adjacent area: recommender amplification / radicalization (CAP-006) -&gt; epistemic autonomy. A large-scale audit (330,925 videos; 72m+ comments) found YouTube users consistently migrated from milder to more extreme political content over time. CONTESTED: later studies (e.g., Hosseinmardi et al. 2021) dispute the recommendation algorithm's causal role. Adaptable. Verified.</t>
  </si>
  <si>
    <t>S158</t>
  </si>
  <si>
    <t>Marczak, B., Scott-Railton, J., McKune, S., Abdul Razzak, B., &amp; Deibert, R. (2018). Hide and Seek: Tracking NSO Group's Pegasus Spyware to Operations in 45 Countries. Citizen Lab Research Report No. 113, University of Toronto.</t>
  </si>
  <si>
    <t>The Citizen Lab, University of Toronto (Report No. 113)</t>
  </si>
  <si>
    <t>Adjacent area: commercial spyware / surveillance-for-hire (CAP-010) -&gt; domination; TG-POL. Citizen Lab tracked NSO Group's Pegasus to operations in 45 countries; once a target clicks an exploit link, Pegasus silently compromises the phone and exfiltrates messages, calls, contacts and passwords and can activate camera and microphone, with operators linked to targeting journalists, activists and dissidents. Adaptable; adds the spyware industry and TG-POL. Verified.</t>
  </si>
  <si>
    <t>S159</t>
  </si>
  <si>
    <t>NJCM et al. v. The State of the Netherlands (2020). The Hague District Court, ECLI:NL:RBDHA:2020:1878 (the 'SyRI' judgment), 5 February 2020.</t>
  </si>
  <si>
    <t>Netherlands (Hague District Court); cf. van Bekkum &amp; Zuiderveen Borgesius 2021</t>
  </si>
  <si>
    <t>Public-sector predictive scoring (CAP-012) -&gt; domination; TG-VULN; non-US/UK jurisdiction. The Hague court halted SyRI, a secret welfare-fraud risk-scoring system that combined data across government databases, finding it violated Article 8 ECHR; deployed in poorer neighbourhoods, with people unable to know or challenge their scores. Among the first court rulings anywhere to stop a digital welfare-surveillance system on human-rights grounds. Adds a court ruling (a distinct evidence type) and European jurisdiction. Verified. [2026-07-02: source type recoded from Regulatory / legal to Case law / enforcement (SRC-CE) for consistency with S173 (Bridges). Decision rule: adjudicated court/commission proceedings and their reasoning = SRC-CE; regulator reports, penalty notices, guidance and legislation = SRC-RL.]</t>
  </si>
  <si>
    <t>S160</t>
  </si>
  <si>
    <t>Royal Commission into the Robodebt Scheme (2023). Report. Commonwealth of Australia. (Commissioner C. Holmes.) Cf. Amato v Commonwealth (2019), Federal Court of Australia.</t>
  </si>
  <si>
    <t>Australia (Royal Commission; Federal Court)</t>
  </si>
  <si>
    <t>Public-sector automated decision-making (CAP-012) -&gt; opportunity; TG-VULN; non-US/UK jurisdiction. Australia's Robodebt scheme used automated 'income averaging' of tax data to issue ~526,000 debt notices to welfare recipients and reversed the onus onto them; the Federal Court ruled it unlawful and a Royal Commission found it 'crude, cruel and unlawful', with &gt;A$1.8bn repaid. Distinct mechanism (automated debt-recovery) and jurisdiction. Verified. [2026-07-02: source type recoded from Regulatory / legal to Case law / enforcement (SRC-CE) for consistency with S173 (Bridges). Decision rule: adjudicated court/commission proceedings and their reasoning = SRC-CE; regulator reports, penalty notices, guidance and legislation = SRC-RL.]</t>
  </si>
  <si>
    <t>S161</t>
  </si>
  <si>
    <t>Burgess, B., Ginsberg, A., Felten, E. W., &amp; Cohney, S. (2022). Watching the Watchers: Bias and Vulnerability in Remote Proctoring Software. 31st USENIX Security Symposium, 571-588.</t>
  </si>
  <si>
    <t>USENIX Security 2022 / arXiv:2205.03009</t>
  </si>
  <si>
    <t>Educational surveillance / proctoring (CAP-005) -&gt; domination; TG-PROT. First technical analysis of four proctoring suites covering US law-school and remote bar exams: anti-cheating measures trivially bypassable; software installs highly privileged services with full device access; facial-detection classifiers risk flagging darker-skinned test-takers more readily. Adds the education-surveillance domain. Verified.</t>
  </si>
  <si>
    <t>S162</t>
  </si>
  <si>
    <t>Thaler, R. H., &amp; Sunstein, C. R. (2008). Nudge: Improving Decisions About Health, Wealth, and Happiness. Yale University Press.</t>
  </si>
  <si>
    <t>Yale University Press (ISBN 978-0-300-12223-7)</t>
  </si>
  <si>
    <t>No evidence item - foundational context, not a harm record</t>
  </si>
  <si>
    <t>FOUNDATIONAL CONTEXT (no evidence item). The origin of 'choice architecture': Thaler &amp; Sunstein show that design inevitably influences choices and advocate 'libertarian paternalism' - autonomy-PRESERVING nudges the citizen can always resist. It documents no autonomy harm, so it is not coded as evidence; rather, it is the benign concept that the dark-patterns capability (CAP-009) inverts. See EV-0015 (Yeung, 'hypernudge'), which adapts choice architecture to data-driven manipulation. Verified.</t>
  </si>
  <si>
    <t>S163</t>
  </si>
  <si>
    <t>Ryan, R. M., &amp; Deci, E. L. (2000). Self-Determination Theory and the Facilitation of Intrinsic Motivation, Social Development, and Well-Being. American Psychologist, 55(1), 68-78.</t>
  </si>
  <si>
    <t>American Psychologist / DOI 10.1037/0003-066X.55.1.68</t>
  </si>
  <si>
    <t>No evidence item - foundational psychological theory (grounds the autonomy construct)</t>
  </si>
  <si>
    <t>FOUNDATIONAL PSYCHOLOGY (no evidence item). The principal psychological theory of autonomy: autonomy is one of three innate basic needs whose satisfaction supports, and whose thwarting by CONTROLLING environments undermines, motivation and well-being. Grounds the framework's dependent variable (why autonomy harms matter) and the autonomy-supportive-vs-controlling distinction. See the autonomy dimensions in Controlled_Vocabulary and EV-0097 (Susser et al.). Verified.</t>
  </si>
  <si>
    <t>S164</t>
  </si>
  <si>
    <t>Cialdini, R. B. (2021). Influence: The Psychology of Persuasion (New and Expanded ed.). Harper Business. (Originally published 1984.)</t>
  </si>
  <si>
    <t>Harper Business (orig. 1984)</t>
  </si>
  <si>
    <t>No evidence item - foundational persuasion psychology (underpins CAP-009/CAP-003)</t>
  </si>
  <si>
    <t>FOUNDATIONAL PSYCHOLOGY (no evidence item). The empirically-grounded principles of persuasion and compliance (reciprocity, commitment/consistency, social proof, authority, liking, scarcity) that exploit decision-making heuristics. These are the mechanisms dark-pattern designs operationalise (e.g., scarcity -&gt; 'only 2 left'; social proof -&gt; 'X people viewing'); Cialdini himself warned of their manipulative use. See EV-0106 (Luguri &amp; Strahilevitz). Verified.</t>
  </si>
  <si>
    <t>S165</t>
  </si>
  <si>
    <t>Tversky, A., &amp; Kahneman, D. (1974). Judgment under Uncertainty: Heuristics and Biases. Science, 185(4157), 1124-1131.</t>
  </si>
  <si>
    <t>Science / DOI 10.1126/science.185.4157.1124</t>
  </si>
  <si>
    <t>No evidence item - foundational cognitive psychology (basis of manipulability)</t>
  </si>
  <si>
    <t>FOUNDATIONAL PSYCHOLOGY (no evidence item). Established that people rely on cognitive heuristics (representativeness, availability, anchoring) that produce systematic, predictable errors they are unaware of - the cognitive basis exploited by dark patterns, microtargeting and nudges. Launched the heuristics-and-biases programme and behavioural economics. See EV-0015 (Yeung, hypernudge). Verified.</t>
  </si>
  <si>
    <t>S166</t>
  </si>
  <si>
    <t>Barrett, L. F., Adolphs, R., Marsella, S., Martinez, A. M., &amp; Pollak, S. D. (2019). Emotional Expressions Reconsidered: Challenges to Inferring Emotion From Human Facial Movements. Psychological Science in the Public Interest, 20(1), 1-68.</t>
  </si>
  <si>
    <t>Psych. Science in the Public Interest / DOI 10.1177/1529100619832930</t>
  </si>
  <si>
    <t>Psychology of emotion (CAP-005). Comprehensive scientific review concluding that emotional states cannot be reliably inferred from facial movements, challenging the premise of emotion-recognition AI used in hiring, security, education and advertising. Coded as EV-0162; corroborates McStay (S083). Verified.</t>
  </si>
  <si>
    <t>S167</t>
  </si>
  <si>
    <t>Feeley, M. M., &amp; Simon, J. (1992). The New Penology: Notes on the Emerging Strategy of Corrections and Its Implications. Criminology, 30(4), 449-474.</t>
  </si>
  <si>
    <t>Criminology / DOI 10.1111/j.1745-9125.1992.tb01112.x</t>
  </si>
  <si>
    <t>No evidence item - foundational criminological theory (grounds actuarial/risk scoring)</t>
  </si>
  <si>
    <t>FOUNDATIONAL CRIMINOLOGY (no evidence item). The seminal statement of 'actuarial justice': criminal justice shifting from moral judgement of individuals to probabilistic management of risk-classified aggregates - the conceptual ancestor of predictive scoring (CAP-012) in criminal justice, and a warning that actuarial classification erodes individual standing and collective political agency. See EV-0125 (COMPAS) and EV-0146 (Ferguson). Verified.</t>
  </si>
  <si>
    <t>S168</t>
  </si>
  <si>
    <t>Harcourt, B. E. (2007). Against Prediction: Profiling, Policing, and Punishing in an Actuarial Age. University of Chicago Press.</t>
  </si>
  <si>
    <t>University of Chicago Press (ISBN 978-0226316147)</t>
  </si>
  <si>
    <t>Criminology (CAP-012) -&gt; opportunity; TG-PROT. Landmark critique of actuarial prediction in policing/punishment: identifies the 'ratchet effect' whereby profiling a group drives more searches, arrests and incarceration of that group, distorting justice and falling hardest on racial and class minorities. Coded EV-0163. Verified.</t>
  </si>
  <si>
    <t>S169</t>
  </si>
  <si>
    <t>Brayne, S. (2017). Big Data Surveillance: The Case of Policing. American Sociological Review, 82(5), 977-1008.</t>
  </si>
  <si>
    <t>American Sociological Review / DOI 10.1177/0003122417725865</t>
  </si>
  <si>
    <t>Criminology / empirical (CAP-007) -&gt; domination; TG-PROT. Ethnography of LAPD big-data/Palantir policing: discretion quantified into risk scores, predictive rather than reactive use, automated-alert dragnet surveillance, and a lowered threshold for database inclusion that sweeps in people with no police contact; documents 'system avoidance' chilling effects. Model explicitly extends beyond criminal justice. Coded EV-0164. Verified.</t>
  </si>
  <si>
    <t>S170</t>
  </si>
  <si>
    <t>Lum, K., &amp; Isaac, W. (2016). To predict and serve? Significance, 13(5), 14-19.</t>
  </si>
  <si>
    <t>Significance (RSS) / DOI 10.1111/j.1740-9713.2016.00960.x</t>
  </si>
  <si>
    <t>Criminology / empirical (CAP-012) -&gt; domination; TG-PROT. Applying PredPol's algorithm to Oakland drug-arrest data shows the model repeatedly targets the same poor/minority neighbourhoods (Black residents ~2x the rate of whites) in a self-reinforcing feedback loop - 'predicting future policing, not future crime'. Cf. Richardson, Schultz &amp; Crawford (2019) 'Dirty Data, Bad Predictions'. Coded EV-0165. Verified.</t>
  </si>
  <si>
    <t>S171</t>
  </si>
  <si>
    <t>Ofcom. (2025). Guidance on highly effective age assurance (Online Safety Act 2023). [Facial age estimation listed among accepted methods; enforcement from 25 July 2025.]</t>
  </si>
  <si>
    <t>UK Ofcom (Online Safety Act 2023)</t>
  </si>
  <si>
    <t>CONTEMPORARY / UK (CAP-005) -&gt; opportunity; UK-S. Ofcom requires 'highly effective' age assurance for adult-content platforms and lists facial age estimation (inferring age from a biometric face scan) among accepted methods, so access to lawful content is conditioned on submitting biometric data. Assessments note this normalises sensitive biometric processing, yields only an estimate with accuracy/bias limits, and has led some services to leave the UK. Protective child-safety purpose noted (harm is a contested side-effect; conf M). Coded EV-0166. Verified.</t>
  </si>
  <si>
    <t>S172</t>
  </si>
  <si>
    <t>Penney, J. W. (2017). Internet surveillance, regulation, and chilling effects online: A comparative case study. Internet Policy Review, 6(2).</t>
  </si>
  <si>
    <t>Internet Policy Review / DOI 10.14763/2017.2.692</t>
  </si>
  <si>
    <t>Chilling effects (AUT-BEH). First-of-its-kind comparative online survey using hypothetical scenarios (anti-cyberbullying law, government surveillance, private/corporate surveillance, and DMCA-style enforcement via personally received notices): respondents reported significantly reduced willingness to speak, share and engage online, with private-actor enforcement also chilling and effects differing across populations. Listed as a key AUT-BEH source in Controlled_Vocabulary SS1 (Penney 2016, 2017) but previously absent from this log. DOI 10.14763/2017.2.692. Verified.</t>
  </si>
  <si>
    <t>S173</t>
  </si>
  <si>
    <t>R (Bridges) v Chief Constable of South Wales Police [2020] EWCA Civ 1058 (Court of Appeal, 11 August 2020).</t>
  </si>
  <si>
    <t>EWCA / BAILII / judiciary.uk</t>
  </si>
  <si>
    <t>Persistent identification / live facial recognition (CAP-001) - UK case law. The first successful legal challenge to police live facial recognition anywhere: the Court of Appeal unanimously held SWP's 'AFR Locate' deployments unlawful - not 'in accordance with law' under Art 8 ECHR ('fundamental deficiencies' in the framework, excessive discretion over watchlists and locations), a deficient DPIA under s.64 DPA 2018, and breach of the public sector equality duty (s.149 EqA 2010) for failing to check for race/sex bias. First Case law / enforcement (SRC-CE) source type in the log; distinct evidence base from S071 (Essex study of the *Metropolitan* Police trials). UK-specific. Verified.</t>
  </si>
  <si>
    <t>S174</t>
  </si>
  <si>
    <t>Radesky, J., Hiniker, A., McLaren, C., Akgun, E., Schaller, A., Weeks, H. M., Campbell, S., &amp; Gearhardt, A. N. (2022). Prevalence and Characteristics of Manipulative Design in Mobile Applications Used by Children. JAMA Network Open, 5(6), e2217641.</t>
  </si>
  <si>
    <t>JAMA Network Open / DOI 10.1001/jamanetworkopen.2022.17641</t>
  </si>
  <si>
    <t>Dark patterns / deceptive design directed at children (CAP-009) - EMPIRICAL. Cross-sectional coding of the apps actually played by 160 children aged 3-5: ~80% contained manipulative design (parasocial character pressure, fabricated time pressure, navigation constraints, lures to extend play or prompt purchases, ad pressure); children from lower-SES households played apps with MORE manipulative design. Empirical anchor for the children x deceptive-design cell previously supported only by regulatory (S142) and data-collection (S066) evidence. DOI 10.1001/jamanetworkopen.2022.17641. Verified.</t>
  </si>
  <si>
    <t>S175</t>
  </si>
  <si>
    <t>Gak, L., Olojo, S., &amp; Salehi, N. (2022). The Distressing Ads That Persist: Uncovering the Harms of Targeted Weight-Loss Ads Among Users with Histories of Disordered Eating. Proceedings of the ACM on Human-Computer Interaction, 6(CSCW2), Article 377.</t>
  </si>
  <si>
    <t>ACM Digital Library / DOI 10.1145/3555102</t>
  </si>
  <si>
    <t>Audience microtargeting exploiting vulnerability (CAP-003) - EMPIRICAL-QUALITATIVE. Semi-structured interviews with people with histories of body stigma, dieting and disordered eating: persistently targeted weight-loss ads - driven by durable personal data exposing vulnerability and over-simplified relevancy models users could not correct or escape - reinforced low self-esteem, deepened anxieties around food and exercise, and could encourage unhealthy behaviour. Direct user-level empirical documentation of the vulnerability-exploitation mechanism theorised by Calo (S014) and Susser et al. (S095); fills TG-HEALTH on the targeting side (S154 covers the data-sharing side). DOI 10.1145/3555102. Verified.</t>
  </si>
  <si>
    <t>Evidence Items (primary extraction form)</t>
  </si>
  <si>
    <t>One row per capability -&gt; autonomy dimension claim. DARK BLUE = mandatory core. GREEN = optional data-lifecycle story. GREY = admin. A study is included if all four harm criteria are Y, even if every green field is blank.</t>
  </si>
  <si>
    <t>MANDATORY CORE  (Capability • Autonomy harm • Edge type • criteria • evidence quality • provenance)</t>
  </si>
  <si>
    <t>OPTIONAL — DATA-LIFECYCLE STORY  (collection → onward flow → harm enactment → target)</t>
  </si>
  <si>
    <t>ADMIN</t>
  </si>
  <si>
    <t>Evidence_ID</t>
  </si>
  <si>
    <t>Date coded</t>
  </si>
  <si>
    <t>Coder ID</t>
  </si>
  <si>
    <t>Capability_ID</t>
  </si>
  <si>
    <t>Autonomy_Dim_ID</t>
  </si>
  <si>
    <t>Edge type (fine)</t>
  </si>
  <si>
    <t>Edge type (superordinate)</t>
  </si>
  <si>
    <t>Capacity impact? (Y/N)</t>
  </si>
  <si>
    <t>Social mediation? (Y/N)</t>
  </si>
  <si>
    <t>Preventability? (Y/N)</t>
  </si>
  <si>
    <t>Mechanism present? (Y/N)</t>
  </si>
  <si>
    <t>Include (all 4 = Y)</t>
  </si>
  <si>
    <t>Evidential status</t>
  </si>
  <si>
    <t>UK relevance</t>
  </si>
  <si>
    <t>Coder confidence</t>
  </si>
  <si>
    <t>Page / locator</t>
  </si>
  <si>
    <t>Quote or paraphrase</t>
  </si>
  <si>
    <t>Corroborating source IDs</t>
  </si>
  <si>
    <t>Collection point (where)</t>
  </si>
  <si>
    <t>Collection point type</t>
  </si>
  <si>
    <t>Collection method (how)</t>
  </si>
  <si>
    <t>Collection method detail</t>
  </si>
  <si>
    <t>Onward recipient (where it goes)</t>
  </si>
  <si>
    <t>Recipient type</t>
  </si>
  <si>
    <t>Transfer mechanism</t>
  </si>
  <si>
    <t>Harm mechanism (how harm caused)</t>
  </si>
  <si>
    <t>Target / affected party (who)</t>
  </si>
  <si>
    <t>Target party type</t>
  </si>
  <si>
    <t>Jurisdiction / region</t>
  </si>
  <si>
    <t>Documented case / example</t>
  </si>
  <si>
    <t>Double-coded? (Y/N)</t>
  </si>
  <si>
    <t>Second coder agreement? (Y/N/partial)</t>
  </si>
  <si>
    <t>EV-0001</t>
  </si>
  <si>
    <t>2026-04-20</t>
  </si>
  <si>
    <t>JP</t>
  </si>
  <si>
    <t>E07 INCREASES_PRECISION</t>
  </si>
  <si>
    <t>Y</t>
  </si>
  <si>
    <t>pp. 3-5</t>
  </si>
  <si>
    <t>Online manipulation covertly targets decision-making vulnerabilities.</t>
  </si>
  <si>
    <t>Inferred psychological vulnerabilities used to time persuasive messaging.</t>
  </si>
  <si>
    <t>General platform users</t>
  </si>
  <si>
    <t>N</t>
  </si>
  <si>
    <t>Conceptual claim; optional lifecycle fields mostly blank - still included.</t>
  </si>
  <si>
    <t>EV-0002</t>
  </si>
  <si>
    <t>E11 OBSCURES_VISIBILITY</t>
  </si>
  <si>
    <t>paras 4.5-4.10</t>
  </si>
  <si>
    <t>RTB bid-request propagation makes downstream use effectively invisible to data subjects.</t>
  </si>
  <si>
    <t>Websites/apps running programmatic ad slots</t>
  </si>
  <si>
    <t>Cookie + bid-request data assembled at page load</t>
  </si>
  <si>
    <t>Ad exchanges and hundreds of bidding firms</t>
  </si>
  <si>
    <t>Bid requests broadcast personal data to many firms with no practical visibility or control for the data subject.</t>
  </si>
  <si>
    <t>All users exposed to RTB ads</t>
  </si>
  <si>
    <t>UK / EU</t>
  </si>
  <si>
    <t>ICO RTB investigation 2019</t>
  </si>
  <si>
    <t>Fully populated example showing the data-lifecycle story.</t>
  </si>
  <si>
    <t>EV-0003</t>
  </si>
  <si>
    <t>E12 INCREASES_ASYMMETRY</t>
  </si>
  <si>
    <t>Big Other section (p. 81 ff.)</t>
  </si>
  <si>
    <t>Behavioural data are rendered into an uncontested networked architecture ("Big Other") that records and modifies experience for profit.</t>
  </si>
  <si>
    <t>Concentration of behavioural data yields unaccountable, contestation-resistant power over data subjects who cannot see or challenge it.</t>
  </si>
  <si>
    <t>Users of networked services</t>
  </si>
  <si>
    <t>Global (US-origin platforms)</t>
  </si>
  <si>
    <t>Conceptual foundation (status 1). Verified.</t>
  </si>
  <si>
    <t>EV-0004</t>
  </si>
  <si>
    <t>Sec. on Aggregation</t>
  </si>
  <si>
    <t>Aggregation of disparate data builds a revealing "digital biography" the data subject cannot see or control.</t>
  </si>
  <si>
    <t>S005,S018</t>
  </si>
  <si>
    <t>Combining individually-trivial data into an aggregate profile creates knowledge about the person they cannot access or correct.</t>
  </si>
  <si>
    <t>Individuals profiled across datasets</t>
  </si>
  <si>
    <t>Conceptual taxonomy (status 1). Aggregation + exclusion harms.</t>
  </si>
  <si>
    <t>EV-0005</t>
  </si>
  <si>
    <t>pp. 119-120 (thesis)</t>
  </si>
  <si>
    <t>Personal data flowing out of its original context, against norms of appropriate transmission, defeats the subject's ability to anticipate or understand its use.</t>
  </si>
  <si>
    <t>S004,S018</t>
  </si>
  <si>
    <t>Context-violating onward flows make it impossible for the subject to track where information goes or why.</t>
  </si>
  <si>
    <t>Individuals whose data crosses contexts</t>
  </si>
  <si>
    <t>Conceptual (status 1) contextual-integrity argument.</t>
  </si>
  <si>
    <t>EV-0006</t>
  </si>
  <si>
    <t>Abstract; results</t>
  </si>
  <si>
    <t>Highly sensitive attributes (e.g., sexual orientation, political views) are accurately predictable from Facebook Likes without disclosure.</t>
  </si>
  <si>
    <t>Facebook (Likes)</t>
  </si>
  <si>
    <t>Public/profile "Like" data used as model input</t>
  </si>
  <si>
    <t>Statistical inference reveals undisclosed private attributes, removing the subject's control over what others can know about them.</t>
  </si>
  <si>
    <t>Social-media users</t>
  </si>
  <si>
    <t>Empirically demonstrated inference (status 3). Verified.</t>
  </si>
  <si>
    <t>EV-0007</t>
  </si>
  <si>
    <t>Abstract; significance</t>
  </si>
  <si>
    <t>Matching advertising content to inferred psychological traits significantly raised clicks and purchases in field experiments reaching millions.</t>
  </si>
  <si>
    <t>Facebook advertising platform</t>
  </si>
  <si>
    <t>Psychological traits inferred from digital footprints</t>
  </si>
  <si>
    <t>Persuasive appeals tuned to inferred psychological characteristics steer choices and can be used against the person's own interest.</t>
  </si>
  <si>
    <t>Targeted advertising audiences</t>
  </si>
  <si>
    <t>US / UK</t>
  </si>
  <si>
    <t>Field-experimental evidence (status 3). Verified.</t>
  </si>
  <si>
    <t>EV-0008</t>
  </si>
  <si>
    <t>Abstract; theme 3</t>
  </si>
  <si>
    <t>Consumers' ability to make informed decisions is severely hindered by imperfect and asymmetric information about when, why, and to what effect their data is collected.</t>
  </si>
  <si>
    <t>Information asymmetry between firms and individuals undermines the conditions for genuinely informed choice.</t>
  </si>
  <si>
    <t>Review/synthesis of empirical literature, coded as conceptual (status 1). Verified.</t>
  </si>
  <si>
    <t>EV-0009</t>
  </si>
  <si>
    <t>Abstract; cookie-syncing finding</t>
  </si>
  <si>
    <t>Pervasive third-party tracking across the top 1M sites, including cookie syncing that shares identifiers between trackers, is largely invisible to users.</t>
  </si>
  <si>
    <t>Top 1M websites</t>
  </si>
  <si>
    <t>Stateful cookies + stateless fingerprinting; cookie syncing between trackers</t>
  </si>
  <si>
    <t>Durable cross-site identifiers and ID-sharing operate in the background, so data subjects cannot see or control the tracking.</t>
  </si>
  <si>
    <t>Web users</t>
  </si>
  <si>
    <t>Empirically measured tracking (status 3). Verified.</t>
  </si>
  <si>
    <t>EV-0010</t>
  </si>
  <si>
    <t>E13 INVITES</t>
  </si>
  <si>
    <t>Abstract</t>
  </si>
  <si>
    <t>Many shopping sites deploy interface "dark patterns" that coerce, steer, or deceive users into unintended choices (e.g., extra purchases or disclosures).</t>
  </si>
  <si>
    <t>11K shopping websites</t>
  </si>
  <si>
    <t>Interface/UI design patterns (not data collection per se)</t>
  </si>
  <si>
    <t>Deceptive/steering interface design channels users toward decisions they would not otherwise make.</t>
  </si>
  <si>
    <t>Online shoppers</t>
  </si>
  <si>
    <t>Audit directly observes the deceptive designs; downstream choice change is a short step (status 2). Verified.</t>
  </si>
  <si>
    <t>EV-0011</t>
  </si>
  <si>
    <t>Final report; effects on consumers &amp; privacy</t>
  </si>
  <si>
    <t>UK regulator finds consumers have limited control over, and understanding of, how their data is collected and used by dominant platforms.</t>
  </si>
  <si>
    <t>Opaque data practices plus market power leave consumers unable to exercise meaningful, informed control over the use of their data.</t>
  </si>
  <si>
    <t>UK consumers</t>
  </si>
  <si>
    <t>United Kingdom</t>
  </si>
  <si>
    <t>CMA online platforms &amp; digital advertising market study 2020</t>
  </si>
  <si>
    <t>Regulator findings (status 2); UK-specific. Verified.</t>
  </si>
  <si>
    <t>EV-0012</t>
  </si>
  <si>
    <t>E01 ENABLES</t>
  </si>
  <si>
    <t>Abstract; Part on data mining</t>
  </si>
  <si>
    <t>Data-mining and scoring can produce disparate impact, denying historically disadvantaged groups full participation.</t>
  </si>
  <si>
    <t>Models trained on biased or proxy data sort individuals so that some are excluded from opportunities (e.g., employment).</t>
  </si>
  <si>
    <t>Members of disadvantaged / protected groups</t>
  </si>
  <si>
    <t>Conceptual + doctrinal argument (status 1). Verified.</t>
  </si>
  <si>
    <t>EV-0013</t>
  </si>
  <si>
    <t>After mass-surveillance revelations, traffic to privacy-sensitive Wikipedia articles fell significantly, evidencing surveillance-driven chilling effects.</t>
  </si>
  <si>
    <t>Awareness of pervasive monitoring induces self-censorship and reduced information-seeking.</t>
  </si>
  <si>
    <t>Internet / information seekers</t>
  </si>
  <si>
    <t>US (study); applicable to UK</t>
  </si>
  <si>
    <t>Empirical chilling-effect demonstrated for state surveillance; short inferential step to commercial tracking infrastructure (status 2). Verified.</t>
  </si>
  <si>
    <t>EV-0014</t>
  </si>
  <si>
    <t>Abstract; Part II (The Mediated Consumer)</t>
  </si>
  <si>
    <t>Firms can uncover and exploit individual cognitive biases through personalised, technology-mediated experiences ("digital market manipulation").</t>
  </si>
  <si>
    <t>Personalisation lets firms target each consumer's specific vulnerabilities at the right moment, distorting choice.</t>
  </si>
  <si>
    <t>Conceptual legal argument (status 1). Verified.</t>
  </si>
  <si>
    <t>EV-0015</t>
  </si>
  <si>
    <t>Big-Data "hypernudges" dynamically and pervasively shape the informational choice context to channel attention and decisions.</t>
  </si>
  <si>
    <t>S014; S162; S165</t>
  </si>
  <si>
    <t>Continuously updated algorithmic choice-architecture steers decisions in ways individual notice-and-consent cannot meaningfully check.</t>
  </si>
  <si>
    <t>Platform users</t>
  </si>
  <si>
    <t>Conceptual / STS argument (status 1); UK author. Verified.</t>
  </si>
  <si>
    <t>EV-0016</t>
  </si>
  <si>
    <t>Hundreds of apps and third-party SDKs use covert and side channels to obtain identifiers without the permissions or consent the user expects.</t>
  </si>
  <si>
    <t>S036; S084</t>
  </si>
  <si>
    <t>Android mobile apps</t>
  </si>
  <si>
    <t>Covert/side channels in apps and embedded SDKs bypassing the permission system</t>
  </si>
  <si>
    <t>Background telemetry routes around the permission model, so the user cannot know what is being collected.</t>
  </si>
  <si>
    <t>Smartphone users</t>
  </si>
  <si>
    <t>Empirically demonstrated covert collection (status 3). Verified.</t>
  </si>
  <si>
    <t>EV-0017</t>
  </si>
  <si>
    <t>The same study documents covert access to geolocation data by apps lacking location permission.</t>
  </si>
  <si>
    <t>Geolocation obtained via side channels despite missing permission</t>
  </si>
  <si>
    <t>Location is exfiltrated through side channels, defeating the user's ability to know or control location collection.</t>
  </si>
  <si>
    <t>Empirically demonstrated covert location access (status 3); same study as EV-0016, distinct capability. Verified.</t>
  </si>
  <si>
    <t>EV-0018</t>
  </si>
  <si>
    <t>Introduction</t>
  </si>
  <si>
    <t>Surveillance functions as social sorting: it assesses risk and assigns worth, acting as "invisible doors" that grant or deny access.</t>
  </si>
  <si>
    <t>Categorisation and scoring of individuals drive differential treatment, narrowing some people's life chances.</t>
  </si>
  <si>
    <t>Sorted / categorised populations</t>
  </si>
  <si>
    <t>Conceptual surveillance-studies argument (status 1). Verified.</t>
  </si>
  <si>
    <t>EV-0019</t>
  </si>
  <si>
    <t>Executive summary; Part IV (data brokers)</t>
  </si>
  <si>
    <t>A vast ecosystem of data brokers continuously collects, combines, and trades personal profiles, with most of the activity opaque to the people affected.</t>
  </si>
  <si>
    <t>S004,S005</t>
  </si>
  <si>
    <t>Apps, websites, offline retail, third-party feeds</t>
  </si>
  <si>
    <t>Data acquired, enriched and combined from many sources</t>
  </si>
  <si>
    <t>Data brokers / aggregators (e.g., large consumer-data vendors)</t>
  </si>
  <si>
    <t>Hidden onward data flows between firms build and sell detailed profiles that individuals cannot see, leaving them unable to understand what is known.</t>
  </si>
  <si>
    <t>General public (data subjects)</t>
  </si>
  <si>
    <t>Investigative documentation of practices (status 2). Verified.</t>
  </si>
  <si>
    <t>EV-0020</t>
  </si>
  <si>
    <t>People's privacy concerns and decisions are malleable and can be manipulated by commercial and governmental interests through framing and design.</t>
  </si>
  <si>
    <t>Choice architecture and framing exploit the context-dependence of privacy preferences to steer disclosure and consent decisions.</t>
  </si>
  <si>
    <t>Review (status 1) summarising experimental behavioural evidence. Verified.</t>
  </si>
  <si>
    <t>EV-0021</t>
  </si>
  <si>
    <t>Participation in the surveillance architecture is effectively unavoidable, leaving individuals little meaningful ability to refuse or exit.</t>
  </si>
  <si>
    <t>Ubiquitous durable tracking with no genuine opt-out erodes the capacity to refuse or withdraw consent.</t>
  </si>
  <si>
    <t>Conceptual (status 1); volitional-autonomy reading of "Big Other". Verified.</t>
  </si>
  <si>
    <t>EV-0022</t>
  </si>
  <si>
    <t>Online tracking is moving from device-tracking to person-tracking: linking a user's devices via shared IP address and browsing history yields a comprehensive person-centric profile (mobile-desktop match F-1=0.91), giving cross-device firms a far more complete view of the individual than siloed tracking.</t>
  </si>
  <si>
    <t>Multiple devices (mobile + desktop)</t>
  </si>
  <si>
    <t>Matching devices via IP-address similarity and shared browsing history</t>
  </si>
  <si>
    <t>Cross-device tracking companies</t>
  </si>
  <si>
    <t>A comprehensive person-centric profile assembled across devices creates an information and power asymmetry the individual cannot see or counter.</t>
  </si>
  <si>
    <t>Internet users across devices</t>
  </si>
  <si>
    <t>US study (mechanism globally applicable)</t>
  </si>
  <si>
    <t>Detected cross-device trackers in a 126-user dataset</t>
  </si>
  <si>
    <t>Empirically demonstrated cross-device linking (status 3). Verified.</t>
  </si>
  <si>
    <t>EV-0023</t>
  </si>
  <si>
    <t>pp.133-148 (Abstract)</t>
  </si>
  <si>
    <t>Advertising and analytics firms increasingly link a consumer's behaviour across the devices they own, building 'device graphs'; consumers may be unaware how often they are tracked across devices, and visiting 100 sites on two devices exposed activity to 861 third-party domains.</t>
  </si>
  <si>
    <t>Websites across two devices</t>
  </si>
  <si>
    <t>Device-graph construction from data routinely collected and shared via third-party web tracking</t>
  </si>
  <si>
    <t>Third-party / cross-device tracking domains</t>
  </si>
  <si>
    <t>Tracking spans devices without the consumer's awareness, so they cannot know what is collected or by whom.</t>
  </si>
  <si>
    <t>US (FTC study; mechanism globally applicable)</t>
  </si>
  <si>
    <t>861 third-party domains observed across two virtual devices over 100 sites</t>
  </si>
  <si>
    <t>Empirically demonstrated (status 3). Verified.</t>
  </si>
  <si>
    <t>EV-0024</t>
  </si>
  <si>
    <t>e1701172 (Abstract)</t>
  </si>
  <si>
    <t>Data shared by users of an online service can predict personal attributes (relationship status, sexual orientation) of NON-users via the contact lists in which non-users appear - empirical support for the 'shadow profile' hypothesis.</t>
  </si>
  <si>
    <t>Online social network (users' contact lists)</t>
  </si>
  <si>
    <t>Prediction of non-user attributes from users' disclosed contact lists and network assortativity</t>
  </si>
  <si>
    <t>People who never joined (or who withheld data) are profiled without their knowledge or any means to contest - an unaccountable power asymmetry.</t>
  </si>
  <si>
    <t>Non-users and reticent users of social networks</t>
  </si>
  <si>
    <t>Switzerland/EU study (UK-A)</t>
  </si>
  <si>
    <t>Historical audit of a defunct social network predicting non-user attributes</t>
  </si>
  <si>
    <t>Empirically demonstrated shadow-profiling (status 3). Verified.</t>
  </si>
  <si>
    <t>EV-0025</t>
  </si>
  <si>
    <t>pp.95-106 (Abstract)</t>
  </si>
  <si>
    <t>Because friends disclose information and share contact lists, an online social network can construct shadow profiles - including for people without an account - so disclosure of private information becomes a collective outcome rather than an individual choice.</t>
  </si>
  <si>
    <t>Online social network (friends' disclosures &amp; contact lists)</t>
  </si>
  <si>
    <t>Exploiting assortativity of private features plus shared contact lists to infer withheld attributes</t>
  </si>
  <si>
    <t>An individual cannot effectively refuse disclosure: their withheld attributes are revealed by others' choices, overriding their own.</t>
  </si>
  <si>
    <t>Users who withhold data and non-users</t>
  </si>
  <si>
    <t>Demonstrated on social-network data that withheld attributes are predictable from the network</t>
  </si>
  <si>
    <t>Empirically demonstrated collective-privacy effect (status 3). Verified.</t>
  </si>
  <si>
    <t>EV-0026</t>
  </si>
  <si>
    <t>E05 AMPLIFIES</t>
  </si>
  <si>
    <t>pp.8788-8790 (Abstract)</t>
  </si>
  <si>
    <t>A 689,003-user experiment on Facebook showed that altering the emotional content of users' News Feeds changed the emotional tone of their own subsequent posts - emotional states were transferred via curated feeds without users' awareness.</t>
  </si>
  <si>
    <t>S014; S015</t>
  </si>
  <si>
    <t>Facebook News Feed</t>
  </si>
  <si>
    <t>Algorithmic curation of the feed shaped users' emotional expression, demonstrating that the platform can modify behaviour at scale.</t>
  </si>
  <si>
    <t>Social media users</t>
  </si>
  <si>
    <t>US-based platform (mechanism globally applicable)</t>
  </si>
  <si>
    <t>Two-condition emotional-contagion experiment on 689,003 users</t>
  </si>
  <si>
    <t>Empirically demonstrated behavioural modification via curation (status 3). Note: PNAS Expression of Concern re: consent. Verified.</t>
  </si>
  <si>
    <t>EV-0027</t>
  </si>
  <si>
    <t>pp.1-33</t>
  </si>
  <si>
    <t>Big Data scoring ranks and rates individuals opaquely and without oversight, affecting access to loans, work, housing and insurance; absent due-process safeguards, people cannot meaningfully understand or contest adverse scores.</t>
  </si>
  <si>
    <t>Opaque, unaccountable scoring that the individual cannot contest creates a contestation-resistant power asymmetry over their life chances.</t>
  </si>
  <si>
    <t>Individuals subject to predictive scoring</t>
  </si>
  <si>
    <t>Conceptual/legal mapping (status 1): articulates the scoring-&gt;no-contestation-&gt;domination mechanism. Verified.</t>
  </si>
  <si>
    <t>EV-0028</t>
  </si>
  <si>
    <t>pp.226-256</t>
  </si>
  <si>
    <t>Real-time bidding broadcasts personal data to large numbers of third parties in a way that is structurally difficult to reconcile with data-protection law; even publishers cannot see what third parties collect, leaving individuals unable to know or control the dissemination.</t>
  </si>
  <si>
    <t>Websites and mobile apps (ad slots)</t>
  </si>
  <si>
    <t>Bid-request broadcast of personal data through programmatic auctions</t>
  </si>
  <si>
    <t>Ad exchanges, SSPs/DSPs and bidders</t>
  </si>
  <si>
    <t>Personal data is broadcast to many parties with no transparency or oversight - an uncontrollable and unaccountable dissemination.</t>
  </si>
  <si>
    <t>Web and app users</t>
  </si>
  <si>
    <t>EU/UK data-protection law context (UK-A)</t>
  </si>
  <si>
    <t>Analysis of RTB systems against GDPR legal-basis, transparency and security requirements</t>
  </si>
  <si>
    <t>Legal-technical mapping (status 1) grounded in documented RTB operation. Verified.</t>
  </si>
  <si>
    <t>EV-0029</t>
  </si>
  <si>
    <t>Indiana/LA/Allegheny case studies</t>
  </si>
  <si>
    <t>Investigative case studies show automated eligibility and risk-scoring systems determine who receives welfare, housing and child-welfare attention, disproportionately excluding and penalising poor and working-class people.</t>
  </si>
  <si>
    <t>Public-service administrative systems</t>
  </si>
  <si>
    <t>Predictive risk models and eligibility algorithms applied to applicants' administrative data</t>
  </si>
  <si>
    <t>Government agencies / caseworkers</t>
  </si>
  <si>
    <t>Automated scoring channels scarce resources and scrutiny, narrowing the life chances of those it scores down.</t>
  </si>
  <si>
    <t>Poor and working-class people; welfare applicants</t>
  </si>
  <si>
    <t>US case studies (mechanism applicable to UK)</t>
  </si>
  <si>
    <t>Indiana welfare denials; LA coordinated-entry scoring; Allegheny Family Screening Tool</t>
  </si>
  <si>
    <t>Empirically informed via investigative case studies (status 2). Verified.</t>
  </si>
  <si>
    <t>EV-0030</t>
  </si>
  <si>
    <t>pp.296-311 (Abstract)</t>
  </si>
  <si>
    <t>In a survey experiment, priming participants that their online activity might be monitored reduced their willingness to express minority political views - empirical evidence of a surveillance-driven chilling effect (spiral of silence).</t>
  </si>
  <si>
    <t>Awareness of being identifiable/monitored leads individuals to self-censor, modifying behaviour to conform.</t>
  </si>
  <si>
    <t>Internet users / social media users</t>
  </si>
  <si>
    <t>US survey (analog applicable to UK)</t>
  </si>
  <si>
    <t>Internet survey experiment with NSA-monitoring priming</t>
  </si>
  <si>
    <t>Empirically informed (status 2): demonstrates chilling effect; capability mapped by analogy to persistent identification (state-surveillance context, cf. S013). Verified.</t>
  </si>
  <si>
    <t>EV-0031</t>
  </si>
  <si>
    <t>E10 INCREASES_PERSISTENCE</t>
  </si>
  <si>
    <t>pp.674-689 (Abstract)</t>
  </si>
  <si>
    <t>A large-scale measurement found canvas fingerprinting on over 5% of top-100,000 sites, plus evercookies and cookie syncing that respawn identifiers - so tracking persists even when a privacy-aware user clears cookies, defeating their attempt to opt out.</t>
  </si>
  <si>
    <t>S009; S016</t>
  </si>
  <si>
    <t>Websites (top 100,000)</t>
  </si>
  <si>
    <t>Canvas fingerprinting, evercookies/respawning and cookie syncing that resist deletion</t>
  </si>
  <si>
    <t>Third-party trackers (via cookie syncing)</t>
  </si>
  <si>
    <t>Respawning/persistent identifiers override the user's choice to clear or refuse tracking, removing the ability to exit.</t>
  </si>
  <si>
    <t>Web users (incl. privacy-aware users)</t>
  </si>
  <si>
    <t>Global web (UK-applicable)</t>
  </si>
  <si>
    <t>Canvas fingerprinting found on &gt;5% of top 100,000 sites; evercookie respawning demonstrated</t>
  </si>
  <si>
    <t>Empirically demonstrated persistent tracking that defeats opt-out (status 3). Found via citation chase from S009. Verified.</t>
  </si>
  <si>
    <t>EV-0032</t>
  </si>
  <si>
    <t>pp.413-427</t>
  </si>
  <si>
    <t>Surveys and measures the third-party tracking ecosystem, showing that webpages embed many unrelated third parties that track users' browsing across sites - activity users are largely unaware of.</t>
  </si>
  <si>
    <t>S009; S029</t>
  </si>
  <si>
    <t>Websites (embedded third parties)</t>
  </si>
  <si>
    <t>Third-party cookies/scripts tracking browsing across sites</t>
  </si>
  <si>
    <t>Third-party advertising/analytics services</t>
  </si>
  <si>
    <t>Cross-site tracking by unseen third parties leaves users unable to know who is collecting their browsing activity.</t>
  </si>
  <si>
    <t>FourthParty measurement of third-party trackers across websites</t>
  </si>
  <si>
    <t>Foundational tracking survey + measurement (status 2). Found via citation chase from S009/S029. Verified.</t>
  </si>
  <si>
    <t>EV-0033</t>
  </si>
  <si>
    <t>Art.194, pp.1-13</t>
  </si>
  <si>
    <t>A scrape of consent pop-ups on the top 10,000 UK websites found dark patterns and implied consent are near-ubiquitous (only 11.8% met minimal legal requirements), and a field experiment showed these designs significantly steer people toward consenting.</t>
  </si>
  <si>
    <t>S010; S026</t>
  </si>
  <si>
    <t>UK websites (consent management platforms)</t>
  </si>
  <si>
    <t>Consent pop-up designs (no first-page opt-out, pre-ticked boxes) that nudge acceptance</t>
  </si>
  <si>
    <t>Designs that make refusal effortful while making acceptance easy manufacture 'consent' the user did not freely give.</t>
  </si>
  <si>
    <t>UK web users</t>
  </si>
  <si>
    <t>United Kingdom (UK-specific)</t>
  </si>
  <si>
    <t>Scrape of 5 most popular CMPs on top 10,000 UK sites (n=680) + 40-participant field experiment</t>
  </si>
  <si>
    <t>Empirically demonstrated, UK-specific (status 3). Found via citation chase from S010/S026. Verified.</t>
  </si>
  <si>
    <t>EV-0034</t>
  </si>
  <si>
    <t>Report (June 2018)</t>
  </si>
  <si>
    <t>Documents that Facebook, Google and Windows 10 use privacy-intrusive defaults and obstruction - one click to accept tracking but no equivalent reject option - to push users toward the least privacy-friendly settings.</t>
  </si>
  <si>
    <t>S010; S031</t>
  </si>
  <si>
    <t>Consumer apps/services (privacy settings)</t>
  </si>
  <si>
    <t>Privacy-intrusive defaults and obstruction in consent/settings dialogs</t>
  </si>
  <si>
    <t>Obstruction and skewed defaults make refusal effortful, so users go along with privacy-intrusive options rather than freely choosing.</t>
  </si>
  <si>
    <t>Users of major consumer platforms</t>
  </si>
  <si>
    <t>Norway/EU (UK-applicable)</t>
  </si>
  <si>
    <t>Tested consent flows of Facebook, Google and Windows 10 (April-May 2018)</t>
  </si>
  <si>
    <t>Investigative NGO documentation of obstruction dark patterns (status 2). Found via citation chase from S031. Verified.</t>
  </si>
  <si>
    <t>EV-0035</t>
  </si>
  <si>
    <t>Book (HUP, 2015)</t>
  </si>
  <si>
    <t>Argues that opaque 'black box' scoring and reputation systems in finance, search and reputation let powerful firms build invasive profiles and exercise consequential power over individuals while shielded from scrutiny.</t>
  </si>
  <si>
    <t>Secrecy around scoring/reputation systems prevents individuals from understanding or contesting decisions about them, entrenching unaccountable power.</t>
  </si>
  <si>
    <t>Individuals subject to opaque scoring/reputation systems</t>
  </si>
  <si>
    <t>US-focused analysis (principle applicable to UK)</t>
  </si>
  <si>
    <t>Conceptual mapping (status 1): articulates the opacity-&gt;unaccountability-&gt;domination mechanism. Found via citation chase from S025. Verified.</t>
  </si>
  <si>
    <t>EV-0036</t>
  </si>
  <si>
    <t>pp.44-54 (Abstract)</t>
  </si>
  <si>
    <t>Across 2184 racially associated names, Google ad delivery showed ads suggestive of an arrest record significantly more often for Black-identifying names than white-identifying names - about 25% more on the busier site - regardless of any actual arrest record.</t>
  </si>
  <si>
    <t>S012; S035</t>
  </si>
  <si>
    <t>Search engine / ad network</t>
  </si>
  <si>
    <t>Ad-delivery algorithm associating racially-coded names with arrest-record ad copy</t>
  </si>
  <si>
    <t>Discriminatory ad delivery attaches a stigmatising association to people by race, producing differential treatment they did not earn and cannot control.</t>
  </si>
  <si>
    <t>People with Black-identifying names</t>
  </si>
  <si>
    <t>US study (mechanism applicable to UK)</t>
  </si>
  <si>
    <t>Statistically significant racial skew across 2184 names on two websites</t>
  </si>
  <si>
    <t>Empirically demonstrated discriminatory ad delivery (status 3). Verified.</t>
  </si>
  <si>
    <t>EV-0037</t>
  </si>
  <si>
    <t>pp.92-112</t>
  </si>
  <si>
    <t>In controlled experiments with 1000 simulated users, profiles set to female were shown significantly fewer ads for high-paying jobs than profiles set to male, demonstrating gender-differentiated delivery of opportunity-relevant ads.</t>
  </si>
  <si>
    <t>S012; S034</t>
  </si>
  <si>
    <t>Ad-targeting/delivery conditioned on inferred gender</t>
  </si>
  <si>
    <t>Gender-differentiated delivery of job ads narrows the opportunities visible to women relative to men.</t>
  </si>
  <si>
    <t>Users profiled as female</t>
  </si>
  <si>
    <t>AdFisher: 1000 agents x 100 employment sites; statistically significant gender effect</t>
  </si>
  <si>
    <t>Empirically demonstrated via controlled experiment (status 3). Verified.</t>
  </si>
  <si>
    <t>EV-0038</t>
  </si>
  <si>
    <t>Art.199 (Abstract)</t>
  </si>
  <si>
    <t>Running real employment and housing ads on Facebook, the platform's own delivery optimisation skewed who saw them along gender and racial lines even when targeting was neutral - a discriminatory effect introduced by the platform, not the advertiser.</t>
  </si>
  <si>
    <t>S012; S034; S035</t>
  </si>
  <si>
    <t>Social media platform (ad delivery)</t>
  </si>
  <si>
    <t>Relevance/cost optimisation in ad delivery that encodes demographic skew</t>
  </si>
  <si>
    <t>Algorithmic delivery optimisation amplifies demographic skew, steering employment and housing opportunities away from some groups regardless of advertiser intent.</t>
  </si>
  <si>
    <t>Facebook users by race/gender (jobs &amp; housing ads)</t>
  </si>
  <si>
    <t>Real ad campaigns showing gender/racial delivery skew under neutral targeting</t>
  </si>
  <si>
    <t>Empirically demonstrated platform-side discrimination (status 3). Verified.</t>
  </si>
  <si>
    <t>EV-0039</t>
  </si>
  <si>
    <t>e2107346118 (Abstract)</t>
  </si>
  <si>
    <t>A meta-analysis of more than 200 studies (over 440 effect sizes) reports that choice-architecture interventions shift people's decisions across domains - evidence for the mechanism dark patterns exploit, though the average effect is contested after correcting for publication bias.</t>
  </si>
  <si>
    <t>S010; S015</t>
  </si>
  <si>
    <t>Choice-architecture design steers decisions, which is the lever deceptive 'dark pattern' interfaces use to influence choices.</t>
  </si>
  <si>
    <t>General decision-makers</t>
  </si>
  <si>
    <t>Cross-national meta-analysis (UK-applicable)</t>
  </si>
  <si>
    <t>k=447 effect sizes, n~2.1M; effect contested by Maier et al. (publication-bias reanalysis)</t>
  </si>
  <si>
    <t>Meta-analytic but CONTESTED evidence; covers nudging broadly, not only manipulative dark patterns (status 2, confidence low). PNAS Correction issued; Maier et al. 2022 found no effect after publication-bias adjustment. Verified.</t>
  </si>
  <si>
    <t>EV-0040</t>
  </si>
  <si>
    <t>SSRN WP 2412564</t>
  </si>
  <si>
    <t>Using Google Trends across 282 terms and 11 countries before and after the June 2013 surveillance revelations, searches for privacy-sensitive terms fell significantly - users avoided queries they feared could get them 'in trouble', a measurable chilling effect.</t>
  </si>
  <si>
    <t>S013; S028</t>
  </si>
  <si>
    <t>Awareness that searches are identifiable/monitored leads people to self-censor what they look up, modifying behaviour to avoid scrutiny.</t>
  </si>
  <si>
    <t>Internet search users (cross-national)</t>
  </si>
  <si>
    <t>Cross-national incl. comparable jurisdictions (UK-applicable)</t>
  </si>
  <si>
    <t>Google Trends panel; significant drop in privacy-sensitive searches after the Snowden shock</t>
  </si>
  <si>
    <t>Empirically informed quasi-experiment (status 2); widely-cited SSRN working paper (not peer-reviewed); capability mapped by analogy to persistent identification (cf. S013, S028). Verified.</t>
  </si>
  <si>
    <t>EV-0041</t>
  </si>
  <si>
    <t>pp.1036-1040 (Abstract)</t>
  </si>
  <si>
    <t>From 86,220 volunteers, a model using only Facebook Likes predicted Big Five personality more accurately (r=0.56) than judgments by the participants' friends and family (r=0.49), and better predicted life outcomes - so a platform can infer personality more precisely than a person's close others.</t>
  </si>
  <si>
    <t>Social media platform (Facebook Likes)</t>
  </si>
  <si>
    <t>Machine-learning inference of Big Five traits from Likes</t>
  </si>
  <si>
    <t>Automated profiling infers intimate personality traits more precisely than even close others, an epistemic asymmetry the person cannot see or control.</t>
  </si>
  <si>
    <t>Cambridge-based research (mechanism globally applicable)</t>
  </si>
  <si>
    <t>Model r=0.56 vs human r=0.49 across 86,220 volunteers</t>
  </si>
  <si>
    <t>Empirically demonstrated profiling accuracy (status 3); extends Kosinski (S006). Verified.</t>
  </si>
  <si>
    <t>EV-0042</t>
  </si>
  <si>
    <t>pp.1066-1091 (Abstract)</t>
  </si>
  <si>
    <t>In two experiments, participants targeted with political ads congruent with their algorithmically-profiled personality were more strongly persuaded than those shown personality-incongruent ads, demonstrating causal persuasion gains from personality microtargeting.</t>
  </si>
  <si>
    <t>Social media (text data + ad targeting)</t>
  </si>
  <si>
    <t>Personality profiling from text, then personality-congruent ad targeting</t>
  </si>
  <si>
    <t>Tailoring messages to inferred personality increases persuasive pull on decisions, exploiting psychological profiles the person did not disclose.</t>
  </si>
  <si>
    <t>Citizens / voters</t>
  </si>
  <si>
    <t>Europe (PMT also used in UK; UK-applicable)</t>
  </si>
  <si>
    <t>Two experiments showing higher persuasion from personality-congruent political ads</t>
  </si>
  <si>
    <t>Empirically demonstrated causal persuasion effect (status 3). Verified.</t>
  </si>
  <si>
    <t>EV-0043</t>
  </si>
  <si>
    <t>e2216261120 (Abstract)</t>
  </si>
  <si>
    <t>Across two large experiments (n=32,695), a microtargeting strategy produced a larger persuasive impact than alternative messaging only under highly favourable conditions; in another scenario its advantage was much more limited - the persuasive return is real but bounded.</t>
  </si>
  <si>
    <t>S007; S040; S144</t>
  </si>
  <si>
    <t>Microtargeting can increase persuasive impact on decisions, but the effect is conditional and often modest rather than uniformly powerful.</t>
  </si>
  <si>
    <t>Citizens / voters (issue advocacy)</t>
  </si>
  <si>
    <t>US study (author UK-affiliated; mechanism applicable)</t>
  </si>
  <si>
    <t>Two survey experiments; advantage observed mainly under favourable conditions</t>
  </si>
  <si>
    <t>Empirically demonstrated but BOUNDED effect (status 3, confidence moderate); included as a counterweight so microtargeting's power is not overstated. Verified.</t>
  </si>
  <si>
    <t>EV-0044</t>
  </si>
  <si>
    <t>pp.1-14</t>
  </si>
  <si>
    <t>Proposes a mechanism-based model in which a heightened sense of pervasive data collection raises people's expectation of negative consequences and lowers their intention to communicate freely; an accompanying survey (n=1202) found over half of users felt deterred from self-expression or information-seeking.</t>
  </si>
  <si>
    <t>S013; S028; S038</t>
  </si>
  <si>
    <t>Pervasive digital data collection (dataveillance)</t>
  </si>
  <si>
    <t>Automated, continuous, unspecific collection/retention/analysis of digital traces</t>
  </si>
  <si>
    <t>A sense of being under pervasive data collection leads people to self-censor what they say and seek, undermining autonomous behaviour.</t>
  </si>
  <si>
    <t>Internet users</t>
  </si>
  <si>
    <t>Switzerland/Europe model (UK-applicable)</t>
  </si>
  <si>
    <t>Representative survey (n=1202): &gt;50% report dataveillance-driven self-censorship</t>
  </si>
  <si>
    <t>Theoretical model with original survey support (status 2); review-level anchor for chilling effects; concerns commercial dataveillance. Verified.</t>
  </si>
  <si>
    <t>EV-0045</t>
  </si>
  <si>
    <t>pp.1-21</t>
  </si>
  <si>
    <t>A systematic map of algorithmic-ethics concerns argues that decisions increasingly delegated to opaque algorithms 'shape and manage' individuals and groups, with inscrutable evidence and limited accountability for those affected.</t>
  </si>
  <si>
    <t>S025; S033</t>
  </si>
  <si>
    <t>Opaque, delegated algorithmic decision-making that individuals cannot inspect or contest concentrates unaccountable power over them.</t>
  </si>
  <si>
    <t>Individuals subject to algorithmic decisions</t>
  </si>
  <si>
    <t>UK authors (OII); principle applicable in UK</t>
  </si>
  <si>
    <t>Systematic review/conceptual mapping (status 1); review anchor corroborating S025/S033. Verified.</t>
  </si>
  <si>
    <t>EV-0046</t>
  </si>
  <si>
    <t>p.1376 (Abstract)</t>
  </si>
  <si>
    <t>Analysing 15 months of mobile-phone location data for 1.5 million people, the study found human mobility traces are so unique that just four approximate spatio-temporal points identify 95% of individuals - so even 'anonymised' location data offers little anonymity.</t>
  </si>
  <si>
    <t>Mobile network (location traces)</t>
  </si>
  <si>
    <t>Spatio-temporal mobility traces (antenna-level) that uniquely fingerprint individuals</t>
  </si>
  <si>
    <t>Because sparse location points uniquely identify a person, supposedly anonymous mobility data can be re-linked to them, defeating informational anonymity.</t>
  </si>
  <si>
    <t>Mobile phone users</t>
  </si>
  <si>
    <t>Dataset from an undisclosed country (mechanism globally applicable)</t>
  </si>
  <si>
    <t>4 points identify 95% of 1.5M individuals; uniqueness decays ~1/10 power of resolution</t>
  </si>
  <si>
    <t>Empirically demonstrated re-identifiability of location data (status 3). Verified.</t>
  </si>
  <si>
    <t>EV-0047</t>
  </si>
  <si>
    <t>pp.536-539 (Abstract)</t>
  </si>
  <si>
    <t>Using three months of credit-card records for 1.1 million people, four spatio-temporal points reidentified 90% of individuals; knowing the price of a transaction raised re-identification risk by about 22% - showing transaction 'metadata' is far from anonymous.</t>
  </si>
  <si>
    <t>Payment/transaction records</t>
  </si>
  <si>
    <t>Spatio-temporal credit-card transaction points used to re-identify individuals</t>
  </si>
  <si>
    <t>Sparse transaction metadata uniquely identifies people, so de-identified financial records can be re-linked to them without their knowledge.</t>
  </si>
  <si>
    <t>Credit-card users</t>
  </si>
  <si>
    <t>Dataset from an OECD country (mechanism globally applicable)</t>
  </si>
  <si>
    <t>4 points reidentify 90% of 1.1M; price knowledge adds ~22% risk</t>
  </si>
  <si>
    <t>Empirically demonstrated metadata re-identifiability (status 3); a published Comment/Response exchange exists. Verified.</t>
  </si>
  <si>
    <t>EV-0048</t>
  </si>
  <si>
    <t>pp.305-318 (Abstract)</t>
  </si>
  <si>
    <t>A measurement methodology applied to real e-commerce sites found evidence of price steering (changing which products, and in what order, are shown) and price discrimination (charging different prices) based on users' cookies, accounts and prior behaviour.</t>
  </si>
  <si>
    <t>S012; S047; S100</t>
  </si>
  <si>
    <t>E-commerce websites</t>
  </si>
  <si>
    <t>Personalisation of prices/product ordering keyed to user profile and behaviour</t>
  </si>
  <si>
    <t>Profiling-driven pricing and steering give different users different prices and options, producing differential treatment in the marketplace.</t>
  </si>
  <si>
    <t>US-focused measurement (mechanism applicable to UK)</t>
  </si>
  <si>
    <t>Detected price steering/discrimination on multiple real e-commerce sites</t>
  </si>
  <si>
    <t>Empirically demonstrated price discrimination/steering (status 3). Verified.</t>
  </si>
  <si>
    <t>EV-0049</t>
  </si>
  <si>
    <t>pp.79-84 (Abstract)</t>
  </si>
  <si>
    <t>An early measurement study found signs of both price discrimination (different prices by customer) and search discrimination (steering toward pricier products), and identified the information vectors - such as cookies, location and browser - used to enable them.</t>
  </si>
  <si>
    <t>Differential pricing/steering keyed to cookies, location and browser signals</t>
  </si>
  <si>
    <t>Differential pricing and product steering by customer profile narrow some users' options and raise their costs relative to others.</t>
  </si>
  <si>
    <t>European authors; mechanism globally applicable (UK-applicable)</t>
  </si>
  <si>
    <t>Detected signs of price/search discrimination and the vectors enabling them</t>
  </si>
  <si>
    <t>Exploratory measurement evidence (status 2); corroborates the more rigorous Hannak et al. (S046). Verified.</t>
  </si>
  <si>
    <t>EV-0050</t>
  </si>
  <si>
    <t>FTC report (May 2014)</t>
  </si>
  <si>
    <t>An FTC study of nine data brokers found they hold billions of data elements on nearly every US consumer - one held 700 billion - collected largely without consumers' knowledge, traded among brokers, and used to infer sensitive categories, while consumers cannot see or control the data held about them.</t>
  </si>
  <si>
    <t>Aggregated commercial/offline/online sources</t>
  </si>
  <si>
    <t>Aggregation and resale of consumer data across many brokers, with inferred sensitive categories</t>
  </si>
  <si>
    <t>Other data brokers and broker clients</t>
  </si>
  <si>
    <t>Vast, invisible profiles that consumers cannot access or contest place them under the unaccountable power of an industry they may not know exists.</t>
  </si>
  <si>
    <t>Nearly all consumers</t>
  </si>
  <si>
    <t>US study (comparable issues and regulators in the UK)</t>
  </si>
  <si>
    <t>Nine brokers; one held 700bn data elements; 7 of 9 shared data with each other</t>
  </si>
  <si>
    <t>Regulatory investigation documenting data-broker opacity and aggregation (status 2). Verified.</t>
  </si>
  <si>
    <t>EV-0051</t>
  </si>
  <si>
    <t>pp.447-453 (Abstract)</t>
  </si>
  <si>
    <t>An audit of a widely-used commercial health-risk algorithm found it systematically under-identified Black patients for extra-care programmes: because it predicted health costs as a proxy for health needs, and less is spent on equally-sick Black patients, Black patients had to be sicker than White patients to receive the same score.</t>
  </si>
  <si>
    <t>S012; S027</t>
  </si>
  <si>
    <t>Healthcare prediction system</t>
  </si>
  <si>
    <t>Risk scoring using health-cost history as a proxy for health need</t>
  </si>
  <si>
    <t>A biased proxy in the scoring algorithm channels extra care away from Black patients at equal need, producing unequal access to a vital resource.</t>
  </si>
  <si>
    <t>Black patients</t>
  </si>
  <si>
    <t>US commercial algorithm (risk-stratification also used in UK/NHS)</t>
  </si>
  <si>
    <t>Correcting the bias would raise Black patients auto-enrolled from 17.7% to ~46.5%</t>
  </si>
  <si>
    <t>Empirically demonstrated algorithmic racial bias in a real, widely-used system (status 3). Verified.</t>
  </si>
  <si>
    <t>EV-0052</t>
  </si>
  <si>
    <t>pp.111-125 (Abstract)</t>
  </si>
  <si>
    <t>A statistical de-anonymization attack applied to Netflix's released dataset of 500,000 subscribers' movie ratings showed that an adversary knowing only a little about a person (e.g. a few ratings and rough dates) could pick out their supposedly anonymous record.</t>
  </si>
  <si>
    <t>S044; S045</t>
  </si>
  <si>
    <t>Released 'anonymised' dataset + auxiliary info</t>
  </si>
  <si>
    <t>Linking sparse high-dimensional records to auxiliary background knowledge</t>
  </si>
  <si>
    <t>Supposedly anonymous datasets can be re-linked to named individuals using outside information, so people lose control over what is known about them.</t>
  </si>
  <si>
    <t>Netflix subscribers (and users of similar datasets)</t>
  </si>
  <si>
    <t>US dataset (method globally applicable)</t>
  </si>
  <si>
    <t>Re-identified records in the Netflix Prize dataset from minimal auxiliary knowledge</t>
  </si>
  <si>
    <t>Foundational, empirically demonstrated de-anonymisation (status 3); corroborates de Montjoye (S044/S045). Verified.</t>
  </si>
  <si>
    <t>EV-0053</t>
  </si>
  <si>
    <t>pp.2966-2981 (Abstract)</t>
  </si>
  <si>
    <t>A field experiment ran a deliberately gender-neutral STEM career ad across 190 countries; fewer women saw it - not because they were less interested (they clicked more when they did see it), but because cost-minimising ad delivery shows ads less often to a prized, more-expensive female demographic.</t>
  </si>
  <si>
    <t>S034; S035; S036</t>
  </si>
  <si>
    <t>Social media ad platform</t>
  </si>
  <si>
    <t>Cost-optimised ad delivery that crowds out an expensive demographic</t>
  </si>
  <si>
    <t>Cost-optimising delivery shows career-opportunity ads to fewer women, narrowing the opportunities visible to them without any discriminatory intent.</t>
  </si>
  <si>
    <t>Women (especially younger women)</t>
  </si>
  <si>
    <t>Ran in 190 countries incl. UK (UK-relevant)</t>
  </si>
  <si>
    <t>Gender-neutral STEM ad reached fewer women; effect replicated on other platforms</t>
  </si>
  <si>
    <t>Empirically demonstrated delivery-side gender skew (status 3). Verified.</t>
  </si>
  <si>
    <t>EV-0054</t>
  </si>
  <si>
    <t>pp.93-128</t>
  </si>
  <si>
    <t>Argues that big-data predictive analytics build consequential individual profiles while evading existing privacy law and offering no procedural due process - no right to see, contest, or appeal the predictions that affect one's life and livelihood.</t>
  </si>
  <si>
    <t>S025; S043</t>
  </si>
  <si>
    <t>Predictive decisions reached without any means to review or contest them place individuals under unaccountable power, the core of a domination harm.</t>
  </si>
  <si>
    <t>Individuals subject to predictive analytics</t>
  </si>
  <si>
    <t>US/Anglo-American due-process framing (UK-applicable)</t>
  </si>
  <si>
    <t>Conceptual/legal mapping (status 1); names 'predictive privacy harm' and the due-process deficit. Verified.</t>
  </si>
  <si>
    <t>EV-0055</t>
  </si>
  <si>
    <t>pp.1130-1132 (Abstract)</t>
  </si>
  <si>
    <t>Studying 10.1 million users, algorithmic News Feed ranking reduced the cross-cutting (opposing-ideology) content people encountered by about 15%, and they clicked through to much less of it - a measurable filtering effect, though the authors argue users' own choices filter more.</t>
  </si>
  <si>
    <t>Social media feed (News Feed)</t>
  </si>
  <si>
    <t>Algorithmic ranking that demotes cross-cutting content in the feed</t>
  </si>
  <si>
    <t>Algorithmic ranking narrows the diversity of information people see, modestly shaping their information environment without their awareness.</t>
  </si>
  <si>
    <t>~15% less cross-cutting content from ranking; individual selection had a larger effect</t>
  </si>
  <si>
    <t>Empirically demonstrated but MODEST algorithmic filtering (status 3, confidence moderate). NOTE: Facebook-authored; methodologically contested (sample limited to users who self-report ideology). Included as a nuancing data point. Verified.</t>
  </si>
  <si>
    <t>EV-0056</t>
  </si>
  <si>
    <t>pp.76-99</t>
  </si>
  <si>
    <t>The authors argue that, contrary to widespread claims, the GDPR does not establish a binding 'right to explanation' of specific automated decisions - only a more limited 'right to be informed' about the logic and consequences - leaving individuals with weak safeguards against opaque automated decision-making.</t>
  </si>
  <si>
    <t>S025; S052</t>
  </si>
  <si>
    <t>Where consequential decisions are automated and individuals have no enforceable right to a meaningful explanation, the decision-maker's power over them is largely unaccountable.</t>
  </si>
  <si>
    <t>People subject to automated decisions</t>
  </si>
  <si>
    <t>Analyses EU/UK GDPR (directly UK-relevant)</t>
  </si>
  <si>
    <t>Legal analysis (status 1); a scholarly debate exists on whether a GDPR right to explanation can be construed (Selbst &amp; Powles). Verified.</t>
  </si>
  <si>
    <t>EV-0057</t>
  </si>
  <si>
    <t>pp.267-279 (Abstract)</t>
  </si>
  <si>
    <t>A network-informed measurement of 81 consumer IoT devices in US and UK labs found they routinely send information about their users to first and third parties - including, in some cases, unexpected or unencrypted exposures of sensitive information - largely invisibly to the user.</t>
  </si>
  <si>
    <t>S016; S009</t>
  </si>
  <si>
    <t>Smart-home IoT devices</t>
  </si>
  <si>
    <t>Background network telemetry from IoT devices to first/third parties</t>
  </si>
  <si>
    <t>Device makers, platforms and third parties</t>
  </si>
  <si>
    <t>Smart-home devices continuously transmit data about the household to parties the user cannot see, eroding informational control over the home.</t>
  </si>
  <si>
    <t>Smart-home users</t>
  </si>
  <si>
    <t>Devices tested in US and UK labs (UK-relevant)</t>
  </si>
  <si>
    <t>81 devices measured; many contacted third parties, some exposures unencrypted</t>
  </si>
  <si>
    <t>Empirically demonstrated IoT information exposure (status 3). Verified.</t>
  </si>
  <si>
    <t>EV-0058</t>
  </si>
  <si>
    <t>E04 INCREASES_ACCESS</t>
  </si>
  <si>
    <t>pp.109-126 (Abstract)</t>
  </si>
  <si>
    <t>A measurement of commercial mailing-list emails found that 85% embed third-party content and about 29% leak the recipient's email address to one or more third parties simply on opening - letting trackers tie a person's browsing to a durable email identifier rather than a resettable cookie.</t>
  </si>
  <si>
    <t>Email (embedded tracking pixels)</t>
  </si>
  <si>
    <t>Tracking pixels/embedded resources that leak the email address to third parties</t>
  </si>
  <si>
    <t>Third-party email/web trackers</t>
  </si>
  <si>
    <t>Opening an email silently hands trackers a persistent identifier and reading behaviour, expanding what they know about the person without consent.</t>
  </si>
  <si>
    <t>Email recipients</t>
  </si>
  <si>
    <t>US corpus (EU/UK email-marketing law noted; UK-applicable)</t>
  </si>
  <si>
    <t>85% of emails embed third-party content; ~29% leak the recipient's address</t>
  </si>
  <si>
    <t>Empirically demonstrated email tracking and identifier leakage (status 3). Verified.</t>
  </si>
  <si>
    <t>EV-0059</t>
  </si>
  <si>
    <t>Ch.4 'Targets or Waste'</t>
  </si>
  <si>
    <t>Drawing on interviews with advertising-industry insiders, the book describes how firms profile consumers from data they do not know is being collected and sort them into 'targets' (worth pursuing) or 'waste' (ignored or steered to lesser products), shaping the offers, prices, news and entertainment each person sees.</t>
  </si>
  <si>
    <t>S017; S018</t>
  </si>
  <si>
    <t>Cross-site behavioural data</t>
  </si>
  <si>
    <t>Profiling consumers into target/waste valuations that drive differential treatment</t>
  </si>
  <si>
    <t>Sorting people into 'target' or 'waste' channels different opportunities, offers and content to them based on their assigned commercial worth.</t>
  </si>
  <si>
    <t>US-focused (advertising industry is global; UK-applicable)</t>
  </si>
  <si>
    <t>Industry practice of target/waste classification documented via insider interviews</t>
  </si>
  <si>
    <t>Conceptual analysis grounded in industry interviews (status 1); some reviewers find the self-worth effects under-evidenced. Verified.</t>
  </si>
  <si>
    <t>EV-0060</t>
  </si>
  <si>
    <t>pp.1934-1965 (Parts II-III)</t>
  </si>
  <si>
    <t>The article argues surveillance is harmful in two ways: it menaces 'intellectual privacy' by chilling free thought and reading, and it distorts the power relationship between watcher and watched - giving the watcher leverage to blackmail, coerce, persuade or discriminate.</t>
  </si>
  <si>
    <t>S004; S013</t>
  </si>
  <si>
    <t>Being persistently watched hands the watcher a power advantage that can be used to coerce, persuade or discriminate, subordinating the watched to an unaccountable observer.</t>
  </si>
  <si>
    <t>People under surveillance</t>
  </si>
  <si>
    <t>US First Amendment framing; concepts apply in UK (author also LSE Law)</t>
  </si>
  <si>
    <t>Conceptual/legal articulation of surveillance harm (status 1); focuses on state surveillance but extends to commercial; a published reply exists (Citron &amp; Gray). Verified.</t>
  </si>
  <si>
    <t>EV-0061</t>
  </si>
  <si>
    <t>pp.494-620</t>
  </si>
  <si>
    <t>The authors argue that big-data and AI systems draw non-intuitive, unverifiable inferences about people's behaviour, preferences and private lives - used in decisions about hiring, loans, insurance and admissions - which individuals can neither predict, understand nor refute, and over which data-protection law gives them little control.</t>
  </si>
  <si>
    <t>S005; S025</t>
  </si>
  <si>
    <t>When powerful actors infer sensitive conclusions about a person that the person cannot see, verify or contest, the resulting knowledge asymmetry undermines their informational self-determination.</t>
  </si>
  <si>
    <t>Data subjects / consumers</t>
  </si>
  <si>
    <t>Analyses EU/UK data-protection law (UK-relevant)</t>
  </si>
  <si>
    <t>Legal-conceptual analysis of inferential analytics (status 1); proposes a 'right to reasonable inferences'. Verified.</t>
  </si>
  <si>
    <t>EV-0062</t>
  </si>
  <si>
    <t>First Monday 19(7)</t>
  </si>
  <si>
    <t>The article argues that combining big data with computational modelling and behavioural science lets well-resourced actors run highly effective, opaque and unaccountable campaigns of individualised persuasion - 'computational politics' - shifting power to those who own the data and platforms.</t>
  </si>
  <si>
    <t>S007; S014</t>
  </si>
  <si>
    <t>Targeted persuasion built on data and behavioural science, opaque to its targets, lets campaigners shape political choices from a position of hidden informational advantage.</t>
  </si>
  <si>
    <t>Citizens / the public</t>
  </si>
  <si>
    <t>US-focused but general (UK-applicable)</t>
  </si>
  <si>
    <t>Conceptual analysis of computational politics (status 1). Verified.</t>
  </si>
  <si>
    <t>EV-0063</t>
  </si>
  <si>
    <t>pp.82-96</t>
  </si>
  <si>
    <t>The paper maps online political microtargeting - monitoring online behaviour to show individually tailored political ads - and its threats to democracy, including matching messages to voters' specific interests and vulnerabilities and presenting a party misleadingly to different people.</t>
  </si>
  <si>
    <t>S007; S060</t>
  </si>
  <si>
    <t>Precisely tailoring political messages to each voter's profile and vulnerabilities can steer their decisions in ways they cannot compare against what others are told.</t>
  </si>
  <si>
    <t>Voters</t>
  </si>
  <si>
    <t>Discusses UK and other European rules (UK-relevant)</t>
  </si>
  <si>
    <t>Legal-conceptual mapping of political microtargeting (status 1). Verified.</t>
  </si>
  <si>
    <t>EV-0064</t>
  </si>
  <si>
    <t>pp.131-147 (Abstract)</t>
  </si>
  <si>
    <t>The first large measurement of tracking on OTT streaming platforms found tracking is pervasive on Roku and Amazon Fire TV - with major trackers such as Google and Facebook prominent, and most top channels contacting a tracker even when the user turns on the platform's privacy option.</t>
  </si>
  <si>
    <t>S055; S016</t>
  </si>
  <si>
    <t>OTT / smart-TV streaming devices</t>
  </si>
  <si>
    <t>Background tracking of viewing activity from streaming channels to trackers</t>
  </si>
  <si>
    <t>Advertising and analytics trackers (e.g. Google, Facebook)</t>
  </si>
  <si>
    <t>Smart-TV platforms covertly track what people watch and send it to advertisers, even when users opt into privacy features, beyond their awareness or control.</t>
  </si>
  <si>
    <t>Smart-TV / streaming users</t>
  </si>
  <si>
    <t>US-tested platforms also sold in UK (UK-applicable)</t>
  </si>
  <si>
    <t>89% (Roku) and 69% (Fire TV) of top-1000 channels contacted a tracker despite privacy setting</t>
  </si>
  <si>
    <t>Empirically demonstrated covert smart-TV tracking (status 3). Verified.</t>
  </si>
  <si>
    <t>EV-0065</t>
  </si>
  <si>
    <t>pp.1904-1933</t>
  </si>
  <si>
    <t>Cohen argues that privacy is constitutive of 'dynamic, emergent subjectivity' - the ongoing, autonomous formation of the self - and that pervasive predictive personalisation ('modulation') renders people fixed, transparent and predictable, foreclosing the breathing room they need to develop their own values and identity.</t>
  </si>
  <si>
    <t>S003; S015</t>
  </si>
  <si>
    <t>Personalised information environment</t>
  </si>
  <si>
    <t>Predictive personalisation ('modulation') of the informational environment around a person</t>
  </si>
  <si>
    <t>By continuously reflecting back a predicted version of a person, modulation channels who they become and narrows the space for forming their own values and will.</t>
  </si>
  <si>
    <t>Individuals in networked environments</t>
  </si>
  <si>
    <t>US legal theory; argument is general (UK-applicable)</t>
  </si>
  <si>
    <t>Conceptual/normative anchor tying modulation to autonomous self-formation (status 1). Verified.</t>
  </si>
  <si>
    <t>EV-0066</t>
  </si>
  <si>
    <t>ICO report (Nov 2018)</t>
  </si>
  <si>
    <t>The UK regulator's investigation into the Cambridge Analytica affair found that personal data - including data harvested via Facebook - was used to build profiles and micro-target voters with political messages, with the 'invisible, behind-the-scenes' targeting amounting to serious data-protection failures.</t>
  </si>
  <si>
    <t>S007; S061</t>
  </si>
  <si>
    <t>Social media + harvested personal data</t>
  </si>
  <si>
    <t>Profiling and micro-targeting of voters using harvested and brokered personal data</t>
  </si>
  <si>
    <t>Political campaigns and analytics firms</t>
  </si>
  <si>
    <t>Voters were targeted with tailored political messages built on data they did not knowingly provide, shaping their choices from a hidden informational advantage.</t>
  </si>
  <si>
    <t>Voters / electorate</t>
  </si>
  <si>
    <t>UK investigation (UK EU referendum and political parties)</t>
  </si>
  <si>
    <t>Facebook fined GBP 500,000; SCL/CA found in serious breach; UK-specific findings</t>
  </si>
  <si>
    <t>UK regulatory investigation of the Cambridge Analytica case (status 2). Verified.</t>
  </si>
  <si>
    <t>EV-0067</t>
  </si>
  <si>
    <t>pp.3758-3784</t>
  </si>
  <si>
    <t>A nine-month study of Uber drivers found that the information and power asymmetries built into the app - surge-pricing maps, opaque ratings, algorithmically timed messages and performance reports - let the platform exert significant indirect control over workers it casts as independent entrepreneurs.</t>
  </si>
  <si>
    <t>Ride-hail platform app</t>
  </si>
  <si>
    <t>Algorithmic management: ratings, surge maps, behavioural nudges and performance scoring of drivers</t>
  </si>
  <si>
    <t>Pervasive, opaque algorithmic management lets the platform direct and discipline drivers from a position of informational power they cannot match or contest.</t>
  </si>
  <si>
    <t>Gig / platform workers (Uber drivers)</t>
  </si>
  <si>
    <t>US study; Uber operates in the UK (UK-applicable)</t>
  </si>
  <si>
    <t>Nine-month qualitative study (driver interviews and forum posts)</t>
  </si>
  <si>
    <t>Empirical case study of algorithmic labour control (status 2). Verified.</t>
  </si>
  <si>
    <t>EV-0068</t>
  </si>
  <si>
    <t>pp.63-83 (Abstract)</t>
  </si>
  <si>
    <t>An automated analysis of 5,855 popular children's apps found that most potentially violate the US children's privacy law, largely through third-party SDKs, and that many transmit persistent identifiers which defeat the privacy purpose of Google's resettable advertising ID.</t>
  </si>
  <si>
    <t>Children's mobile apps</t>
  </si>
  <si>
    <t>Third-party SDKs collecting identifiers/PII from children's apps</t>
  </si>
  <si>
    <t>Third-party advertisers and analytics SDKs</t>
  </si>
  <si>
    <t>Apps aimed at children covertly collect and share persistent identifiers and personal data, exposing a population that cannot meaningfully understand or consent to it.</t>
  </si>
  <si>
    <t>Children</t>
  </si>
  <si>
    <t>US COPPA focus; same apps used by UK children (UK Children's Code) - UK-applicable</t>
  </si>
  <si>
    <t>Majority of 5,855 children's apps potentially non-compliant; persistent IDs defeat the resettable ad-ID</t>
  </si>
  <si>
    <t>Empirically demonstrated covert data collection from children at scale (status 3). Verified.</t>
  </si>
  <si>
    <t>EV-0069</t>
  </si>
  <si>
    <t>pp.77-91 (Abstract)</t>
  </si>
  <si>
    <t>An audit of three commercial facial gender-classification systems found large demographic accuracy gaps: darker-skinned women were misclassified at rates up to 34.7%, while lighter-skinned men were misclassified as little as 0.8% of the time.</t>
  </si>
  <si>
    <t>S049; S034</t>
  </si>
  <si>
    <t>Commercial facial-analysis systems</t>
  </si>
  <si>
    <t>Automated facial gender classification with skin-type/gender-skewed error rates</t>
  </si>
  <si>
    <t>When biased facial-analysis systems are deployed for consequential decisions, their far higher error rates for darker-skinned women translate into unequal treatment and misidentification.</t>
  </si>
  <si>
    <t>Darker-skinned women (intersection of race and gender)</t>
  </si>
  <si>
    <t>Commercial systems used globally, incl. UK policing (UK-applicable)</t>
  </si>
  <si>
    <t>Up to 34.7% error for darker-skinned women vs 0.8% for lighter-skinned men across 3 systems</t>
  </si>
  <si>
    <t>Empirically demonstrated facial-analysis accuracy disparity (status 3); autonomy harm arises in deployment. Verified.</t>
  </si>
  <si>
    <t>EV-0070</t>
  </si>
  <si>
    <t>pp.735-776</t>
  </si>
  <si>
    <t>The article argues that data analytics, communications capture, mobile devices, DNA testing and biometrics now enable near-limitless, low-cost employer monitoring on and off the job - through productivity apps and wellness programmes - with existing legal constraints too weak to check effectively 24/7 surveillance.</t>
  </si>
  <si>
    <t>S065; S003</t>
  </si>
  <si>
    <t>Workplace monitoring systems</t>
  </si>
  <si>
    <t>Pervasive employer monitoring via productivity apps, wellness programmes and biometrics</t>
  </si>
  <si>
    <t>Pervasive, hard-to-refuse monitoring on and off the job subordinates workers to continuous employer oversight they cannot meaningfully limit.</t>
  </si>
  <si>
    <t>US legal analysis; worker surveillance also widespread in the UK (UK-applicable)</t>
  </si>
  <si>
    <t>Legal-conceptual analysis of worker surveillance (status 1). Verified.</t>
  </si>
  <si>
    <t>EV-0071</t>
  </si>
  <si>
    <t>pp.56-59</t>
  </si>
  <si>
    <t>This peer-reviewed review of the Cambridge Analytica affair describes how a single personality-quiz app obtained the personal data of more than 87 million Facebook users - mostly friends of the people who installed it - through the platform's social-graph permissions, without those friends' knowledge or consent.</t>
  </si>
  <si>
    <t>S064; S007</t>
  </si>
  <si>
    <t>Facebook social graph (friends' data via app permissions)</t>
  </si>
  <si>
    <t>Quiz app harvested installers' and their friends' data via the Facebook Graph API</t>
  </si>
  <si>
    <t>Cambridge Analytica / SCL (political analytics)</t>
  </si>
  <si>
    <t>Data about tens of millions of people who never used the app was collected through their friends' actions, handing a political-influence firm intimate profiles built without their knowledge or consent.</t>
  </si>
  <si>
    <t>General Facebook users (friends of quiz-takers)</t>
  </si>
  <si>
    <t>US/UK (CA/SCL UK-based; 87M+ users incl. US)</t>
  </si>
  <si>
    <t>Facebook-Cambridge Analytica; 87M+ users affected</t>
  </si>
  <si>
    <t>Peer-reviewed analysis of the Cambridge Analytica case (status 2). Verified.</t>
  </si>
  <si>
    <t>EV-0072</t>
  </si>
  <si>
    <t>18 Yale J.L. &amp; Tech. 148 (pp.148-216)</t>
  </si>
  <si>
    <t>The article examines big-data credit scoring, in which thousands of non-traditional data points feed opaque models, and argues that consumers have little control over how they are scored and even less ability to contest inaccurate, biased or unfair assessments that gate access to housing, employment, insurance and credit.</t>
  </si>
  <si>
    <t>S025; S012</t>
  </si>
  <si>
    <t>Consumer offline and online activity (non-traditional data)</t>
  </si>
  <si>
    <t>Machine-learning credit models using thousands of behavioural/non-traditional variables</t>
  </si>
  <si>
    <t>Lenders / credit scorers</t>
  </si>
  <si>
    <t>Opaque, hard-to-contest scores derived from vast behavioural data determine access to credit, housing and employment, narrowing life opportunities on grounds the person cannot see or challenge.</t>
  </si>
  <si>
    <t>Consumers / credit applicants</t>
  </si>
  <si>
    <t>US (FCRA/ECOA); big-data scoring also used in UK</t>
  </si>
  <si>
    <t>Legal analysis of big-data credit scoring (status 2). Verified.</t>
  </si>
  <si>
    <t>EV-0073</t>
  </si>
  <si>
    <t>Essex HRBDT report (2019)</t>
  </si>
  <si>
    <t>The first independent academic study of a UK police force's live facial recognition observed six Metropolitan Police deployments and concluded it was 'highly possible' the use would be held unlawful, documenting a weak legal basis, operational shortcomings and interference with the privacy of everyone passing the cameras.</t>
  </si>
  <si>
    <t>S067; S058</t>
  </si>
  <si>
    <t>Public space (live CCTV with facial recognition)</t>
  </si>
  <si>
    <t>Live facial-recognition matching of passers-by against watchlists in public space</t>
  </si>
  <si>
    <t>Police / law enforcement</t>
  </si>
  <si>
    <t>Indiscriminate biometric identification of everyone in view, without clear legal authority, places the public under mass surveillance and the asymmetric power it confers, with a documented chilling potential.</t>
  </si>
  <si>
    <t>General public in public space</t>
  </si>
  <si>
    <t>UK (Metropolitan Police, London)</t>
  </si>
  <si>
    <t>MPS LFR trials, June 2018-Feb 2019; informed Bridges v South Wales Police</t>
  </si>
  <si>
    <t>UK-specific observational study of live facial recognition (status 2). Verified.</t>
  </si>
  <si>
    <t>EV-0074</t>
  </si>
  <si>
    <t>pp.491-510 (Abstract)</t>
  </si>
  <si>
    <t>A systematic analysis of 30 menstruation-tracking apps, accounting for nearly 200 million downloads, found that highly sensitive reproductive and sexual-health data is largely not covered by the apps' privacy policies and is often disregarded, while third parties are involved in the data flows.</t>
  </si>
  <si>
    <t>S066; S076</t>
  </si>
  <si>
    <t>Menstruation / fertility tracking apps</t>
  </si>
  <si>
    <t>Self-logged reproductive/health data collected and shared, with third-party involvement</t>
  </si>
  <si>
    <t>Third-party advertisers / analytics</t>
  </si>
  <si>
    <t>Intimate reproductive data is gathered and passed to third parties under policies that do not even acknowledge it, so users cannot know or govern how their most sensitive information is used.</t>
  </si>
  <si>
    <t>Menstruation-app users (reproductive-health data)</t>
  </si>
  <si>
    <t>Global apps; UK users under UK GDPR (UK-applicable)</t>
  </si>
  <si>
    <t>30 apps, ~200M downloads</t>
  </si>
  <si>
    <t>Systematic analysis of menstrual-app privacy practices (status 2). Verified.</t>
  </si>
  <si>
    <t>EV-0075</t>
  </si>
  <si>
    <t>Ch.2, pp.44-75</t>
  </si>
  <si>
    <t>The chapter argues that the two standard privacy safeguards fail against big data: anonymisation is defeated by re-identification, and consent cannot cover the sensitive inferences later drawn about a person - or about other people who never consented - once data is aggregated and mined.</t>
  </si>
  <si>
    <t>S044; S050</t>
  </si>
  <si>
    <t>Aggregated datasets / big-data analytics</t>
  </si>
  <si>
    <t>Aggregation and inference defeating anonymisation and outrunning consent</t>
  </si>
  <si>
    <t>Data aggregators / analysts</t>
  </si>
  <si>
    <t>Because aggregated data yields inferences no one consented to and anonymity can be reversed, individuals lose the ability to control what is known and predicted about them.</t>
  </si>
  <si>
    <t>General public</t>
  </si>
  <si>
    <t>General principle (applies under UK GDPR)</t>
  </si>
  <si>
    <t>Foundational argument on the failure of anonymity and consent (status 1). Verified.</t>
  </si>
  <si>
    <t>EV-0076</t>
  </si>
  <si>
    <t>(1993 ed.)</t>
  </si>
  <si>
    <t>Gandy's foundational account describes the 'panoptic sort' - a high-tech triage in which commercial and state bureaucracies classify and sort individuals by their presumed economic value - and argues that this discriminatory sorting reaches into every part of life and is a direct threat to individual autonomy and agency.</t>
  </si>
  <si>
    <t>S017; S033</t>
  </si>
  <si>
    <t>Transaction-generated and personal information</t>
  </si>
  <si>
    <t>Classification and sorting of individuals by estimated economic/political value</t>
  </si>
  <si>
    <t>Commercial and government bureaucracies</t>
  </si>
  <si>
    <t>Sorting people by presumed value channels different opportunities, offers and treatment to different groups, constraining the options available to those the system rates as less valuable.</t>
  </si>
  <si>
    <t>General public (esp. lower-valued groups)</t>
  </si>
  <si>
    <t>General (US-origin theory, applies in UK)</t>
  </si>
  <si>
    <t>Foundational surveillance-studies theory of value-based sorting (status 1). Verified.</t>
  </si>
  <si>
    <t>EV-0077</t>
  </si>
  <si>
    <t>11 Nw. J. Tech. &amp; Intell. Prop. 239 (pp.239-273)</t>
  </si>
  <si>
    <t>This widely cited treatment of big-data analytics notes that data is increasingly repurposed for unanticipated secondary uses under decisional criteria that are not transparent to the people concerned, and argues for giving individuals practical access to, and explanation of, how their data is used.</t>
  </si>
  <si>
    <t>S008; S059</t>
  </si>
  <si>
    <t>Aggregated personal data / analytics</t>
  </si>
  <si>
    <t>Analytics deriving unanticipated secondary uses from existing data</t>
  </si>
  <si>
    <t>Businesses and governments</t>
  </si>
  <si>
    <t>When data is reused for purposes never disclosed and scored by criteria users cannot see, people lose insight into and control over what is known and decided about them.</t>
  </si>
  <si>
    <t>General (US/EU framing; applies in UK)</t>
  </si>
  <si>
    <t>Balanced, solution-oriented analysis; coded confidence M as it proposes remedies rather than demonstrating harm (status 1). Verified.</t>
  </si>
  <si>
    <t>EV-0078</t>
  </si>
  <si>
    <t>Out of Control report + technical report (2020)</t>
  </si>
  <si>
    <t>Technical testing for the Norwegian Consumer Council documented how popular dating apps - including Grindr, Tinder and OkCupid - transmitted users' location, age, gender and even sexual-orientation- and HIV-status-implicating data to large numbers of adtech third parties, who could pass it on further, with no meaningful consumer control.</t>
  </si>
  <si>
    <t>S032; S018</t>
  </si>
  <si>
    <t>Dating / social apps (Android)</t>
  </si>
  <si>
    <t>Adtech SDKs in dating apps broadcasting sensitive data to third parties</t>
  </si>
  <si>
    <t>Adtech firms / ad exchanges / data brokers</t>
  </si>
  <si>
    <t>Apps used by LGBTQ people leaked data that can reveal sexual orientation and health status to unknown third parties, exposing a vulnerable group's most sensitive attributes beyond any possibility of consent or control.</t>
  </si>
  <si>
    <t>Dating-app users incl. LGBTQ people (sensitive exposure)</t>
  </si>
  <si>
    <t>EU/Norway enforcement; global apps incl. UK (UK-applicable)</t>
  </si>
  <si>
    <t>Grindr fined ~EUR 6.5M (GDPR); 2018 HIV-status sharing</t>
  </si>
  <si>
    <t>Empirically demonstrated dating-app data-sharing (technical testing); led to GDPR enforcement (status 3). Verified.</t>
  </si>
  <si>
    <t>EV-0079</t>
  </si>
  <si>
    <t>SOUPS 2021, pp.653-674</t>
  </si>
  <si>
    <t>Studying the pandemic shift to remote learning, the authors surveyed instructors and administrators and analysed 23 popular platforms, finding security and privacy risks and, through a contextual-integrity lens, disruptions to the information-flow norms students and staff expect.</t>
  </si>
  <si>
    <t>S066; S005</t>
  </si>
  <si>
    <t>Remote-learning / videoconferencing platforms</t>
  </si>
  <si>
    <t>Remote-learning platforms collecting student/instructor data; 23 platforms analysed</t>
  </si>
  <si>
    <t>Edtech vendors / third parties</t>
  </si>
  <si>
    <t>Hastily adopted learning platforms collect data and route it in ways that breach the norms of the classroom, leaving students and staff unable to see or govern how their information is handled.</t>
  </si>
  <si>
    <t>University students and instructors</t>
  </si>
  <si>
    <t>US universities/state laws; same platforms used in UK (UK-applicable)</t>
  </si>
  <si>
    <t>Survey of 49 instructors + 14 admins; 23 platforms analysed</t>
  </si>
  <si>
    <t>Mixed empirical study of remote-learning privacy; coded confidence M (status 2). Verified.</t>
  </si>
  <si>
    <t>EV-0080</t>
  </si>
  <si>
    <t>126 Harv. L. Rev. 1880 (pp.1880-1903)</t>
  </si>
  <si>
    <t>Solove argues that 'privacy self-management' - the notice-and-consent model - asks more of individuals than they can deliver: empirical research shows people cannot meaningfully assess or control the downstream collection, use and disclosure of their data, so consent provides only the illusion of decisional control.</t>
  </si>
  <si>
    <t>S073; S031</t>
  </si>
  <si>
    <t>Personal data across services</t>
  </si>
  <si>
    <t>Notice-and-consent regime governing aggregation and downstream use</t>
  </si>
  <si>
    <t>Data collectors / aggregators</t>
  </si>
  <si>
    <t>Because people cannot realistically read, understand or police endless consent terms or downstream data uses, the decisions they nominally make about their data are not genuine exercises of autonomy.</t>
  </si>
  <si>
    <t>US framing; central to UK/EU consent debates (UK-applicable)</t>
  </si>
  <si>
    <t>Foundational critique of notice-and-consent (status 1). Verified.</t>
  </si>
  <si>
    <t>EV-0081</t>
  </si>
  <si>
    <t>ICO penalty notice (May 2022)</t>
  </si>
  <si>
    <t>The UK regulator found that Clearview AI had scraped more than 20 billion facial images from the web and social media into a searchable database that lets customers identify and monitor people, with the ICO concluding that individuals neither expected nor were aware their images would be used this way.</t>
  </si>
  <si>
    <t>S071; S067</t>
  </si>
  <si>
    <t>Web and social media (scraped images)</t>
  </si>
  <si>
    <t>Mass scraping of facial images to build a searchable facial-recognition database</t>
  </si>
  <si>
    <t>Clearview customers (incl. law enforcement)</t>
  </si>
  <si>
    <t>By turning everyone's online photos into a tool that any client can use to identify and trace a stranger, the system strips people of practical anonymity and subjects them to identification they cannot see or refuse.</t>
  </si>
  <si>
    <t>General public with images online</t>
  </si>
  <si>
    <t>UK (ICO action re UK residents)</t>
  </si>
  <si>
    <t>ICO fined Clearview GBP 7.55m; deletion order; 20bn+ images</t>
  </si>
  <si>
    <t>UK regulatory action on facial-recognition scraping (status 2). Appeal contested jurisdiction, not the scraping facts. Verified.</t>
  </si>
  <si>
    <t>EV-0082</t>
  </si>
  <si>
    <t>FTC complaint (Aug 2022)</t>
  </si>
  <si>
    <t>The FTC alleged that the data broker Kochava sold precise, timestamped geolocation feeds - linked to mobile advertising IDs and thus to identities - that could trace people to reproductive-health clinics, shelters, addiction-recovery centres and places of worship, with consumers unaware and unable to avoid it.</t>
  </si>
  <si>
    <t>S048; S044</t>
  </si>
  <si>
    <t>Mobile devices (location data bought from other brokers)</t>
  </si>
  <si>
    <t>Aggregation and sale of precise device-level location feeds linkable to identity</t>
  </si>
  <si>
    <t>Data broker (Kochava) and its customers</t>
  </si>
  <si>
    <t>Selling precise movement histories linkable to a person exposes their visits to sensitive places to anyone who buys the feed, with no knowledge or control on the person's part.</t>
  </si>
  <si>
    <t>People at sensitive locations (e.g. clinics, shelters)</t>
  </si>
  <si>
    <t>US FTC action; location-broker practices also affect UK (UK-applicable)</t>
  </si>
  <si>
    <t>Sample feeds covering 61m+ devices; settled 2026 with ban on sensitive-location sales</t>
  </si>
  <si>
    <t>Location-broker enforcement (status 2). An Idaho court dismissed the first complaint in 2023 for insufficient harm; the amended complaint survived. Verified.</t>
  </si>
  <si>
    <t>EV-0083</t>
  </si>
  <si>
    <t>ICO enforcement notice + report (Oct 2020)</t>
  </si>
  <si>
    <t>After a two-year investigation, the ICO found that the UK's three big credit reference agencies were trading, profiling and enriching people's personal data for direct marketing without their knowledge - 'invisible processing' likely affecting millions of UK adults - with Experian holding profiles on around 50 million UK citizens.</t>
  </si>
  <si>
    <t>S048; S088</t>
  </si>
  <si>
    <t>Third-party suppliers / credit-reference data</t>
  </si>
  <si>
    <t>Aggregation, enrichment and profiling of personal data for direct-marketing products</t>
  </si>
  <si>
    <t>Commercial firms, political parties and charities</t>
  </si>
  <si>
    <t>People's data is profiled and sold for marketing without their awareness, so they cannot know who holds information about them, how it was enriched, or who it was sold to.</t>
  </si>
  <si>
    <t>UK adults (data subjects of CRAs)</t>
  </si>
  <si>
    <t>UK (ICO action; ~50m UK citizens)</t>
  </si>
  <si>
    <t>Enforcement notice to Experian; sector report; ~50m UK profiles</t>
  </si>
  <si>
    <t>UK data-broker enforcement (status 2). Experian's appeal overturned most remedies in 2023, but the invisible-processing findings stand. Verified.</t>
  </si>
  <si>
    <t>EV-0084</t>
  </si>
  <si>
    <t>Big Data &amp; Society 7(2)</t>
  </si>
  <si>
    <t>The article argues that behaviour-based algorithmic prediction in insurance - for example motor telematics - shifts pricing from shared risk pools to individual profiles, so that the principle of mutualisation erodes and higher-risk individuals face new forms of exclusion from affordable coverage.</t>
  </si>
  <si>
    <t>S070; S074</t>
  </si>
  <si>
    <t>Telematics / behavioural data (motor insurance)</t>
  </si>
  <si>
    <t>Individual risk prediction and behaviour-based premium personalisation</t>
  </si>
  <si>
    <t>Insurers</t>
  </si>
  <si>
    <t>Pricing each person to their own predicted risk removes the pooling that made cover broadly affordable, narrowing or closing access to insurance for those the model rates as high-risk.</t>
  </si>
  <si>
    <t>Insurance policyholders / consumers</t>
  </si>
  <si>
    <t>General; telematics insurance common in UK</t>
  </si>
  <si>
    <t>Sociological analysis of personalised insurance prediction (status 1). Verified.</t>
  </si>
  <si>
    <t>EV-0085</t>
  </si>
  <si>
    <t>Big Data &amp; Society 7(1)</t>
  </si>
  <si>
    <t>Drawing on over 100 interviews and a UK survey of 2,068 citizens, the paper examines the spread of emotion-profiling AI through assistants, wearables, workplaces, retail, policing and border control, and argues this ambient capture of people's emotional states raises distinct privacy and surveillance concerns even when individuals are not identified.</t>
  </si>
  <si>
    <t>S074; S086</t>
  </si>
  <si>
    <t>Ambient sensors / cameras / wearables / assistants</t>
  </si>
  <si>
    <t>Inference of emotional states (soft biometrics) from face, voice and physiology</t>
  </si>
  <si>
    <t>Marketers, employers and other operators</t>
  </si>
  <si>
    <t>Capturing and inferring people's emotional states in everyday spaces, often without their awareness, opens an intimate domain of life to monitoring they cannot see or govern.</t>
  </si>
  <si>
    <t>General public in monitored spaces</t>
  </si>
  <si>
    <t>Global phenomenon; UK survey component</t>
  </si>
  <si>
    <t>100+ stakeholder interviews; UK survey of 2,068 citizens</t>
  </si>
  <si>
    <t>Mixed empirical study of emotional-AI surveillance (status 2). Verified.</t>
  </si>
  <si>
    <t>EV-0086</t>
  </si>
  <si>
    <t>DAT 2017 / arXiv:1705.06805</t>
  </si>
  <si>
    <t>Examining four commercial smart-home devices, the authors showed that the rate and timing of their always-on network traffic can reveal sensitive in-home activity - such as when someone is sleeping or when a camera detects motion - to a passive observer even when the traffic is encrypted.</t>
  </si>
  <si>
    <t>S055; S030</t>
  </si>
  <si>
    <t>Smart-home IoT devices (always-on sensors)</t>
  </si>
  <si>
    <t>Side-channel analysis of encrypted IoT traffic rates to infer in-home behaviour</t>
  </si>
  <si>
    <t>Passive network observers (e.g. ISPs)</t>
  </si>
  <si>
    <t>Always-on home devices continuously leak patterns that betray intimate domestic routines to anyone watching the network, regardless of encryption and without the occupants' awareness.</t>
  </si>
  <si>
    <t>Smart-home occupants</t>
  </si>
  <si>
    <t>Global devices; UK ISPs and homes (UK-applicable)</t>
  </si>
  <si>
    <t>Four devices (Sense, Nest Cam, WeMo, Amazon Echo) tested in lab</t>
  </si>
  <si>
    <t>Empirical demonstration of IoT traffic side-channel leakage (status 3). Verified.</t>
  </si>
  <si>
    <t>EV-0087</t>
  </si>
  <si>
    <t>IJoC 8 (pp.1673-1689)</t>
  </si>
  <si>
    <t>Andrejevic describes a 'big data divide' between those who collect, store and mine large datasets and those whom data collection targets, arguing that the targets' inability to anticipate how their data will be used is intrinsic to data mining and entrenches power imbalances.</t>
  </si>
  <si>
    <t>S073; S088</t>
  </si>
  <si>
    <t>Aggregated personal data / data mining</t>
  </si>
  <si>
    <t>Asymmetric capacity to collect, store and mine population-scale data</t>
  </si>
  <si>
    <t>Large data collectors and miners</t>
  </si>
  <si>
    <t>Those with the data and the means to analyse it hold knowledge and predictive power over people who cannot see, anticipate or counter how they are sorted and targeted.</t>
  </si>
  <si>
    <t>General public (data targets)</t>
  </si>
  <si>
    <t>General principle (applies in UK)</t>
  </si>
  <si>
    <t>Foundational account of the big-data power asymmetry (status 1). Verified.</t>
  </si>
  <si>
    <t>EV-0088</t>
  </si>
  <si>
    <t>The Voice Catchers (2021)</t>
  </si>
  <si>
    <t>Turow documents how the voice-intelligence industry uses smart speakers and call-centre systems to extract voiceprints and infer emotion, personality and even physical traits from the voice, often in real time, to tailor marketing and exploit people's feelings.</t>
  </si>
  <si>
    <t>S003; S083</t>
  </si>
  <si>
    <t>Smart speakers / voice assistants / call centres</t>
  </si>
  <si>
    <t>Voice profiling: inferring emotion, personality and traits from speech</t>
  </si>
  <si>
    <t>Marketers (and potentially politicians/governments)</t>
  </si>
  <si>
    <t>Reading a person's emotional state from their voice in the moment lets sellers time and shape appeals to exploit feelings, steering wants and choices the person does not realise are being worked on.</t>
  </si>
  <si>
    <t>Consumers / marketing targets</t>
  </si>
  <si>
    <t>US-focused; voice tech also used in UK</t>
  </si>
  <si>
    <t>Scholarly analysis of the voice-profiling industry (status 1). Verified.</t>
  </si>
  <si>
    <t>EV-0089</t>
  </si>
  <si>
    <t>Ch.2, pp.17-45</t>
  </si>
  <si>
    <t>Hildebrandt defines profiling as a new, group-derived kind of knowledge produced by mining aggregated data, and stresses that individuals are judged and addressed on the basis of profiles they typically cannot access or contest.</t>
  </si>
  <si>
    <t>S059; S012</t>
  </si>
  <si>
    <t>Aggregated and mined data</t>
  </si>
  <si>
    <t>Pattern-based profiling that constructs knowledge applied back onto individuals</t>
  </si>
  <si>
    <t>Profilers (commercial and institutional)</t>
  </si>
  <si>
    <t>Being categorised and treated according to inferred group profiles one cannot see or challenge creates a deep asymmetry between what others know about a person and what the person can know or correct.</t>
  </si>
  <si>
    <t>General public (the profiled)</t>
  </si>
  <si>
    <t>EU/general framing (applies in UK)</t>
  </si>
  <si>
    <t>Foundational definition of profiling as a new type of knowledge (status 1). Verified.</t>
  </si>
  <si>
    <t>EV-0090</t>
  </si>
  <si>
    <t>New Media &amp; Society 20(1)</t>
  </si>
  <si>
    <t>Through a case study of the data-broker industry, Crain argues that transparency cannot by itself remedy surveillance harms because the commodification of personal information is what produces the underlying power imbalances, with brokers operating largely outside public awareness.</t>
  </si>
  <si>
    <t>S085; S048</t>
  </si>
  <si>
    <t>Brokered personal data (commercial surveillance)</t>
  </si>
  <si>
    <t>Commodification and trade of personal data across a broker ecosystem</t>
  </si>
  <si>
    <t>Data brokers and their clients</t>
  </si>
  <si>
    <t>Because personal data is bought and sold as a commodity by firms most people never see, the resulting power imbalance persists even where disclosure rules exist, leaving individuals without real leverage over their information.</t>
  </si>
  <si>
    <t>US-focused; data brokers operate in the UK (UK-applicable)</t>
  </si>
  <si>
    <t>Critical political-economy analysis of data brokers (status 1). Verified.</t>
  </si>
  <si>
    <t>EV-0091</t>
  </si>
  <si>
    <t>TC&amp;S 28(6)</t>
  </si>
  <si>
    <t>Cheney-Lippold argues that marketing and analytics algorithms infer categories of identity - such as gender, class and race - onto users from their web behaviour, and that these inferred categories then modulate what users are shown and shape who they are taken to be, a 'soft' form of control over identity.</t>
  </si>
  <si>
    <t>S074; S063</t>
  </si>
  <si>
    <t>Web tracking / behavioural data</t>
  </si>
  <si>
    <t>Algorithmic inference of identity categories and modulation of what users encounter</t>
  </si>
  <si>
    <t>Marketers / analytics firms</t>
  </si>
  <si>
    <t>By assigning people categories they never chose and using them to shape their online environment, the system steers who a person is made into and what they are nudged to become, below the level of awareness or consent.</t>
  </si>
  <si>
    <t>General internet users</t>
  </si>
  <si>
    <t>Landmark critical-theory account of algorithmic identity (status 1). Verified.</t>
  </si>
  <si>
    <t>EV-0092</t>
  </si>
  <si>
    <t>Media Technologies (MIT Press)</t>
  </si>
  <si>
    <t>Gillespie argues that algorithms embedded in search engines, social media and recommendation systems increasingly determine what information is treated as relevant, becoming a key logic governing the flows of information on which public participation depends, through criteria that operate largely below users' awareness.</t>
  </si>
  <si>
    <t>S053; S063</t>
  </si>
  <si>
    <t>Search / platform / recommendation systems</t>
  </si>
  <si>
    <t>Algorithmic selection and ranking of 'relevant' information</t>
  </si>
  <si>
    <t>Platform / search provider</t>
  </si>
  <si>
    <t>When opaque algorithms decide what is relevant, they shape what people can encounter and know without those people being able to see or assess the criteria, constraining the formation of their own understanding.</t>
  </si>
  <si>
    <t>General public (information consumers)</t>
  </si>
  <si>
    <t>Foundational account of algorithmic relevance/curation (status 1). Verified.</t>
  </si>
  <si>
    <t>EV-0093</t>
  </si>
  <si>
    <t>New Media &amp; Society 14(7)</t>
  </si>
  <si>
    <t>Through an analysis of Facebook's EdgeRank, Bucher argues the News Feed constructs a regime of visibility that imposes a 'threat of invisibility' on users, so that subjectivity is shaped not by the fear of being watched but by the constant risk of disappearing - prompting users to perform and engage in ways that keep them visible.</t>
  </si>
  <si>
    <t>S028; S042</t>
  </si>
  <si>
    <t>Social platform (News Feed ranking)</t>
  </si>
  <si>
    <t>Algorithmic ranking that governs which users and posts are made visible</t>
  </si>
  <si>
    <t>Platform provider</t>
  </si>
  <si>
    <t>The risk of being rendered invisible by the ranking algorithm pushes people to alter how they post and behave to satisfy its criteria, shaping conduct to fit the system rather than their own ends.</t>
  </si>
  <si>
    <t>Analysis of Facebook EdgeRank</t>
  </si>
  <si>
    <t>Landmark account of algorithmic visibility and behavioural conformity (status 1). Verified.</t>
  </si>
  <si>
    <t>EV-0094</t>
  </si>
  <si>
    <t>Algorithms of Oppression (NYU Press)</t>
  </si>
  <si>
    <t>Based on six years of research documenting search outputs, Noble shows that commercial search ranking returns racist and sexist results - for example degrading results for queries about Black girls and women - arguing that private commercial interests combined with search-engine concentration produce systematically discriminatory results that the provider hides behind its algorithm.</t>
  </si>
  <si>
    <t>S067; S012</t>
  </si>
  <si>
    <t>Commercial search engine</t>
  </si>
  <si>
    <t>Search ranking that reflects and amplifies societal biases</t>
  </si>
  <si>
    <t>Search provider</t>
  </si>
  <si>
    <t>Biased search results misrepresent and demean already-marginalised groups, narrowing how they are seen and the opportunities and recognition available to them, while the harm is obscured by claims of algorithmic neutrality.</t>
  </si>
  <si>
    <t>Women of colour / racialised groups</t>
  </si>
  <si>
    <t>US-focused; Google global (UK-applicable)</t>
  </si>
  <si>
    <t>Documented biased search outputs over six years</t>
  </si>
  <si>
    <t>Empirically grounded critical study of search bias (status 2). Verified.</t>
  </si>
  <si>
    <t>EV-0095</t>
  </si>
  <si>
    <t>Big Data &amp; Society 3(1)</t>
  </si>
  <si>
    <t>Burrell distinguishes three forms of opacity in machine-learning decision-making: intentional opacity arising from corporate or state secrecy, illiterate opacity from most people's lack of technical skill, and intrinsic opacity from the way some machine-learning methods resist interpretation at scale.</t>
  </si>
  <si>
    <t>S054; S033</t>
  </si>
  <si>
    <t>Machine-learning models / decision systems</t>
  </si>
  <si>
    <t>Opaque machine-learning inference underlying decisions about individuals</t>
  </si>
  <si>
    <t>Decision-making organisations</t>
  </si>
  <si>
    <t>When the basis of a decision is hidden by secrecy, technical complexity, or both, people subject to it cannot understand, check or contest how conclusions about them were reached.</t>
  </si>
  <si>
    <t>People subject to algorithmic decisions</t>
  </si>
  <si>
    <t>Foundational taxonomy of algorithmic opacity (status 1). Verified.</t>
  </si>
  <si>
    <t>EV-0096</t>
  </si>
  <si>
    <t>Television &amp; New Media 20(4)</t>
  </si>
  <si>
    <t>Couldry and Mejias argue that data are not found but must be appropriated, and that 'data relations' convert daily life into a data stream - a 'data colonialism' that, like historic colonialism, appropriates a resource (here, human life as data) and installs a new social order of continuous tracking and behavioural influence.</t>
  </si>
  <si>
    <t>S085; S088</t>
  </si>
  <si>
    <t>Pervasive datafication of social life</t>
  </si>
  <si>
    <t>Appropriation of human life as data within an extractive data order</t>
  </si>
  <si>
    <t>Data-capital firms</t>
  </si>
  <si>
    <t>Treating people's everyday lives as a resource to be appropriated and acted upon establishes a structural relation of domination, in which subjects are continuously tracked and influenced for others' profit.</t>
  </si>
  <si>
    <t>Global framing (applies in UK)</t>
  </si>
  <si>
    <t>Landmark 'data colonialism' framework (status 1). Corroborates S085 and S088. Verified.</t>
  </si>
  <si>
    <t>EV-0097</t>
  </si>
  <si>
    <t>Internet Policy Review 8(2)</t>
  </si>
  <si>
    <t>Susser, Roessler and Nissenbaum define online manipulation as the use of information technology to covertly influence a person's decision-making by targeting and exploiting their decision-making vulnerabilities, and argue that its deepest harm is not economic but the erosion of individual autonomy.</t>
  </si>
  <si>
    <t>S001; S015; S163</t>
  </si>
  <si>
    <t>Targeted digital influence / choice environments</t>
  </si>
  <si>
    <t>Covert influence exploiting individuals' decision-making vulnerabilities</t>
  </si>
  <si>
    <t>Platforms and advertisers</t>
  </si>
  <si>
    <t>Because the influence is covert and tuned to a person's specific weaknesses, it bypasses their conscious deliberation and steers their decisions without their awareness, undermining self-governed choice.</t>
  </si>
  <si>
    <t>Policy-facing autonomy/manipulation account, distinct from S001 (status 1). Verified.</t>
  </si>
  <si>
    <t>EV-0098</t>
  </si>
  <si>
    <t>Duke L&amp;T Rev 16(1)</t>
  </si>
  <si>
    <t>Edwards and Veale argue that a much-promoted 'right to an explanation' under the GDPR is unlikely to remedy the harms of consequential machine-learning decision-making, and that focusing on individual explanation risks a 'transparency fallacy' that leaves people subject to automated decisions without effective means to challenge them.</t>
  </si>
  <si>
    <t>S054; S093</t>
  </si>
  <si>
    <t>Automated decision systems (ML)</t>
  </si>
  <si>
    <t>Consequential automated decision-making with limited avenues for redress</t>
  </si>
  <si>
    <t>Where the main legal remedy fails to deliver real understanding or redress, individuals remain on the receiving end of opaque automated decisions, in a standing asymmetry of power they cannot meaningfully contest.</t>
  </si>
  <si>
    <t>EU/UK GDPR context (UK-applicable)</t>
  </si>
  <si>
    <t>Influential legal critique of the 'right to explanation' (status 1). Verified.</t>
  </si>
  <si>
    <t>EV-0099</t>
  </si>
  <si>
    <t>Stanford Law Review 52</t>
  </si>
  <si>
    <t>Cohen argues that meaningful autonomy requires a degree of freedom from monitoring, scrutiny and categorization by others, and that the dominant framings of data privacy effectively reduce individuals to objects of others' choices, trades and taxonomies - undermining the conditions in which people develop and exercise self-determination.</t>
  </si>
  <si>
    <t>S063; S013</t>
  </si>
  <si>
    <t>Pervasive monitoring and categorization</t>
  </si>
  <si>
    <t>Surveillance and categorization that objectify the data subject</t>
  </si>
  <si>
    <t>Data processors / observers</t>
  </si>
  <si>
    <t>Being persistently watched and sorted by others turns a person into an object of those others' decisions, eroding the freedom from observation that autonomous self-development and self-determination require.</t>
  </si>
  <si>
    <t>Foundational privacy-as-autonomy argument (status 1). Verified.</t>
  </si>
  <si>
    <t>EV-0100</t>
  </si>
  <si>
    <t>Philosophy &amp; Technology 32(3)</t>
  </si>
  <si>
    <t>Lanzing argues that self-tracking technologies use continuous surveillance and aggregated data to deliver real-time personalised feedback that nudges behaviour ('hypernudging'), and that this dynamic personalisation makes it very hard to keep nudges from becoming unjustified interferences with decision-making - a violation of decisional privacy and thus of autonomy.</t>
  </si>
  <si>
    <t>S015; S095</t>
  </si>
  <si>
    <t>Self-tracking devices / wearables</t>
  </si>
  <si>
    <t>Real-time personalised choice architecture (hypernudging) from continuous self-tracking</t>
  </si>
  <si>
    <t>Self-tracking platform</t>
  </si>
  <si>
    <t>Continuously surveilling a person and tuning nudges to their live data makes the steering precise and hard to resist, interfering with the space in which they would otherwise decide for themselves.</t>
  </si>
  <si>
    <t>Self-tracking users</t>
  </si>
  <si>
    <t>Decisional-privacy critique of hypernudging in self-tracking (status 1). Verified.</t>
  </si>
  <si>
    <t>EV-0101</t>
  </si>
  <si>
    <t>Nat. Hum. Behav. (2025)</t>
  </si>
  <si>
    <t>In a preregistered randomised controlled trial with 900 participants engaged in short debates, GPT-4 given only basic sociodemographic information about its opponent was substantially more persuasive than a human opponent, with about 81% higher odds of moving the participant toward its assigned position.</t>
  </si>
  <si>
    <t>S007; S041</t>
  </si>
  <si>
    <t>Participant-provided sociodemographic data</t>
  </si>
  <si>
    <t>LLM tailoring of persuasive arguments to an individual's attributes</t>
  </si>
  <si>
    <t>Persuading party deploying the model</t>
  </si>
  <si>
    <t>A system that can generate individually-tailored arguments at scale and outperform human persuaders can shift people's beliefs and choices through influence they may not recognise or be able to counter.</t>
  </si>
  <si>
    <t>General; experiment (UK-applicable)</t>
  </si>
  <si>
    <t>Preregistered RCT, N=900</t>
  </si>
  <si>
    <t>Contemporary RCT on AI persuasion (status 3). NOTE: Hackenburg &amp; Margetts (2024, PNAS) found the microtargeting-specific advantage weaker than generic LLM persuasion - the personalisation premium is contested. Verified.</t>
  </si>
  <si>
    <t>EV-0102</t>
  </si>
  <si>
    <t>FTC staff summaries (Jan 2025)</t>
  </si>
  <si>
    <t>The FTC's initial surveillance-pricing findings indicate that intermediary firms use data such as a person's precise location, browser and purchase history, demographics and even mouse movements or abandoned-cart contents to set individualised prices for the same goods and services.</t>
  </si>
  <si>
    <t>S047; S008</t>
  </si>
  <si>
    <t>Behavioural, location and purchase data (via intermediaries)</t>
  </si>
  <si>
    <t>Inference of individual willingness-to-pay to set personalised prices</t>
  </si>
  <si>
    <t>Retailers (via pricing intermediaries)</t>
  </si>
  <si>
    <t>Charging people different prices for the same product based on inferred characteristics shapes the terms and deals available to them according to a profile they cannot see, exploiting those judged willing to pay more.</t>
  </si>
  <si>
    <t>Online consumers</t>
  </si>
  <si>
    <t>US FTC study; practice also affects UK (UK-applicable)</t>
  </si>
  <si>
    <t>6(b) orders to 8 intermediary firms (July 2024)</t>
  </si>
  <si>
    <t>Contemporary regulatory study of surveillance pricing (status 2). NOTE: preliminary, redacted, 3-2 Commission vote, no wrongdoing finding (confidence M). Verified.</t>
  </si>
  <si>
    <t>EV-0103</t>
  </si>
  <si>
    <t>Reg. (EU) 2024/1689, Art. 5</t>
  </si>
  <si>
    <t>The EU AI Act prohibits placing on the market or using AI that deploys subliminal techniques beyond a person's consciousness, or purposefully manipulative or deceptive techniques, with the objective or effect of materially distorting behaviour by appreciably impairing the ability to make an informed decision and causing significant harm.</t>
  </si>
  <si>
    <t>S001; S095</t>
  </si>
  <si>
    <t>AI systems deploying manipulative techniques</t>
  </si>
  <si>
    <t>Subliminal or covert manipulation impairing informed decision-making</t>
  </si>
  <si>
    <t>Deployers of manipulative AI</t>
  </si>
  <si>
    <t>Manipulation that works beneath awareness distorts a person's behaviour while bypassing the conscious, informed deliberation through which they would otherwise decide - the harm the law is written to prevent.</t>
  </si>
  <si>
    <t>EU law (comparative benchmark for the UK)</t>
  </si>
  <si>
    <t>Art. 5 prohibitions in force from 2 Feb 2025</t>
  </si>
  <si>
    <t>Contemporary AI regulation recognising a manipulation-to-autonomy harm (status 1). EU law, UK-applicable as comparative context. Verified.</t>
  </si>
  <si>
    <t>EV-0104</t>
  </si>
  <si>
    <t>The Battle for Your Brain (2023)</t>
  </si>
  <si>
    <t>Farahany argues that brain sensors increasingly embedded in everyday devices and workplaces can decode aspects of a person's mental life - attention, mood, preferences and more - and that, used by companies and employers, this threatens mental privacy, freedom of thought and self-determination, which she frames as 'cognitive liberty'.</t>
  </si>
  <si>
    <t>S083; S086</t>
  </si>
  <si>
    <t>Neural wearables / brain sensors (consumer and workplace)</t>
  </si>
  <si>
    <t>Decoding of mental states from neural signals (neural profiling)</t>
  </si>
  <si>
    <t>Technology companies and employers</t>
  </si>
  <si>
    <t>Opening the previously inaccessible domain of inner mental activity to decoding and influence reaches the substrate of thought and will itself, threatening the freedom to form one's own beliefs and desires.</t>
  </si>
  <si>
    <t>General/global emerging issue (UK-applicable)</t>
  </si>
  <si>
    <t>Contemporary; opens neurotechnology field (status 1). NOTE: large-scale neural profiling is emerging and decoding capabilities are debated (confidence M). Verified.</t>
  </si>
  <si>
    <t>EV-0105</t>
  </si>
  <si>
    <t>FTC 6(b) report (Sept 2024)</t>
  </si>
  <si>
    <t>From responses to 6(b) orders, the FTC found that major social media and video-streaming services engage in vast data collection - including about non-users and data bought from brokers - infer extensive personal details, and feed advertising and AI systems behind the scenes, with users largely unaware of and unable to avoid the tracking and lacking meaningful control over how their data is used.</t>
  </si>
  <si>
    <t>S088; S057</t>
  </si>
  <si>
    <t>Social media / streaming platforms (and data brokers)</t>
  </si>
  <si>
    <t>Mass tracking, inference and profiling for advertising and recommendation</t>
  </si>
  <si>
    <t>Platforms (and third parties/advertisers)</t>
  </si>
  <si>
    <t>Pervasive behind-the-scenes collection and inference that people cannot see or escape leaves them unable to know what is held about them or how it shapes what they are shown.</t>
  </si>
  <si>
    <t>Platform users (incl. children and teens)</t>
  </si>
  <si>
    <t>US FTC; same platforms used in UK</t>
  </si>
  <si>
    <t>6(b) orders to 9 major platforms (Dec 2020)</t>
  </si>
  <si>
    <t>Contemporary regulatory documentation of platform surveillance (status 2). Report flags acute child/teen risks; some commissioners dissented on the AI/ad framing. Verified.</t>
  </si>
  <si>
    <t>EV-0106</t>
  </si>
  <si>
    <t>J. Legal Analysis 13(1)</t>
  </si>
  <si>
    <t>In a large census-weighted experiment, participants exposed to mild dark patterns were more than twice as likely, and those exposed to aggressive dark patterns nearly four times as likely, to enrol in an unwanted paid service than a control group, with less-educated participants especially susceptible and the price of the service becoming immaterial.</t>
  </si>
  <si>
    <t>S010; S032; S164</t>
  </si>
  <si>
    <t>Web/app interface (manipulative design)</t>
  </si>
  <si>
    <t>Deceptive interface design exploiting cognitive biases (hidden info, trick questions, obstruction)</t>
  </si>
  <si>
    <t>The firm operating the interface</t>
  </si>
  <si>
    <t>Designs that hide options, obstruct, or trick steer people into choices and disclosures they would not otherwise make, overriding their actual preferences at the point of decision.</t>
  </si>
  <si>
    <t>US sample; dark patterns universal (UK-applicable)</t>
  </si>
  <si>
    <t>Two large-scale randomised experiments</t>
  </si>
  <si>
    <t>First public RCT evidence of dark-pattern effectiveness (status 3). Verified.</t>
  </si>
  <si>
    <t>EV-0107</t>
  </si>
  <si>
    <t>Acad. Mgmt. Annals 14(1)</t>
  </si>
  <si>
    <t>Kellogg, Valentine and Christin synthesise how employers use algorithms to control workers through six mechanisms - restricting and recommending what they do, recording and rating their performance, and replacing or rewarding them - producing a comprehensive and often opaque regime of managerial control.</t>
  </si>
  <si>
    <t>S065; S068</t>
  </si>
  <si>
    <t>Workplace platforms / management systems</t>
  </si>
  <si>
    <t>Algorithmic direction, evaluation and discipline of workers</t>
  </si>
  <si>
    <t>Employers</t>
  </si>
  <si>
    <t>Comprehensive algorithmic monitoring and rating that workers can neither see into nor contest deepens the employer's power over them, narrowing their discretion and standing in the workplace.</t>
  </si>
  <si>
    <t>Workers</t>
  </si>
  <si>
    <t>Landmark synthesis of algorithmic management (status 1). Verified.</t>
  </si>
  <si>
    <t>EV-0108</t>
  </si>
  <si>
    <t>AI &amp; Society 35(4)</t>
  </si>
  <si>
    <t>Milano, Taddeo and Floridi's systematic analysis identifies autonomy as a core ethical concern of recommender systems, which can nudge users in particular directions, attempt to addict them to certain content, and limit the range of options they are exposed to.</t>
  </si>
  <si>
    <t>S090; S089</t>
  </si>
  <si>
    <t>Recommendation platforms</t>
  </si>
  <si>
    <t>Personalised recommendation that nudges and habituates engagement</t>
  </si>
  <si>
    <t>Recommenders tuned to maximise engagement can steer and habituate what people want and attend to, shaping desires and attention in the platform's interest rather than the user's own.</t>
  </si>
  <si>
    <t>Foundational taxonomy of recommender-system ethics (status 1). Verified. RECODED CAP-006-&gt;CAP-013 (attention-capture), 2026-06-20; see Capability Change Log.</t>
  </si>
  <si>
    <t>EV-0109</t>
  </si>
  <si>
    <t>Business &amp; Society 58(1)</t>
  </si>
  <si>
    <t>West traces how commercial tracking gave rise to a logic of 'data capitalism', in which the commoditisation of personal data produces an asymmetric redistribution of power toward the actors who can collect and make sense of information.</t>
  </si>
  <si>
    <t>S085; S094</t>
  </si>
  <si>
    <t>Commercial tracking and data markets</t>
  </si>
  <si>
    <t>Commoditisation of personal data within an asymmetric data economy</t>
  </si>
  <si>
    <t>Data-holding firms</t>
  </si>
  <si>
    <t>Concentrating the ability to gather and interpret personal data in a few firms tilts power toward them and away from the people whose lives are tracked, who have little say over how they are known and acted upon.</t>
  </si>
  <si>
    <t>General framing (applies in UK)</t>
  </si>
  <si>
    <t>Influential 'data capitalism' analysis (status 1). Corroborates S085, S088, S094. Verified.</t>
  </si>
  <si>
    <t>EV-0110</t>
  </si>
  <si>
    <t>Race After Technology (2019)</t>
  </si>
  <si>
    <t>Benjamin's concept of the 'New Jim Code' describes technologies that reflect and reproduce existing social inequities - particularly racial ones - while being promoted and perceived as more objective or progressive than the discriminatory systems they replace, hiding and deepening discrimination across domains such as hiring, policing and marketing.</t>
  </si>
  <si>
    <t>S092; S067</t>
  </si>
  <si>
    <t>Automated decision and ranking systems</t>
  </si>
  <si>
    <t>Discriminatory automated systems that encode and amplify existing inequities</t>
  </si>
  <si>
    <t>Deploying institutions</t>
  </si>
  <si>
    <t>Systems that encode bias while appearing neutral steer opportunities - jobs, scrutiny, services - away from already-marginalised groups, constraining their options under a veneer of objectivity.</t>
  </si>
  <si>
    <t>Racialised and marginalised groups</t>
  </si>
  <si>
    <t>US-focused; applies in UK (UK-applicable)</t>
  </si>
  <si>
    <t>Landmark account of discriminatory design / the New Jim Code (status 1). Verified.</t>
  </si>
  <si>
    <t>EV-0111</t>
  </si>
  <si>
    <t>Sci. Rep. 14, 4692</t>
  </si>
  <si>
    <t>Across four studies (seven sub-studies, total N=1788), persuasive messages generated by ChatGPT and matched to a recipient's psychological profile - such as Big Five personality, moral foundations or political orientation - were significantly more influential on attitudes and intentions than non-personalised messages, across marketing, political and health domains.</t>
  </si>
  <si>
    <t>S007; S099</t>
  </si>
  <si>
    <t>Inferred/known psychological profile</t>
  </si>
  <si>
    <t>LLM generation of psychologically-tailored persuasive messages at scale</t>
  </si>
  <si>
    <t>Automating the production of profile-matched persuasive content lets influence be tuned to people's psychological weak points and deployed at a scale no human campaign could match, shaping choices through tailored pressure.</t>
  </si>
  <si>
    <t>General; experiments (UK-applicable)</t>
  </si>
  <si>
    <t>Four studies / seven sub-studies</t>
  </si>
  <si>
    <t>Contemporary RCT evidence on scalable AI persuasion (status 3). Complements S099 (conversational persuasion). Verified.</t>
  </si>
  <si>
    <t>EV-0112</t>
  </si>
  <si>
    <t>FTC X-Mode/Outlogic order (2024)</t>
  </si>
  <si>
    <t>The FTC charged that the data broker X-Mode/Outlogic collected precise geolocation through a software development kit embedded in mobile apps and sold raw, re-identifiable location data to third parties without ensuring informed consent or safeguards, including data that could reveal visits to sensitive places such as reproductive-health clinics, places of worship and LGBTQ+ venues, exposing people to discrimination and other harms.</t>
  </si>
  <si>
    <t>S080; S046</t>
  </si>
  <si>
    <t>Mobile apps (location via SDK)</t>
  </si>
  <si>
    <t>Collection and sale of precise, re-identifiable location data without meaningful consent</t>
  </si>
  <si>
    <t>Location data broker</t>
  </si>
  <si>
    <t>Covertly turning people's movements into a saleable product they cannot see or stop subjects them to surveillance and downstream exploitation, exposing sensitive visits in ways that can lead to discrimination or harm.</t>
  </si>
  <si>
    <t>People visiting sensitive locations</t>
  </si>
  <si>
    <t>US (FTC); practice affects UK (UK-applicable)</t>
  </si>
  <si>
    <t>FTC order; Columbus, OH medical-visit data sale cited</t>
  </si>
  <si>
    <t>Contemporary first-of-its-kind location-data enforcement (status 2). NOTE: Outlogic disputes the FTC's characterisation. Verified.</t>
  </si>
  <si>
    <t>EV-0113</t>
  </si>
  <si>
    <t>Life Sci. Soc. Policy 13(1)</t>
  </si>
  <si>
    <t>Ienca and Andorno argue that advances in neurotechnology make it possible to access, collect and even manipulate information from the human brain, and that existing human rights may be insufficient - proposing rights to cognitive liberty, mental privacy, mental integrity and psychological continuity to protect the mind.</t>
  </si>
  <si>
    <t>S102; S083</t>
  </si>
  <si>
    <t>Neural devices / brain-computer interfaces</t>
  </si>
  <si>
    <t>Access to and potential manipulation of neural/mental information</t>
  </si>
  <si>
    <t>Neurotech operators</t>
  </si>
  <si>
    <t>Opening the brain to reading and intervention reaches the seat of thought and will, so that without new protections people's capacity to form and hold their own mental states could be surveilled or altered.</t>
  </si>
  <si>
    <t>Foundational neurorights framework (status 1); anchors the neurotech field with S102. NOTE: emerging field, capabilities debated (confidence M). Verified.</t>
  </si>
  <si>
    <t>EV-0114</t>
  </si>
  <si>
    <t>Privacy Is Power (2020)</t>
  </si>
  <si>
    <t>Véliz argues that personal data is a source of power - 'whoever has the data has the power' - so that the largely unchecked collection of data by technology companies and governments lets them exert both soft and hard power over individuals, undermining free choice, equality and democracy.</t>
  </si>
  <si>
    <t>S003; S107</t>
  </si>
  <si>
    <t>Pervasive everyday surveillance</t>
  </si>
  <si>
    <t>Concentration of personal data as a basis of power over individuals</t>
  </si>
  <si>
    <t>Technology companies and governments</t>
  </si>
  <si>
    <t>When a few actors hold detailed knowledge of everyone, they gain leverage to influence and constrain people's behaviour, placing individuals in a standing relation of dependence and control they did not choose.</t>
  </si>
  <si>
    <t>General argument (applies in UK)</t>
  </si>
  <si>
    <t>Widely-read privacy-as-power argument (status 1). Verified.</t>
  </si>
  <si>
    <t>EV-0115</t>
  </si>
  <si>
    <t>Big Data &amp; Society 6(1)</t>
  </si>
  <si>
    <t>Sadowski analyses data as a form of capital whose accumulation drives an imperative to capture all data from all sources by any means, arguing that much routine data collection is better understood as extraction - taken with little regard for consent or compensation - so that flows of data correspond to flows of power and profit.</t>
  </si>
  <si>
    <t>S085; S107</t>
  </si>
  <si>
    <t>Pervasive datafication and extraction</t>
  </si>
  <si>
    <t>Extraction and accumulation of data as capital</t>
  </si>
  <si>
    <t>Data-accumulating firms</t>
  </si>
  <si>
    <t>Treating ever more of life as data to be extracted and accumulated for those who can claim it concentrates power and profit upward, positioning people as sources to be mined rather than agents in control of their own information.</t>
  </si>
  <si>
    <t>Influential 'data as capital' analysis (status 1). Corroborates S085, S094, S107. Verified.</t>
  </si>
  <si>
    <t>EV-0116</t>
  </si>
  <si>
    <t>New Media &amp; Society 20(3)</t>
  </si>
  <si>
    <t>Ananny and Crawford argue that being able to see inside an algorithmic system is not the same as being able to understand or govern it: transparency tends toward binary visible/invisible conceptions, can produce its own harms such as information overload, and leaves the workings of systems embedded in larger sociotechnical assemblages effectively unknowable.</t>
  </si>
  <si>
    <t>S093; S033</t>
  </si>
  <si>
    <t>Algorithmic decision systems</t>
  </si>
  <si>
    <t>Opacity that persists even under nominal transparency</t>
  </si>
  <si>
    <t>System operators</t>
  </si>
  <si>
    <t>If disclosure does not yield genuine understanding, people remain unable to grasp how systems act on them, so 'seeing' the system fails to give them the knowledge needed to assess or contest it.</t>
  </si>
  <si>
    <t>People subject to algorithmic systems</t>
  </si>
  <si>
    <t>Landmark critique of the transparency ideal (status 1). Corroborates S093. Verified.</t>
  </si>
  <si>
    <t>EV-0117</t>
  </si>
  <si>
    <t>Regulation &amp; Governance 12(4)</t>
  </si>
  <si>
    <t>Yeung characterises 'algorithmic regulation' as decision-making systems that govern a domain of activity by continuously collecting real-time data and adjusting their operations to steer behaviour toward pre-specified goals, warning that this mode of social ordering can erode participatory rights and entrench power asymmetries.</t>
  </si>
  <si>
    <t>S015; S096</t>
  </si>
  <si>
    <t>Algorithmic governance / control systems</t>
  </si>
  <si>
    <t>Continuous data-driven steering of behaviour toward designers' goals</t>
  </si>
  <si>
    <t>System designers / governing bodies</t>
  </si>
  <si>
    <t>Governing people by continuously sensing and nudging them toward preset outcomes shifts control to whoever sets the goals, narrowing the space in which people set their own course and contest the terms of their governance.</t>
  </si>
  <si>
    <t>Influential taxonomy/critique of algorithmic regulation (status 1); distinct from S015. Verified.</t>
  </si>
  <si>
    <t>EV-0118</t>
  </si>
  <si>
    <t>Privacy's Blueprint (2018)</t>
  </si>
  <si>
    <t>Hartzog argues that digital products are not value-neutral but are deliberately designed to expose people and manipulate them into disclosing personal information, and that the law should regulate the design of technologies - prohibiting deceptive and abusive interfaces - to protect trust, obscurity and autonomy.</t>
  </si>
  <si>
    <t>S104; S095</t>
  </si>
  <si>
    <t>App / device / web interfaces</t>
  </si>
  <si>
    <t>Deceptive and abusive interface design that manipulates disclosure</t>
  </si>
  <si>
    <t>Product makers</t>
  </si>
  <si>
    <t>Interfaces engineered to nudge people into exposing information or making choices they would not freely make exploit how people actually use technology, overriding considered decisions about what to share.</t>
  </si>
  <si>
    <t>US-focused; design principles general (UK-applicable)</t>
  </si>
  <si>
    <t>Foundational design-and-privacy argument (status 1). Corroborates S104. Verified.</t>
  </si>
  <si>
    <t>EV-0119</t>
  </si>
  <si>
    <t>Re-Engineering Humanity (2018)</t>
  </si>
  <si>
    <t>Frischmann and Selinger argue that pervasive 'techno-social engineering' - smart environments, persuasive design and frictionless electronic contracting that, for example, trains people not to read terms - conditions human behaviour and risks eroding people's capacity for judgment, self-determination and free will, making them more 'programmable'.</t>
  </si>
  <si>
    <t>S089; S106</t>
  </si>
  <si>
    <t>Smart techno-social environments</t>
  </si>
  <si>
    <t>Environmental conditioning of behaviour through persuasive and frictionless design</t>
  </si>
  <si>
    <t>Platform / device operators</t>
  </si>
  <si>
    <t>Continuously engineering the environments people act in to elicit convenient, habitual responses gradually trains away deliberation, narrowing the exercise of independent judgment and self-direction.</t>
  </si>
  <si>
    <t>Landmark critique of behavioural techno-social engineering (status 1). Verified.</t>
  </si>
  <si>
    <t>EV-0120</t>
  </si>
  <si>
    <t>Atlas of AI (2021)</t>
  </si>
  <si>
    <t>Crawford argues that the classificatory logic built into AI training data is not a neutral technical act but a political one, encoding historical and structural inequities behind an 'aesthetic of objectivity', so that who and what is included, excluded or categorised is shaped by - and reproduces - existing relations of power.</t>
  </si>
  <si>
    <t>S108; S092</t>
  </si>
  <si>
    <t>AI training data and classification systems</t>
  </si>
  <si>
    <t>Classification of people into categories that encode structural inequity</t>
  </si>
  <si>
    <t>AI developers / deployers</t>
  </si>
  <si>
    <t>Sorting people through categories that carry forward historical inequities, while appearing objective, channels opportunities and treatment along those lines and constrains the options available to those it disadvantages.</t>
  </si>
  <si>
    <t>Major contemporary account of AI classification and power (status 1). Also speaks to data extraction/power (CAP-007/AUT-DOM); coded here for classification -&gt; opportunity. Verified.</t>
  </si>
  <si>
    <t>EV-0121</t>
  </si>
  <si>
    <t>Weapons of Math Destruction (2016)</t>
  </si>
  <si>
    <t>O'Neil documents how opaque, large-scale scoring models - which she calls 'weapons of math destruction', defined by opacity, scale and damage - increasingly decide who gets jobs, credit, insurance, college places and parole, and argues that because they are unregulated and uncontestable they tend to reinforce existing inequality, punishing the already disadvantaged.</t>
  </si>
  <si>
    <t>S012; S027; S108</t>
  </si>
  <si>
    <t>Scoring systems across sectors</t>
  </si>
  <si>
    <t>Opaque, uncontestable automated scoring governing access to opportunities</t>
  </si>
  <si>
    <t>Institutions using the models</t>
  </si>
  <si>
    <t>Being ranked by a hidden model you cannot see or challenge, which compounds disadvantage at scale, narrows the jobs, credit and other opportunities open to people - especially those already worst off - without recourse.</t>
  </si>
  <si>
    <t>General public (disproportionately the disadvantaged)</t>
  </si>
  <si>
    <t>US-focused; the dynamic applies in the UK</t>
  </si>
  <si>
    <t>Multiple documented WMD cases</t>
  </si>
  <si>
    <t>Landmark account of harmful scoring (status 2). Corroborates S012, S027, S049, S108. Verified.</t>
  </si>
  <si>
    <t>EV-0122</t>
  </si>
  <si>
    <t>Code v2.0 (2006)</t>
  </si>
  <si>
    <t>Lessig argues that in the digital world 'code is law' - that the architecture of software and hardware is itself a powerful, often invisible, mode of regulation alongside law, norms and markets, structuring what people can and cannot do online, with the values embedded in code determined by whoever writes it.</t>
  </si>
  <si>
    <t>S117; S116</t>
  </si>
  <si>
    <t>Digital architecture / platform code</t>
  </si>
  <si>
    <t>Architectural design that structures and constrains behaviour</t>
  </si>
  <si>
    <t>Code owners / intermediaries</t>
  </si>
  <si>
    <t>Because architecture silently sets the boundaries of what is possible, it channels conduct without people noticing they are being regulated, shaping behaviour in ways they cannot easily perceive or resist.</t>
  </si>
  <si>
    <t>Foundational 'code is law' argument (status 1). Corroborates S116, S117. Verified.</t>
  </si>
  <si>
    <t>EV-0123</t>
  </si>
  <si>
    <t>NDSS 2014</t>
  </si>
  <si>
    <t>Olejnik and colleagues empirically measured real-time bidding and cookie matching and found that these mechanisms covertly disseminate users' browsing histories to many third parties - 91% of users in their data were affected by cookie matching and up to 27% of browsing histories could leak via RTB - noting that RTB is, by design, a non-transparent technology operating server-side.</t>
  </si>
  <si>
    <t>S004; S036</t>
  </si>
  <si>
    <t>Web browsing (RTB ad auctions)</t>
  </si>
  <si>
    <t>Covert dissemination of browsing history through ad auctions and cookie matching</t>
  </si>
  <si>
    <t>Ad exchanges and bidders</t>
  </si>
  <si>
    <t>Browsing histories being shared with dozens of unseen companies in milliseconds, by design without visibility, means people cannot know who holds information about them or what is inferred, undermining any informed grasp of their own exposure.</t>
  </si>
  <si>
    <t>General; web advertising (UK-applicable)</t>
  </si>
  <si>
    <t>Measurement study of RTB/cookie matching</t>
  </si>
  <si>
    <t>Technical audit boosting thin CAP-004 (status 3); RTB-specific lifecycle tokens. Corroborates S004. Verified.</t>
  </si>
  <si>
    <t>EV-0124</t>
  </si>
  <si>
    <t>Nat. Hum. Behav. 3(2):122-128</t>
  </si>
  <si>
    <t>Using information theory on Twitter data, Bagrow and colleagues show that roughly 95% of the potential predictive accuracy about an individual is contained in the writings of their social ties, with as few as 8-9 contacts sufficing, so that in principle a platform can profile a person from their network even if that person never joins the platform.</t>
  </si>
  <si>
    <t>S046; S023</t>
  </si>
  <si>
    <t>Social platform (network ties)</t>
  </si>
  <si>
    <t>Prediction of an individual from their contacts' data (shadow profiling)</t>
  </si>
  <si>
    <t>Social platform</t>
  </si>
  <si>
    <t>If others can be profiled accurately from their friends' data, opting out or withholding one's own information no longer protects one's informational self - people can be known and predicted without their participation or awareness.</t>
  </si>
  <si>
    <t>General public (incl. non-users)</t>
  </si>
  <si>
    <t>General finding (applies in UK)</t>
  </si>
  <si>
    <t>Information-theoretic analysis of Twitter</t>
  </si>
  <si>
    <t>Empirical shadow-profile result boosting thin CAP-011 (status 3). Corroborates S046, S048. Verified.</t>
  </si>
  <si>
    <t>EV-0125</t>
  </si>
  <si>
    <t>ProPublica, Machine Bias (2016)</t>
  </si>
  <si>
    <t>ProPublica's analysis of COMPAS recidivism risk scores for more than 7,000 defendants in Broward County, Florida found that Black defendants were roughly twice as likely as white defendants to be incorrectly flagged as high risk, even though the tool does not use race directly; the scores are used to inform bail, sentencing and parole decisions.</t>
  </si>
  <si>
    <t>S012; S108; S167</t>
  </si>
  <si>
    <t>Criminal-justice risk scoring</t>
  </si>
  <si>
    <t>Opaque proprietary risk scores informing liberty decisions, with disparate racial impact</t>
  </si>
  <si>
    <t>Courts / corrections agencies</t>
  </si>
  <si>
    <t>Subjecting defendants to an opaque, proprietary score they cannot meaningfully contest, which carries disparate racial error, can tilt decisions about their liberty and opportunities in ways they are powerless to challenge.</t>
  </si>
  <si>
    <t>Racial minorities in the justice system</t>
  </si>
  <si>
    <t>US criminal justice (UK uses analogous tools, e.g. HART)</t>
  </si>
  <si>
    <t>COMPAS / Broward County; cited in State v. Loomis</t>
  </si>
  <si>
    <t>Documented case, HEAVILY CONTESTED: Northpointe rebuttal + Corbett-Davies/Kleinberg showed fairness metrics mathematically incompatible; Dressel &amp; Farid found COMPAS no better than untrained humans. Confidence M. Verified.</t>
  </si>
  <si>
    <t>EV-0126</t>
  </si>
  <si>
    <t>ICO cookie enforcement (Nov 2023)</t>
  </si>
  <si>
    <t>The ICO wrote to 53 of the UK's most-visited websites warning of enforcement unless they made rejecting non-essential advertising cookies as easy as accepting them, stating that a consent banner emphasising 'agree' or 'allow' over 'reject' or 'block' is non-compliant because it influences users towards the 'accept' option.</t>
  </si>
  <si>
    <t>S104; S116</t>
  </si>
  <si>
    <t>Website cookie consent banners</t>
  </si>
  <si>
    <t>Asymmetric consent banners that steer users toward accepting tracking</t>
  </si>
  <si>
    <t>Website operators</t>
  </si>
  <si>
    <t>Designing the consent choice so that accepting tracking is easier and more prominent than refusing it nudges people into 'consent' they would not freely give, undermining a genuine decision about their own data.</t>
  </si>
  <si>
    <t>United Kingdom (PECR/UK GDPR)</t>
  </si>
  <si>
    <t>ICO cookie-banner enforcement, 2023</t>
  </si>
  <si>
    <t>Contemporary UK-specific dark-patterns enforcement (status 2; UK-S). Verified.</t>
  </si>
  <si>
    <t>EV-0127</t>
  </si>
  <si>
    <t>Knight Inst. essay (2023)</t>
  </si>
  <si>
    <t>Narayanan explains that social-media recommender systems - the engine of platforms like Facebook, YouTube and TikTok - largely determine who hears what people say online, and that because they are optimised to predict and maximise engagement they amplify some content and suppress other content, shaping the information environment in ways users rarely understand.</t>
  </si>
  <si>
    <t>S090; S023</t>
  </si>
  <si>
    <t>Recommendation / feed-ranking systems</t>
  </si>
  <si>
    <t>Engagement-optimised curation that shapes the information environment</t>
  </si>
  <si>
    <t>Platform</t>
  </si>
  <si>
    <t>When an opaque system decides what each person sees in order to maximise engagement, it quietly determines the information and viewpoints reaching them, so their picture of the world is shaped by goals that are not their own and that they cannot inspect.</t>
  </si>
  <si>
    <t>General; global platforms (applies in UK)</t>
  </si>
  <si>
    <t>Authoritative contemporary primer on recommender systems (status 1). Corroborates S090. Verified.</t>
  </si>
  <si>
    <t>EV-0128</t>
  </si>
  <si>
    <t>50 Stan. L. Rev. 1193</t>
  </si>
  <si>
    <t>Writing in 1998, Kang argued that data collection in cyberspace is 'more like surveillance than casual observation', and that another party's detailed knowledge of who we are and what we consume enables influence that 'crosses the line between persuasion and undue influence' - advertisers, he warned, do not merely track demand but can manufacture preferences.</t>
  </si>
  <si>
    <t>S001; S017</t>
  </si>
  <si>
    <t>Online transactions (cumulative observation)</t>
  </si>
  <si>
    <t>Cumulative invisible surveillance enabling fabrication of preferences</t>
  </si>
  <si>
    <t>Advertisers / data users</t>
  </si>
  <si>
    <t>Detailed, invisible knowledge of a person lets the watcher craft influence finely enough to manufacture rather than merely meet their preferences, steering choices in ways the person cannot detect or resist as their own.</t>
  </si>
  <si>
    <t>US legal analysis; concept applies in UK</t>
  </si>
  <si>
    <t>Foundational, prescient privacy-and-manipulation analysis (status 1). Corroborates S001, S017. Verified.</t>
  </si>
  <si>
    <t>EV-0129</t>
  </si>
  <si>
    <t>Nat. Commun. 16, 6037</t>
  </si>
  <si>
    <t>Across three preregistered experiments with 4,829 US participants, Bai and colleagues found that persuasive messages generated by GPT-3/3.5 significantly shifted people's attitudes across a range of policy issues, including polarised ones such as an assault-weapons ban and a carbon tax, and that telling people the messages were AI-generated did not reduce the effect.</t>
  </si>
  <si>
    <t>S099; S109</t>
  </si>
  <si>
    <t>Political/policy messaging</t>
  </si>
  <si>
    <t>LLM generation of persuasive political messages at scale</t>
  </si>
  <si>
    <t>Cheaply generating persuasive political messages that measurably move attitudes, and that work even when known to be machine-made, lets influence over civic beliefs be produced and spread at a scale that can crowd out people's own deliberation.</t>
  </si>
  <si>
    <t>Citizens as political actors</t>
  </si>
  <si>
    <t>US samples; applicable to UK political contexts</t>
  </si>
  <si>
    <t>Three preregistered experiments</t>
  </si>
  <si>
    <t>Contemporary RCT on scalable political persuasion (status 3). Complements S099, S109. Verified.</t>
  </si>
  <si>
    <t>EV-0130</t>
  </si>
  <si>
    <t>Nature 551:159-163</t>
  </si>
  <si>
    <t>Yuste, Goering and colleagues warn that as brain-computer interfaces and AI are developed by corporations and governments to read and act on neural activity, people's identity (bodily and mental integrity) and agency - 'our ability to choose our actions' - must be protected as basic human rights, and they call for 'neurorights' to be recognised in law.</t>
  </si>
  <si>
    <t>S102; S111</t>
  </si>
  <si>
    <t>Brain-computer interfaces / neural devices</t>
  </si>
  <si>
    <t>Access to and intervention in neural activity bearing on agency</t>
  </si>
  <si>
    <t>Neurotech developers / operators</t>
  </si>
  <si>
    <t>Technologies that can read and influence brain activity reach the very processes by which people choose and act, so without protection a person's agency over their own actions could be monitored or shaped from outside.</t>
  </si>
  <si>
    <t>International/global emerging issue (UK-applicable)</t>
  </si>
  <si>
    <t>Landmark neurorights statement (status 1); completes cluster with S102, S111. NOTE: emerging field (confidence M). Verified.</t>
  </si>
  <si>
    <t>EV-0131</t>
  </si>
  <si>
    <t>Nature 489:295-298</t>
  </si>
  <si>
    <t>In a randomized experiment delivered to about 61 million Facebook users on US Election Day 2010, a get-out-the-vote message that also showed the faces of friends who had voted measurably increased real-world turnout - verified against public voter records - with most of the effect transmitted through users' social ties rather than the direct message.</t>
  </si>
  <si>
    <t>S091; S138</t>
  </si>
  <si>
    <t>Platform feed (social-cue message)</t>
  </si>
  <si>
    <t>Feed message design using social cues to mobilise behaviour at scale</t>
  </si>
  <si>
    <t>Demonstrating that a single feed intervention with social cues can shift the real-world behaviour of millions establishes that platforms can engineer mass behaviour through what they show - a capacity that, turned to other ends, can steer conduct people would otherwise choose for themselves.</t>
  </si>
  <si>
    <t>General electorate</t>
  </si>
  <si>
    <t>US election; mechanism general (UK-applicable)</t>
  </si>
  <si>
    <t>2010 US midterm Facebook experiment</t>
  </si>
  <si>
    <t>EMPIRICAL (RCT, status 3). Studied effect prosocial (voting) but demonstrates behavioural engineering at scale. Corroborates S138. Verified.</t>
  </si>
  <si>
    <t>EV-0132</t>
  </si>
  <si>
    <t>PNAS 112:E4512-E4521</t>
  </si>
  <si>
    <t>Across five double-blind randomized experiments with undecided voters in the US and India - including one run during India's 2014 national election - Epstein and Robertson found that manipulating the order of search results could shift voting preferences by 20% or more, and that most participants did not notice the bias.</t>
  </si>
  <si>
    <t>S129; S138</t>
  </si>
  <si>
    <t>Search engine results</t>
  </si>
  <si>
    <t>Biased ranking of search results that covertly shifts preferences</t>
  </si>
  <si>
    <t>Search platform</t>
  </si>
  <si>
    <t>If the order in which information is presented can move people's choices substantially without their awareness, then control of ranking lets a platform shape decisions in a way the person experiences as their own reasoning.</t>
  </si>
  <si>
    <t>Undecided voters</t>
  </si>
  <si>
    <t>US/India experiments (UK-applicable)</t>
  </si>
  <si>
    <t>Incl. field experiment during India 2014 election</t>
  </si>
  <si>
    <t>EMPIRICAL (5 RCTs, status 3). NOTE: effect sizes/external validity debated (confidence M). Verified.</t>
  </si>
  <si>
    <t>EV-0133</t>
  </si>
  <si>
    <t>Science 381:398-404</t>
  </si>
  <si>
    <t>In a large randomized experiment during the 2020 US election, moving Facebook and Instagram users from the default algorithmic feed to a reverse-chronological one substantially changed what they were exposed to and how much time they spent, although over the three-month study it did not significantly change polarization, political knowledge or key attitudes.</t>
  </si>
  <si>
    <t>S125; S090; S143</t>
  </si>
  <si>
    <t>Algorithmic feed ranking</t>
  </si>
  <si>
    <t>Engagement-optimised ranking that shapes the information environment</t>
  </si>
  <si>
    <t>Causal evidence that the feed algorithm substantially determines what content reaches people shows it structures their information environment - even where, in this window, that did not translate into measurable attitude change.</t>
  </si>
  <si>
    <t>US election; global platforms (UK-applicable)</t>
  </si>
  <si>
    <t>2020 Facebook/Instagram feed experiment</t>
  </si>
  <si>
    <t>EMPIRICAL (large RCT, status 3), contemporary. Important nuance: shaped exposure but limited 3-month attitude effects; a break-glass measure may affect external validity. Verified.</t>
  </si>
  <si>
    <t>EV-0134</t>
  </si>
  <si>
    <t>exclude</t>
  </si>
  <si>
    <t>By running hundreds of thousands of Android apps in an instrumented environment, Reardon and colleagues found apps and embedded third-party SDKs using side and covert channels to obtain device identifiers and geolocation without the permissions users had been asked to grant - circumventing the consent model entirely.</t>
  </si>
  <si>
    <t>Mobile apps / embedded SDKs</t>
  </si>
  <si>
    <t>Covert circumvention of the permission system to access identifiers and location</t>
  </si>
  <si>
    <t>Analytics / advertising SDKs</t>
  </si>
  <si>
    <t>When apps obtain data the user explicitly did not permit, through hidden channels, people's permission decisions are silently overridden and they cannot know what is actually being collected about them.</t>
  </si>
  <si>
    <t>Android ecosystem (UK-applicable)</t>
  </si>
  <si>
    <t>e.g. IMEI sent to Baidu; MAC via ioctl to Unity</t>
  </si>
  <si>
    <t>EXCLUDED per independent-claims rule (S2.4): duplicate of S016 (Reardon et al. 2019, same paper), already coded as EV-0016 (CAP-010) and EV-0017 (CAP-002). Retained as corroborating reference, not a separate evidence item.</t>
  </si>
  <si>
    <t>EV-0135</t>
  </si>
  <si>
    <t>NBER WP 23488</t>
  </si>
  <si>
    <t>Using a field experiment at MIT, Athey, Catalini and Tucker found that although people say they value privacy, small incentives led them to readily hand over friends' contact details, small navigation frictions changed how privacy-protective their choices were, and irrelevant-but-reassuring information made them less likely to avoid tracking - all contrary to their stated preferences.</t>
  </si>
  <si>
    <t>S009; S136</t>
  </si>
  <si>
    <t>Notice-and-choice / disclosure flows</t>
  </si>
  <si>
    <t>Small design factors (incentives, frictions, framing) that override stated privacy preferences</t>
  </si>
  <si>
    <t>Firms</t>
  </si>
  <si>
    <t>If trivial changes in incentives, effort and reassuring wording reliably reverse the privacy choices people say they want, then the design of the choice - not the person's considered preference - is determining the outcome.</t>
  </si>
  <si>
    <t>US field experiment; behaviour general (UK-applicable)</t>
  </si>
  <si>
    <t>MIT digital-currency experiment</t>
  </si>
  <si>
    <t>EMPIRICAL (field experiment, status 3). Corroborates S009, S136, S124. Verified.</t>
  </si>
  <si>
    <t>EV-0136</t>
  </si>
  <si>
    <t>ACM IMC '14, 305-318</t>
  </si>
  <si>
    <t>Hannak and colleagues built a methodology to detect personalization on e-commerce sites and found real evidence of price steering and price discrimination on major retail and travel sites - for example, cheaper prices for logged-in or mobile users and different price 'buckets' for different visitors - based on tracked attributes and hidden from users.</t>
  </si>
  <si>
    <t>S100; S012</t>
  </si>
  <si>
    <t>E-commerce sites (tracked attributes)</t>
  </si>
  <si>
    <t>Profiling-based differential pricing and result ordering</t>
  </si>
  <si>
    <t>E-commerce firms</t>
  </si>
  <si>
    <t>Quietly varying the prices and products shown to people on the basis of their tracked characteristics narrows the deals and options available to some users without their knowledge, shaping what they can access on terms they cannot see or contest.</t>
  </si>
  <si>
    <t>US sites; practice general (UK-applicable)</t>
  </si>
  <si>
    <t>Audit of 16 e-commerce/travel sites</t>
  </si>
  <si>
    <t>EXCLUDED per independent-claims rule (S2.4): duplicate of S046 (Hannak et al. 2014, same paper), already coded as EV-0048. Retained as corroborating reference, not a separate evidence item.</t>
  </si>
  <si>
    <t>EV-0137</t>
  </si>
  <si>
    <t>Am. Econ. Rev. 110(3):629-676</t>
  </si>
  <si>
    <t>In a randomized experiment, Allcott and colleagues paid Facebook users to deactivate their accounts for four weeks and found that doing so increased subjective well-being and produced a large, persistent reduction in their Facebook use afterwards, along with lower valuations of the platform - evidence that habitual use had exceeded what users themselves would choose.</t>
  </si>
  <si>
    <t>S106; S125</t>
  </si>
  <si>
    <t>Engagement-optimised platform</t>
  </si>
  <si>
    <t>Habit-forming engagement design sustaining use beyond endorsed levels</t>
  </si>
  <si>
    <t>When stepping away durably lowers how much people want to use a platform, it indicates the design was sustaining engagement above the level they would freely choose, working against their own self-control over their time and attention.</t>
  </si>
  <si>
    <t>US experiment; behaviour general (UK-applicable)</t>
  </si>
  <si>
    <t>Facebook deactivation RCT (2018)</t>
  </si>
  <si>
    <t>EMPIRICAL (RCT, status 3). Mixed effects (also lowered news knowledge); coded for self-control finding. Verified. RECODED CAP-006-&gt;CAP-013 (attention-capture), 2026-06-20; see Capability Change Log.</t>
  </si>
  <si>
    <t>EV-0138</t>
  </si>
  <si>
    <t>ACM CCS '19, 973-990</t>
  </si>
  <si>
    <t>In field experiments with more than 80,000 real users, Utz and colleagues showed that the position of a cookie notice, the type of choice offered, and nudging techniques such as highlighting the 'Accept' button or pre-ticking boxes substantially changed how many people consented to tracking, with most notices designed to steer toward privacy-unfriendly options.</t>
  </si>
  <si>
    <t>S124; S009</t>
  </si>
  <si>
    <t>Cookie consent notices</t>
  </si>
  <si>
    <t>Nudged consent-notice design that steers users toward accepting tracking</t>
  </si>
  <si>
    <t>Because small design choices in a consent banner reliably change whether people accept tracking, the 'consent' obtained reflects the interface's nudges rather than a free and informed decision about one's data.</t>
  </si>
  <si>
    <t>EU/GDPR field study (UK-applicable)</t>
  </si>
  <si>
    <t>Field experiments, 80,000+ users</t>
  </si>
  <si>
    <t>EMPIRICAL (field experiments, status 3); backs S124 with data. Corroborates S009. Verified.</t>
  </si>
  <si>
    <t>EV-0139</t>
  </si>
  <si>
    <t>ACM WebSci '18, 23-31</t>
  </si>
  <si>
    <t>Analysing 959,000 apps from the US and UK Google Play stores, Binns and colleagues found that most apps contain third-party tracking and that a small number of companies - led by Alphabet - dominate this tracking across services, while smartphone operating systems give users no way to block tracker-level collection.</t>
  </si>
  <si>
    <t>S085; S113</t>
  </si>
  <si>
    <t>Mobile apps (embedded trackers)</t>
  </si>
  <si>
    <t>Cross-service tracking concentrated in a few dominant firms</t>
  </si>
  <si>
    <t>Analytics / tracking companies</t>
  </si>
  <si>
    <t>When pervasive cross-service tracking is concentrated in a handful of firms that users have no means to opt out of, those firms hold a standing, asymmetric knowledge-and-power advantage over people who cannot see or limit it.</t>
  </si>
  <si>
    <t>US/UK Play Store apps (UK-applicable)</t>
  </si>
  <si>
    <t>Measurement of 959,000 apps</t>
  </si>
  <si>
    <t>EMPIRICAL (measurement audit, status 3); FIRST empirical anchor for the data-concentration -&gt; domination cluster (S085, S113). Verified.</t>
  </si>
  <si>
    <t>EV-0140</t>
  </si>
  <si>
    <t>Science 341:647-651</t>
  </si>
  <si>
    <t>On a social news site, Muchnik and colleagues randomly added a single positive or negative vote to the first comment on more than 100,000 posts and found that an initial up-vote set off accumulating 'herding' that raised final ratings by about 25% on average and made positive ratings 32% more likely, showing that visible social cues distort people's own judgments.</t>
  </si>
  <si>
    <t>S129; S091</t>
  </si>
  <si>
    <t>Aggregated social rating cues</t>
  </si>
  <si>
    <t>Display of social/popularity cues that herds individual judgments</t>
  </si>
  <si>
    <t>If seeing one early endorsement reliably pulls people's subsequent ratings upward, then the social cues a platform chooses to display can bias collective and individual judgment away from what people would conclude on their own.</t>
  </si>
  <si>
    <t>General finding (UK-applicable)</t>
  </si>
  <si>
    <t>Randomized experiment on 100,000+ posts</t>
  </si>
  <si>
    <t>EMPIRICAL (RCT, status 3). Corroborates S129. Verified.</t>
  </si>
  <si>
    <t>EV-0141</t>
  </si>
  <si>
    <t>Nat. Hum. Behav. 7(3):332-341</t>
  </si>
  <si>
    <t>In an $8.9 million, 8-month field experiment delivered through social media to 2 million persuadable voters across five 2020 battleground states, Aggarwal and colleagues found no evidence that the advertising programme changed turnout on average, detecting only small differential effects by partisan lean (a difference of about 0.7 percentage points).</t>
  </si>
  <si>
    <t>S129; S041</t>
  </si>
  <si>
    <t>Targeted social-media advertising</t>
  </si>
  <si>
    <t>Large-scale targeted political advertising aimed at mobilising/demobilising turnout</t>
  </si>
  <si>
    <t>Advertiser / campaign</t>
  </si>
  <si>
    <t>That a very large, professionally targeted advertising campaign moved turnout only marginally and differentially bounds how far ad-driven persuasion can override individual voting behaviour - an empirically demonstrated limit, not an absence, of the capability.</t>
  </si>
  <si>
    <t>Persuadable electorate</t>
  </si>
  <si>
    <t>US 2020 election; mechanism general (UK-applicable)</t>
  </si>
  <si>
    <t>2020 battleground-state field experiment</t>
  </si>
  <si>
    <t>EMPIRICAL (field experiment, status 3); opens CAP-003 -&gt; AUT-BEH. NOTE: largely null average effect, small differential effects - coded as a demonstrated LIMIT. Corroborates S129, S041. Verified.</t>
  </si>
  <si>
    <t>EV-0142</t>
  </si>
  <si>
    <t>Science 385:eadq1814</t>
  </si>
  <si>
    <t>Costello, Pennycook and Rand engaged 2,190 conspiracy believers in personalised, evidence-based dialogues with GPT-4, tailoring counterarguments to each person's stated reasons, and found the intervention reduced conspiracy belief by around 20% - an effect that persisted two months later and held even among those with deeply entrenched beliefs.</t>
  </si>
  <si>
    <t>Personalised AI dialogue</t>
  </si>
  <si>
    <t>Tailored conversational AI that durably shifts factual beliefs</t>
  </si>
  <si>
    <t>Party deploying the model</t>
  </si>
  <si>
    <t>Demonstrating that tailored AI dialogue can durably move even entrenched beliefs shows the same capability could reshape what people accept as true in directions not their own, reaching the epistemic foundations of autonomous judgment.</t>
  </si>
  <si>
    <t>RCT with 2,190 conspiracy believers</t>
  </si>
  <si>
    <t>EMPIRICAL (RCT, status 3), contemporary; belief-change (AUT-EPI) facet distinct from the AUT-DEC persuasion cluster. NOTE: beneficial use (reducing false beliefs) demonstrating the capability. Corroborates S099, S109. Verified.</t>
  </si>
  <si>
    <t>EV-0143</t>
  </si>
  <si>
    <t>ICO-CMA joint paper (2023)</t>
  </si>
  <si>
    <t>The ICO and CMA jointly set out how 'online choice architecture' - the design of websites and apps - can be used to present choices and information so as to pressurise or confuse people into providing more personal data than they would otherwise, undermining their ability to make effective, informed decisions and worsening consumer and competition outcomes.</t>
  </si>
  <si>
    <t>S124; S116</t>
  </si>
  <si>
    <t>Online choice architecture (apps/websites)</t>
  </si>
  <si>
    <t>Harmful choice-architecture design that steers data decisions</t>
  </si>
  <si>
    <t>Firms / service designers</t>
  </si>
  <si>
    <t>When the architecture of an online service is arranged to nudge and confuse people into disclosing more than they intend, their decisions about their own data reflect the design's pressure rather than their considered choice.</t>
  </si>
  <si>
    <t>United Kingdom (data protection, consumer, competition law)</t>
  </si>
  <si>
    <t>ICO-CMA harmful-design position paper</t>
  </si>
  <si>
    <t>UK-specific joint regulatory position (status 2); distinct evidence base from S124. Corroborates S124, S116. Verified.</t>
  </si>
  <si>
    <t>EV-0144</t>
  </si>
  <si>
    <t>ICO Children's Code (2020)</t>
  </si>
  <si>
    <t>The ICO's statutory Children's Code requires online services likely to be accessed by under-18s to default to high-privacy settings, switch profiling off by default, and refrain from using nudge techniques that lead or encourage children to provide unnecessary personal data or to weaken their privacy protections, recognising that such design exploits children's vulnerability.</t>
  </si>
  <si>
    <t>S104; S124</t>
  </si>
  <si>
    <t>Services likely accessed by children</t>
  </si>
  <si>
    <t>Nudge and profiling design directed at children</t>
  </si>
  <si>
    <t>Online service providers</t>
  </si>
  <si>
    <t>Design that nudges children to give up data or weaken their protections, and profiles them by default, steers the choices of users who are least equipped to recognise or resist it, compromising their developing capacity for autonomous decisions about their data.</t>
  </si>
  <si>
    <t>Children (under 18)</t>
  </si>
  <si>
    <t>United Kingdom (DPA 2018 / UK GDPR)</t>
  </si>
  <si>
    <t>Statutory code; ICO reviews found widespread non-compliance</t>
  </si>
  <si>
    <t>UK-specific statutory code (status 2); rare TG-CHILD item. Corroborates S104, S124. Verified.</t>
  </si>
  <si>
    <t>EV-0145</t>
  </si>
  <si>
    <t>Attention &amp; will (esp. pp. 80-87)</t>
  </si>
  <si>
    <t>Williams argues that technologies whose design goal is to capture and exploit attention corrupt the will - producing akrasia, a weakness of will - so that the will becomes too dysfunctional to pursue a person's own higher goals and values, eroding self-directedness and the cognitive autonomy on which other freedoms depend.</t>
  </si>
  <si>
    <t>S106; S135; S063</t>
  </si>
  <si>
    <t>Engagement-optimised media / persuasive design</t>
  </si>
  <si>
    <t>Persuasive design (feeds, notifications, variable rewards) optimised to capture attention</t>
  </si>
  <si>
    <t>Platforms / attention economy</t>
  </si>
  <si>
    <t>When design is optimised to capture and hold attention, the will is increasingly occupied by ends set by the technology rather than by the person, so action drifts from one's own considered goals - a direct erosion of volitional self-government.</t>
  </si>
  <si>
    <t>General (UK-applicable; author UK-based)</t>
  </si>
  <si>
    <t>Conceptual analysis (former Google ad strategist)</t>
  </si>
  <si>
    <t>THEORETICAL (status 1); anchors the attention-economy / AUT-VOL strand (corruption of the will). Distinct from consent dark-patterns S031/S032; complements engagement items S063/S106/S135. Verified. RECODED CAP-009-&gt;CAP-013 (attention-capture), 2026-06-20; see Capability Change Log.</t>
  </si>
  <si>
    <t>EV-0146</t>
  </si>
  <si>
    <t>Introduction (p. 2); predictive-policing chapters</t>
  </si>
  <si>
    <t>Ferguson documents how data-driven policing - predictive policing, 'heat lists' of targets, intelligence-driven prosecution and social-media scraping - is adopted as ostensibly race-neutral and objective, yet concentrates surveillance and police intervention on minority and disadvantaged communities, raising the risk of racial discrimination and distorted constitutional protections.</t>
  </si>
  <si>
    <t>S123; S027; S108</t>
  </si>
  <si>
    <t>Law-enforcement data systems</t>
  </si>
  <si>
    <t>Predictive policing, heat lists, intelligence-driven prosecution, social-media scraping</t>
  </si>
  <si>
    <t>Police / state</t>
  </si>
  <si>
    <t>Predictive systems presented as objective concentrate police surveillance and intervention on already-marginalised communities, subjecting them to an asymmetric, hard-to-contest exercise of state power that they have little capacity to resist or shape.</t>
  </si>
  <si>
    <t>Racial / marginalised communities</t>
  </si>
  <si>
    <t>United States (mechanism general)</t>
  </si>
  <si>
    <t>Examples from reporting and case law (e.g., LAPD; Chicago heat list)</t>
  </si>
  <si>
    <t>EMPIRICAL-QUALITATIVE book (status 2; examples from reporting &amp; case law); canonical predictive-policing account, distinct from recidivism scoring S123 and welfare automation S027. conf M (efficacy/harm evidence contested; author cautiously optimistic). Corroborates S123, S027, S108. Verified.</t>
  </si>
  <si>
    <t>EV-0147</t>
  </si>
  <si>
    <t>On 'time on device' &amp; the machine zone</t>
  </si>
  <si>
    <t>Drawing on fifteen years of ethnographic field research in Las Vegas, Schull shows how electronic gambling machines are deliberately engineered - through variable-reward payoff schedules, ergonomics and 'ambience management', all optimised for maximum 'time on device' - to draw players into a trancelike 'machine zone' in which they play not to win but simply to keep playing, overriding their own self-control to the point of exhaustion.</t>
  </si>
  <si>
    <t>S135; S145; S106</t>
  </si>
  <si>
    <t>Electronic gambling machines</t>
  </si>
  <si>
    <t>Variable-reward schedules, ergonomics and ambience optimised for 'time on device'</t>
  </si>
  <si>
    <t>Gambling operators</t>
  </si>
  <si>
    <t>Machines tuned to sustain the 'zone' engineer a feedback loop of continuous play that overrides players' self-control, so engagement is driven by the design rather than the person's own ends - the paradigm case of engineered compulsion.</t>
  </si>
  <si>
    <t>Machine gamblers</t>
  </si>
  <si>
    <t>United States (Las Vegas); mechanism general (UK-applicable)</t>
  </si>
  <si>
    <t>15-year ethnography (Las Vegas)</t>
  </si>
  <si>
    <t>EMPIRICAL-QUALITATIVE ethnography (status 2; mapped by analogy from gambling machines to platform engagement design, hence conf M). Foundational empirical anchor for CAP-013. Corroborates S135, S145, S106. Verified.</t>
  </si>
  <si>
    <t>EV-0148</t>
  </si>
  <si>
    <t>Introduction &amp; ch. 1 (captology)</t>
  </si>
  <si>
    <t>Fogg, who coined the term 'captology' (computers as persuasive technologies), sets out how websites, software and mobile devices can be deliberately designed to change people's attitudes and behaviour, establishing persuasive design as a systematic discipline drawing on operant conditioning and social-influence principles.</t>
  </si>
  <si>
    <t>S145; S117</t>
  </si>
  <si>
    <t>Websites, software, mobile devices</t>
  </si>
  <si>
    <t>Captology: designing interactive technology to persuade and change behaviour</t>
  </si>
  <si>
    <t>Technology designers / persuaders</t>
  </si>
  <si>
    <t>Establishing that interactive technology can be deliberately built to change attitudes and behaviour names the capability whose later, scaled application critics identify as eroding autonomous behaviour - the design discipline behind engagement-maximising systems.</t>
  </si>
  <si>
    <t>General users</t>
  </si>
  <si>
    <t>General (UK-applicable)</t>
  </si>
  <si>
    <t>Foundational framework (Stanford Persuasive Tech Lab; 9 years' research)</t>
  </si>
  <si>
    <t>THEORETICAL foundation (status 1). NOTE: Fogg frames persuasive design as neutral/beneficial (Ch. 9 on ethics); autonomy-harm mapping reflects the critical literature, not Fogg's stance - hence conf M. Establishes CAP-013's origin. Corroborates S145, S117. Verified.</t>
  </si>
  <si>
    <t>EV-0149</t>
  </si>
  <si>
    <t>Introduction; conclusion (approx. p. 341)</t>
  </si>
  <si>
    <t>Wu traces how the capture and resale of human attention became a defining industry - from 1830s penny papers through radio and television to Google and Facebook - and argues that the steady expansion of attention-harvesting leaves people's attention captive and risks lives that are less their own than they realise.</t>
  </si>
  <si>
    <t>S145; S057</t>
  </si>
  <si>
    <t>Advertising-supported media / platforms</t>
  </si>
  <si>
    <t>Capture and resale of human attention (the 'attention merchant' business model)</t>
  </si>
  <si>
    <t>Advertisers</t>
  </si>
  <si>
    <t>An industry organised to capture and resell attention progressively colonises waking life, so that what people attend to is increasingly set by commercial competition for their eyes rather than by their own purposes.</t>
  </si>
  <si>
    <t>Critical history (1830s-present)</t>
  </si>
  <si>
    <t>THEORETICAL / historical (status 1; popular critical history, autonomy framing partly implicit - conf M). Macro/political-economy framing for CAP-013. Corroborates S145, S057. Verified.</t>
  </si>
  <si>
    <t>EV-0150</t>
  </si>
  <si>
    <t>PETS 2010, pp. 1-18 (entropy results)</t>
  </si>
  <si>
    <t>Collecting fingerprints from 470,161 browsers through the Panopticlick experiment, Eckersley found that the configuration details browsers routinely transmit - User-Agent string, plugins, fonts, screen resolution - carry at least 18.1 bits of entropy, so that 83.6% of browsers (and 94.2% of those with Flash or Java) were uniquely identifiable without any cookie.</t>
  </si>
  <si>
    <t>S009; S030; S029</t>
  </si>
  <si>
    <t>Web browsers</t>
  </si>
  <si>
    <t>Browser fingerprinting via User-Agent, plugins, fonts, screen resolution</t>
  </si>
  <si>
    <t>Websites / third-party trackers</t>
  </si>
  <si>
    <t>Because browsers leak enough configuration detail to be uniquely identified without cookies, people can be tracked persistently and covertly even when they delete cookies or otherwise try to avoid it - identification they cannot see or refuse.</t>
  </si>
  <si>
    <t>General web users</t>
  </si>
  <si>
    <t>Panopticlick study (470,161 browsers; 83.6-94.2% unique)</t>
  </si>
  <si>
    <t>EMPIRICAL (measurement, status 3); canonical fingerprinting study, foundational for covert CAP-001 'ID collection'. Corroborates S009, S030, S029. Verified.</t>
  </si>
  <si>
    <t>EV-0151</t>
  </si>
  <si>
    <t>ICO MPN (2018); breach disclosed Sept 2017</t>
  </si>
  <si>
    <t>Equifax, a credit reference agency holding identity and financial data on most adults, suffered a 2017 breach exposing around 147.9 million people worldwide - including about 15.2 million UK records - after leaving a known vulnerability unpatched; the ICO found it had failed to protect UK consumers' personal data and imposed the maximum penalty then available.</t>
  </si>
  <si>
    <t>S152; S048; S081</t>
  </si>
  <si>
    <t>Credit reference agency (consumer database)</t>
  </si>
  <si>
    <t>Mass aggregation of identity/financial data; breach via unpatched vulnerability</t>
  </si>
  <si>
    <t>Attackers / unauthorised third parties</t>
  </si>
  <si>
    <t>People who never chose to deal with the bureau had their identity data aggregated and then exposed by its security failure, leaving them exposed to identity-theft risk they could neither prevent nor escape - harm flowing from an entity wholly outside their control.</t>
  </si>
  <si>
    <t>General public / consumers</t>
  </si>
  <si>
    <t>United Kingdom (ICO) and United States (FTC/CFPB)</t>
  </si>
  <si>
    <t>2017 Equifax breach (147.9m global; 15.2m UK); ICO penalty 2018</t>
  </si>
  <si>
    <t>UK-specific regulatory case (status 2); the canonical identity-data breach and FIRST use of TM-BREACH. Corroborates S152, S048, S081. FTC/CFPB settlement (2019, up to $700m) and FCA fine corroborate. Verified.</t>
  </si>
  <si>
    <t>EV-0152</t>
  </si>
  <si>
    <t>Tex. L. Rev. 96:737 (risk &amp; anxiety)</t>
  </si>
  <si>
    <t>Solove and Citron argue that data breaches inflict real harm along two dimensions that courts have struggled to recognise: the risk of future identity theft or fraud created by the exposure, and the anxiety people reasonably experience about that risk - harms that exist even before any data is misused.</t>
  </si>
  <si>
    <t>S151; S058</t>
  </si>
  <si>
    <t>Data breaches generally</t>
  </si>
  <si>
    <t>Legal theory of breach harms (risk of future identity theft + anxiety)</t>
  </si>
  <si>
    <t>Unauthorised third parties</t>
  </si>
  <si>
    <t>Once identity data is exposed, people are left bearing a risk of future theft and a justified anxiety they did not choose and cannot dispel, subordinated to the security failures of whoever held their data.</t>
  </si>
  <si>
    <t>United States (theory; UK-applicable)</t>
  </si>
  <si>
    <t>Legal-theoretical analysis (Texas Law Review)</t>
  </si>
  <si>
    <t>THEORETICAL legal account (status 1); the harm theory behind breaches, pairs with S151. Corroborates S151, S058. Verified.</t>
  </si>
  <si>
    <t>EV-0153</t>
  </si>
  <si>
    <t>ACM CCS '17 (datasets &amp; risk tables)</t>
  </si>
  <si>
    <t>In the first longitudinal measurement of the underground credential-theft economy, Thomas and colleagues identified 1.9 billion username and password pairs exposed through data breaches and traded on blackmarket forums over a single year, and showed that between 7% and 25% of stolen passwords let an attacker obtain the victim's valid email credentials - and thus control of their online identity.</t>
  </si>
  <si>
    <t>S151; S152</t>
  </si>
  <si>
    <t>Online services / authentication</t>
  </si>
  <si>
    <t>Underground-market measurement: credential leaks, phishing kits, keyloggers; forums + paste sites</t>
  </si>
  <si>
    <t>Black-market actors / account hijackers</t>
  </si>
  <si>
    <t>Credentials exposed in breaches and resold on black markets give unaccountable actors the means to take over victims' online identities, with widespread password reuse extending the reach of any single leak across a person's accounts.</t>
  </si>
  <si>
    <t>General public / account holders</t>
  </si>
  <si>
    <t>Global (UK-applicable)</t>
  </si>
  <si>
    <t>1.9 billion credentials traded on blackmarket forums (Mar 2016-Mar 2017)</t>
  </si>
  <si>
    <t>EMPIRICAL measurement (status 3); the 'hacked and sold' anchor, uses TM-BREACH. Corroborates S151, S152. Verified.</t>
  </si>
  <si>
    <t>EV-0154</t>
  </si>
  <si>
    <t>2026-07-02</t>
  </si>
  <si>
    <t>FTC Matter 2023169 (complaint &amp; order)</t>
  </si>
  <si>
    <t>The FTC found that BetterHelp, an online counselling service, shared consumers' sensitive mental-health information - email and IP addresses and answers to health questionnaires, including whether they had been in therapy - with Facebook, Snapchat, Criteo and Pinterest for advertising and to build lookalike audiences, despite promising to keep it private; the order banned the practice and returned $7.8 million to consumers.</t>
  </si>
  <si>
    <t>S080; S110; S048</t>
  </si>
  <si>
    <t>Online mental-health counselling app</t>
  </si>
  <si>
    <t>Sharing sensitive health-questionnaire data with advertising platforms</t>
  </si>
  <si>
    <t>Advertising platforms (Facebook, Snapchat, etc.)</t>
  </si>
  <si>
    <t>People disclosing their most sensitive health information in a moment of vulnerability had it passed to ad platforms and used to target them and people like them - an exploitation of intimate data by a commercial ecosystem they had no way to see or control.</t>
  </si>
  <si>
    <t>People seeking mental-health care</t>
  </si>
  <si>
    <t>United States (FTC); mechanism general</t>
  </si>
  <si>
    <t>FTC action (~800,000 consumers; $7.8m)</t>
  </si>
  <si>
    <t>ADJACENT (health-data commercialisation); regulatory case (status 2); fills thin TG-HEALTH; illustrates HIPAA gap. Corroborates S080, S110, S048. Verified.</t>
  </si>
  <si>
    <t>EV-0155</t>
  </si>
  <si>
    <t>Brit. J. Sociol. 51(4):605-622</t>
  </si>
  <si>
    <t>Haggerty and Ericson describe a 'surveillant assemblage' in which once-separate surveillance systems converge to abstract people from their settings into discrete flows of data that are reassembled elsewhere as virtual 'data doubles', transforming the purposes of surveillance and the meaning of privacy.</t>
  </si>
  <si>
    <t>S085; S107; S094</t>
  </si>
  <si>
    <t>Converging surveillance systems</t>
  </si>
  <si>
    <t>Convergence of data flows into reassembled 'data doubles'</t>
  </si>
  <si>
    <t>Surveillance institutions (assemblage)</t>
  </si>
  <si>
    <t>When people are abstracted into data doubles assembled and acted upon by a convergence of systems they cannot see, decisions about them are made by an opaque assemblage rather than by themselves - the structural condition of domination the later capabilities instantiate.</t>
  </si>
  <si>
    <t>General population</t>
  </si>
  <si>
    <t>General (UK-applicable; UK authors/journal)</t>
  </si>
  <si>
    <t>Foundational social theory (Deleuze/Guattari)</t>
  </si>
  <si>
    <t>ADJACENT/FOUNDATIONAL surveillance theory (status 1); the 'data double' lens underpinning the aggregation/profiling cluster; autonomy mapping interpretive (conf M). Corroborates S085, S107, S094. Verified.</t>
  </si>
  <si>
    <t>EV-0156</t>
  </si>
  <si>
    <t>ICO/OPC joint investigation (2025)</t>
  </si>
  <si>
    <t>A five-month credential-stuffing attack on 23andMe, using passwords leaked from other breaches, exposed the genetic, ancestry and health data of about 6.9 million people through the DNA Relatives feature, after which the stolen data was offered for sale on a dark-web forum in lists curated to target users of Ashkenazi Jewish and Chinese descent.</t>
  </si>
  <si>
    <t>S151; S153; S080</t>
  </si>
  <si>
    <t>Direct-to-consumer genetic-testing service</t>
  </si>
  <si>
    <t>Credential stuffing then scraping of linked genetic relatives; dark-web sale</t>
  </si>
  <si>
    <t>Attackers / dark-web buyers</t>
  </si>
  <si>
    <t>Genetic identity - immutable and shared with relatives who never consented - was exposed and sold in ethnically curated lists, exposing people and their families to targeting they can neither change nor escape, an especially durable form of subjection.</t>
  </si>
  <si>
    <t>Users of Ashkenazi Jewish / Chinese descent</t>
  </si>
  <si>
    <t>Global (UK ~155,600 affected; ICO fine 2.31m GBP)</t>
  </si>
  <si>
    <t>2023 breach; ~6.9m affected; data sold on dark web</t>
  </si>
  <si>
    <t>ADJACENT (genetic data); regulatory case (status 2); extends identity/breach cluster, adds ethnic targeting (TG-PROT) and reinforces HIPAA gap; uses TM-BREACH. Corroborates S151, S153, S080. Verified.</t>
  </si>
  <si>
    <t>EV-0157</t>
  </si>
  <si>
    <t>ACM FAT* 2020, pp. 131-141</t>
  </si>
  <si>
    <t>Auditing 330,925 videos across 349 channels and more than 72 million comments, Ribeiro and colleagues found that YouTube users consistently migrated over time from milder to more extreme political content, with most consumers of Alt-right material having previously engaged with gateway 'Alt-lite' and 'Intellectual Dark Web' channels.</t>
  </si>
  <si>
    <t>S125; S060; S053</t>
  </si>
  <si>
    <t>Video recommendation platform</t>
  </si>
  <si>
    <t>Algorithmic recommendation and user migration toward extreme content</t>
  </si>
  <si>
    <t>If the information environment systematically channels attention from milder toward more extreme content, the range of views a person encounters is progressively narrowed and skewed, shaping their beliefs in directions they did not choose.</t>
  </si>
  <si>
    <t>Audit of YouTube user migration (2019-2020)</t>
  </si>
  <si>
    <t>ADJACENT (recommender radicalization); empirical audit (status 3) but CONTESTED - later work disputes the algorithm's causal role, hence conf M. Corroborates S125, S060, S053. Verified.</t>
  </si>
  <si>
    <t>EV-0158</t>
  </si>
  <si>
    <t>Citizen Lab Report No. 113 (2018)</t>
  </si>
  <si>
    <t>Citizen Lab tracked NSO Group's Pegasus spyware to operations in 45 countries; once a target is induced to click an exploit link, Pegasus silently compromises the phone and exfiltrates messages, calls, contacts and passwords and can switch on the camera and microphone, with several operators linked to the targeting of journalists, activists and dissidents.</t>
  </si>
  <si>
    <t>S058; S038; S071</t>
  </si>
  <si>
    <t>Mobile phones (zero-/one-click exploit)</t>
  </si>
  <si>
    <t>Covert total device compromise and exfiltration via commercial spyware</t>
  </si>
  <si>
    <t>Government operators</t>
  </si>
  <si>
    <t>Total, covert capture of a person's device and communications by an unaccountable state-commercial apparatus leaves targeted journalists and dissidents wholly exposed and subject to a power they cannot see, resist or contest - and chills others.</t>
  </si>
  <si>
    <t>Journalists / activists / dissidents</t>
  </si>
  <si>
    <t>45 countries (global; UK-applicable)</t>
  </si>
  <si>
    <t>Citizen Lab measurement; documented targeting of civil society</t>
  </si>
  <si>
    <t>ADJACENT (commercial spyware / surveillance-for-hire); technical audit (status 2); adds the spyware industry and TG-POL. Corroborates S058, S038, S071. Verified.</t>
  </si>
  <si>
    <t>EV-0159</t>
  </si>
  <si>
    <t>ECLI:NL:RBDHA:2020:1878</t>
  </si>
  <si>
    <t>The Hague District Court ordered the Dutch government to stop using SyRI, a secret system that combined data from many government databases to score citizens' risk of committing benefits or tax fraud, holding that it violated the right to private life under Article 8 ECHR; the court was troubled that it was deployed in poorer neighbourhoods and that people could neither know nor challenge their risk scores.</t>
  </si>
  <si>
    <t>S027; S123; S146</t>
  </si>
  <si>
    <t>Government databases (welfare/tax)</t>
  </si>
  <si>
    <t>Cross-database risk scoring of citizens for fraud</t>
  </si>
  <si>
    <t>Government</t>
  </si>
  <si>
    <t>Being secretly scored for fraud risk by an opaque system one cannot see or contest, and targeted by neighbourhood, subjects citizens - especially the poor - to an arbitrary state power they have no means to answer, the core of domination.</t>
  </si>
  <si>
    <t>Welfare recipients (poorer neighbourhoods)</t>
  </si>
  <si>
    <t>Netherlands (ECHR Art. 8; UK-relevant)</t>
  </si>
  <si>
    <t>Hague District Court judgment (2020); system halted</t>
  </si>
  <si>
    <t>Public-sector predictive scoring; court ruling (status 2), distinct evidence type + European jurisdiction. Corroborates S027, S123, S146. Verified. [2026-07-02: source type recoded from Regulatory / legal to Case law / enforcement (SRC-CE) for consistency with S173 (Bridges). Decision rule: adjudicated court/commission proceedings and their reasoning = SRC-CE; regulator reports, penalty notices, guidance and legislation = SRC-RL.]</t>
  </si>
  <si>
    <t>EV-0160</t>
  </si>
  <si>
    <t>Amato (2019); Royal Commission (2023)</t>
  </si>
  <si>
    <t>Australia's Robodebt scheme used automated 'income averaging' of annual tax data to issue around 526,000 debt notices to welfare recipients and reversed the onus onto them to disprove the debts; the Federal Court ruled the averaging method unlawful and a Royal Commission found the scheme 'crude, cruel and unlawful', with the government repaying more than A$1.8 billion.</t>
  </si>
  <si>
    <t>S027; S159; S119</t>
  </si>
  <si>
    <t>Government databases (tax/welfare matching)</t>
  </si>
  <si>
    <t>Automated income-averaging to compute and recover debts</t>
  </si>
  <si>
    <t>An automated system that manufactured false debts and forced vulnerable recipients to disprove them - garnishing income and setting debt collectors on them - stripped away the economic security and life chances of people least able to absorb the loss.</t>
  </si>
  <si>
    <t>Welfare recipients</t>
  </si>
  <si>
    <t>Australia (mechanism general; UK-relevant)</t>
  </si>
  <si>
    <t>~526,000 illegitimate debts; &gt;A$1.8bn repaid</t>
  </si>
  <si>
    <t>Public-sector ADM; unlawful scheme documented by court + Royal Commission (status 2); distinct mechanism (debt-recovery) + jurisdiction. Corroborates S027, S159, S119. Verified. [2026-07-02: source type recoded from Regulatory / legal to Case law / enforcement (SRC-CE) for consistency with S173 (Bridges). Decision rule: adjudicated court/commission proceedings and their reasoning = SRC-CE; regulator reports, penalty notices, guidance and legislation = SRC-RL.]</t>
  </si>
  <si>
    <t>EV-0161</t>
  </si>
  <si>
    <t>USENIX Security 2022, pp. 571-588</t>
  </si>
  <si>
    <t>Burgess and colleagues conducted the first technical analysis of four remote-proctoring suites used in US law-school and bar exams, finding that their anti-cheating measures could be trivially bypassed, that the software installed highly privileged services with full access to the device, and that facial-detection classifiers risked flagging darker-skinned test-takers more readily.</t>
  </si>
  <si>
    <t>S067; S071</t>
  </si>
  <si>
    <t>Remote-proctoring software (exam-takers' devices)</t>
  </si>
  <si>
    <t>Webcam/behaviour monitoring and facial detection during exams</t>
  </si>
  <si>
    <t>Institutions / proctoring vendors</t>
  </si>
  <si>
    <t>Being watched and biometrically flagged by invasive software with full control of one's device during a high-stakes exam - with darker-skinned candidates flagged more readily and little recourse to contest it - subjects test-takers to a powerful, error-prone gaze they cannot refuse.</t>
  </si>
  <si>
    <t>Exam-takers (esp. darker-skinned/disabled)</t>
  </si>
  <si>
    <t>Reverse-engineering of four proctoring suites</t>
  </si>
  <si>
    <t>Educational surveillance domain; empirical technical study (status 3). Corroborates S067, S071. Verified.</t>
  </si>
  <si>
    <t>EV-0162</t>
  </si>
  <si>
    <t>Psychol. Sci. Public Interest 20(1):1-68</t>
  </si>
  <si>
    <t>Reviewing the scientific evidence across the six most-studied emotion categories, Barrett and colleagues conclude that a person's emotional state cannot be reliably inferred from their facial movements, because the mapping between expressions and emotions is highly variable and context-dependent - directly challenging the premise of emotion-recognition systems used in hiring, security, education and advertising.</t>
  </si>
  <si>
    <t>Facial-analysis / emotion-AI systems</t>
  </si>
  <si>
    <t>Inferring emotion from facial movements via computer vision</t>
  </si>
  <si>
    <t>Employers / security / advertisers</t>
  </si>
  <si>
    <t>Being judged and acted upon through a scientifically invalid inference about one's inner states - in hiring, security or education - subjects people to consequential decisions they can neither see nor contest, and that may simply be wrong.</t>
  </si>
  <si>
    <t>General (mechanism; UK-applicable)</t>
  </si>
  <si>
    <t>Scientific review of empirical evidence</t>
  </si>
  <si>
    <t>Scientific critique of emotion-AI's premise; review of empirical evidence (status 2); autonomy harm = deployment of invalid emotion inference in consequential contexts (conf M). Corroborates S083 (McStay). Verified.</t>
  </si>
  <si>
    <t>EV-0163</t>
  </si>
  <si>
    <t>Against Prediction, ch. 5 (the ratchet effect)</t>
  </si>
  <si>
    <t>Harcourt argues that actuarial prediction in policing and punishment is both inefficient and unjust: because a profiled group is searched more, more of its offending is detected, which feeds back into the data and ratchets up the group's representation in the carceral system - a self-reinforcing 'ratchet effect' that distorts justice and falls hardest on racial and class minorities, violating the principle that similar offenders should face similar odds of being caught regardless of race or class.</t>
  </si>
  <si>
    <t>S123; S146; S119</t>
  </si>
  <si>
    <t>Policing / criminal punishment</t>
  </si>
  <si>
    <t>Actuarial risk prediction directing searches and sentencing</t>
  </si>
  <si>
    <t>Law enforcement / courts</t>
  </si>
  <si>
    <t>Members of profiled groups face compounding scrutiny and punishment driven by a self-confirming prediction they cannot contest, foreclosing their life chances and entrenching their position in the carceral system regardless of individual conduct.</t>
  </si>
  <si>
    <t>Racial / class minorities</t>
  </si>
  <si>
    <t>United States (mechanism general; UK-applicable)</t>
  </si>
  <si>
    <t>Mathematical analysis + racial-profiling case study</t>
  </si>
  <si>
    <t>Critique of actuarial prediction; the 'ratchet' feedback harm (status 2). Corroborates S123, S146, S119. Verified.</t>
  </si>
  <si>
    <t>EV-0164</t>
  </si>
  <si>
    <t>Am. Sociol. Rev. 82(5):977-1008</t>
  </si>
  <si>
    <t>Drawing on observations and interviews inside the LAPD, Brayne shows that adopting big-data analytics both amplifies and transforms police surveillance: discretionary suspicion is quantified into risk scores, data are used predictively rather than reactively, automated alerts allow far more people to be surveilled, and the threshold for inclusion in police databases drops to sweep in people with no direct police contact - while awareness of this surveillance leads marginalised people to avoid hospitals, banks and other institutions.</t>
  </si>
  <si>
    <t>S146; S027; S155</t>
  </si>
  <si>
    <t>Police big-data systems (e.g., Palantir)</t>
  </si>
  <si>
    <t>Aggregation, risk scoring and predictive dragnet across merged data</t>
  </si>
  <si>
    <t>Law enforcement</t>
  </si>
  <si>
    <t>As surveillance expands silently to include those never suspected of anything and becomes harder to see or contest, whole communities are governed through opaque data systems, and some withdraw from essential services to avoid the gaze - a deep asymmetry of power.</t>
  </si>
  <si>
    <t>Marginalised / over-policed communities</t>
  </si>
  <si>
    <t>United States (LAPD; model generalisable)</t>
  </si>
  <si>
    <t>LAPD ethnography (interviews + observation, n=75)</t>
  </si>
  <si>
    <t>Empirical ethnography of big-data policing (status 3); aggregation -&gt; domination; system-avoidance chilling noted. Corroborates S146, S027, S155. Verified.</t>
  </si>
  <si>
    <t>EV-0165</t>
  </si>
  <si>
    <t>Significance 13(5):14-19</t>
  </si>
  <si>
    <t>Applying a predictive-policing algorithm to Oakland's drug-arrest records, Lum and Isaac find that although drug use is roughly evenly distributed across the city, the model repeatedly directs police back to the same poor and minority neighbourhoods - targeting Black residents at about twice the rate of white residents - in a self-reinforcing feedback loop, because the system predicts future policing rather than future crime.</t>
  </si>
  <si>
    <t>S146; S123; S119</t>
  </si>
  <si>
    <t>Predictive-policing system (PredPol)</t>
  </si>
  <si>
    <t>Location risk prediction trained on biased arrest data</t>
  </si>
  <si>
    <t>Communities already over-policed are sent still more police by a system that mistakes its own past activity for crime, subjecting residents to escalating, self-justifying surveillance they have no way to interrupt.</t>
  </si>
  <si>
    <t>Black / minority neighbourhoods</t>
  </si>
  <si>
    <t>United States (Oakland; mechanism general)</t>
  </si>
  <si>
    <t>Simulation on Oakland police data (PredPol algorithm)</t>
  </si>
  <si>
    <t>Empirical demonstration of predictive-policing feedback loops (status 3). Corroborates S146, S123, S119; cf. Richardson et al. 2019. Verified.</t>
  </si>
  <si>
    <t>EV-0166</t>
  </si>
  <si>
    <t>Ofcom age assurance guidance (Jan 2025); Online Safety Act 2023</t>
  </si>
  <si>
    <t>Under the Online Safety Act, Ofcom's 2025 guidance requires platforms hosting adult content to use 'highly effective' age assurance and lists facial age estimation - inferring a person's age from a biometric face scan - among accepted methods, so that access to lawful content is conditioned on submitting biometric data; assessments note this normalises sensitive biometric processing, provides only an estimate with accuracy and bias limits, and has led some services to withdraw from the UK.</t>
  </si>
  <si>
    <t>S071; S067; S142</t>
  </si>
  <si>
    <t>Online platforms (age gates)</t>
  </si>
  <si>
    <t>Inferring age from a facial biometric scan to gate access</t>
  </si>
  <si>
    <t>Platforms / age-assurance vendors</t>
  </si>
  <si>
    <t>To reach lawful content or services people - adults included - must submit a biometric face scan, conditioning everyday access on biometric processing, normalising such checks, and risking wrongful exclusion where the estimate errs.</t>
  </si>
  <si>
    <t>General public (incl. adults)</t>
  </si>
  <si>
    <t>United Kingdom (Online Safety Act)</t>
  </si>
  <si>
    <t>Ofcom-mandated age assurance (enforcement from 25 Jul 2025)</t>
  </si>
  <si>
    <t>CONTEMPORARY ADD (AI age estimation): UK-specific regulatory regime (status 2). Protective child-safety purpose; autonomy cost is a contested side-effect (conf M). Corroborates S071, S067, S142. Verified.</t>
  </si>
  <si>
    <t>EV-0167</t>
  </si>
  <si>
    <t>Internet Policy Review 6(2), DOI 10.14763/2017.2.692</t>
  </si>
  <si>
    <t>In a first-of-its-kind comparative survey built around hypothetical scenarios, respondents reported they would be significantly less likely to speak, share, search and engage online under several surveillance and regulatory-enforcement scenarios - including surveillance and personally targeted enforcement by private/corporate actors, not only the state - with the strength of chilling differing across scenarios and populations.</t>
  </si>
  <si>
    <t>S013; S028; S038; S042</t>
  </si>
  <si>
    <t>Pervasive online surveillance / enforcement (scenarios)</t>
  </si>
  <si>
    <t>Awareness of monitoring and legal-threat enforcement, incl. by private actors</t>
  </si>
  <si>
    <t>Awareness that one's online activity is watched and may trigger enforcement - including by private/corporate actors - deters people from lawful speech, sharing and information-seeking, so behaviour conforms to the watcher rather than the person's own ends.</t>
  </si>
  <si>
    <t>US survey (comparative design; UK-applicable)</t>
  </si>
  <si>
    <t>Comparative scenario survey (state vs private surveillance vs DMCA-style notices)</t>
  </si>
  <si>
    <t>Empirically informed (status 2): behavioural-intention survey under hypothetical scenarios. Extends the chilling cluster (S013/S028/S038/S042) beyond state-surveillance analogs to PRIVATE/corporate surveillance and enforcement - strengthening the commercial relevance of AUT-BEH. Cited as key AUT-BEH source in CV SS1 but previously missing from the log. Verified.</t>
  </si>
  <si>
    <t>EV-0168</t>
  </si>
  <si>
    <t>[2020] EWCA Civ 1058 (judgment, 11 Aug 2020)</t>
  </si>
  <si>
    <t>The Court of Appeal unanimously held that South Wales Police's live facial recognition - which indiscriminately captured and processed the biometrics of everyone passing the cameras, scanning up to 50 faces per second against watchlists - was unlawful: the legal framework contained 'fundamental deficiencies', leaving officers too broad a discretion over who could be watchlisted and where the technology was deployed, the data protection impact assessment was deficient, and the force had not discharged the public sector equality duty by checking the software for race or sex bias.</t>
  </si>
  <si>
    <t>S071; S079</t>
  </si>
  <si>
    <t>Real-time biometric matching of passers-by against police watchlists</t>
  </si>
  <si>
    <t>Indiscriminate biometric identification of everyone in view, governed by a framework that leaves the watchers' discretion effectively unbounded, subjects the public to an arbitrary, hard-to-contest power - the deficiency the court held made the interference with Art 8 unlawful.</t>
  </si>
  <si>
    <t>United Kingdom (England &amp; Wales)</t>
  </si>
  <si>
    <t>SWP 'AFR Locate' deployments 2017-2020; first successful legal challenge to police LFR</t>
  </si>
  <si>
    <t>UK case law (status 2); FIRST use of source type SRC-CE (Case law / enforcement), previously defined in CV SS4 but unused. Judicial findings of fact on a distinct force/deployments from S071 (Essex/MPS study), so a separate evidence item with S071 as corroborating. Verified.</t>
  </si>
  <si>
    <t>EV-0169</t>
  </si>
  <si>
    <t>JAMA Netw Open 5(6):e2217641</t>
  </si>
  <si>
    <t>Coding the apps actually played by a community sample of 160 children aged 3 to 5, the study found manipulative design was the norm: about four in five apps contained features such as parasocial pressure from in-app characters, fabricated time pressure, navigation constraints, and attractive lures to extend play or prompt purchases, alongside advertising pressure - and children from lower-socioeconomic households played apps with more manipulative design.</t>
  </si>
  <si>
    <t>S066; S142; S104</t>
  </si>
  <si>
    <t>Children's mobile apps (interface design)</t>
  </si>
  <si>
    <t>Manipulative interface design (parasocial pressure, time pressure, navigation constraints, lures)</t>
  </si>
  <si>
    <t>App developers / advertisers</t>
  </si>
  <si>
    <t>Design features exploit young children's developmental susceptibility - attachment to characters, limited impulse control - to steer them toward purchases, ad viewing and prolonged play they did not choose, with exposure skewed toward already-disadvantaged children.</t>
  </si>
  <si>
    <t>Children aged 3-5 (esp. lower-SES households)</t>
  </si>
  <si>
    <t>US sample (apps distributed globally; UK-applicable)</t>
  </si>
  <si>
    <t>Cross-sectional coding of apps played by 160 children aged 3-5</t>
  </si>
  <si>
    <t>Empirically informed (status 2, mirroring the S010 audit logic: designs directly observed, downstream choice change a short step). Empirical anchor for the TG-CHILD x CAP-009 cell previously carried by regulatory (S142) and collection-side (S066) items. Play-extension lures also speak to CAP-013; coded CAP-009 for the transactional/steering focus. Verified.</t>
  </si>
  <si>
    <t>EV-0170</t>
  </si>
  <si>
    <t>Proc. ACM HCI 6(CSCW2), Art. 377</t>
  </si>
  <si>
    <t>Through semi-structured interviews with people with histories of body stigma, dieting and disordered eating, the study found that persistently targeted weight-loss ads - driven by durable personal data that exposed their vulnerability and over-simplified relevancy models they could not correct or escape - reinforced low self-esteem, deepened anxieties around food and exercise, and could encourage unhealthy behaviour, while placing the burden of avoiding the ads on the user.</t>
  </si>
  <si>
    <t>S014; S095; S154</t>
  </si>
  <si>
    <t>Ad platforms / tracked browsing and app activity</t>
  </si>
  <si>
    <t>Ad targeting keyed to inferred interests/vulnerabilities persisting in the profile</t>
  </si>
  <si>
    <t>Advertisers (via ad platforms)</t>
  </si>
  <si>
    <t>Targeting keyed to a durable record of a person's vulnerability keeps steering harm-relevant appeals at them; because the profile persists and cannot be meaningfully corrected or escaped, the exploitation of the vulnerability continues against their expressed wishes.</t>
  </si>
  <si>
    <t>People with histories of disordered eating</t>
  </si>
  <si>
    <t>US interview study (mechanism general; UK-applicable)</t>
  </si>
  <si>
    <t>Interview study of targeted weight-loss ads and disordered eating</t>
  </si>
  <si>
    <t>Empirically informed (status 2): qualitative self-report directly documenting the vulnerability-exploitation mechanism theorised by Calo (S014) and Susser et al. (S095); autonomy framing partly interpretive (conf M). Fills TG-HEALTH on the targeting side (S154 covers the data-sharing side). Verified.</t>
  </si>
  <si>
    <t>Edges Summary (aggregated capability &lt;-&gt; autonomy dimension edges)</t>
  </si>
  <si>
    <t>Each row = one capability x autonomy dimension pair. Edge weight = SUM of evidential status for INCLUDED items. Formulas recalc on open.</t>
  </si>
  <si>
    <t>Edge_ID</t>
  </si>
  <si>
    <t>N items (incl.)</t>
  </si>
  <si>
    <t>EDGE WEIGHT (sum status)</t>
  </si>
  <si>
    <t>N status=3</t>
  </si>
  <si>
    <t>N status=2</t>
  </si>
  <si>
    <t>N status=1</t>
  </si>
  <si>
    <t>Mean status</t>
  </si>
  <si>
    <t>Weight excl. status=1 (Pass B)</t>
  </si>
  <si>
    <t>Binary weight (Pass C)</t>
  </si>
  <si>
    <t>Dominant source type</t>
  </si>
  <si>
    <t>Dominant edge type</t>
  </si>
  <si>
    <t>N UK-S items</t>
  </si>
  <si>
    <t>ED-001</t>
  </si>
  <si>
    <t>ED-002</t>
  </si>
  <si>
    <t>ED-003</t>
  </si>
  <si>
    <t>ED-004</t>
  </si>
  <si>
    <t>ED-005</t>
  </si>
  <si>
    <t>ED-006</t>
  </si>
  <si>
    <t>ED-007</t>
  </si>
  <si>
    <t>ED-008</t>
  </si>
  <si>
    <t>ED-009</t>
  </si>
  <si>
    <t>ED-010</t>
  </si>
  <si>
    <t>ED-011</t>
  </si>
  <si>
    <t>ED-012</t>
  </si>
  <si>
    <t>ED-013</t>
  </si>
  <si>
    <t>ED-014</t>
  </si>
  <si>
    <t>ED-015</t>
  </si>
  <si>
    <t>ED-016</t>
  </si>
  <si>
    <t>ED-017</t>
  </si>
  <si>
    <t>ED-018</t>
  </si>
  <si>
    <t>ED-019</t>
  </si>
  <si>
    <t>ED-020</t>
  </si>
  <si>
    <t>ED-021</t>
  </si>
  <si>
    <t>ED-022</t>
  </si>
  <si>
    <t>ED-023</t>
  </si>
  <si>
    <t>ED-024</t>
  </si>
  <si>
    <t>ED-025</t>
  </si>
  <si>
    <t>ED-026</t>
  </si>
  <si>
    <t>ED-027</t>
  </si>
  <si>
    <t>ED-028</t>
  </si>
  <si>
    <t>ED-029</t>
  </si>
  <si>
    <t>ED-030</t>
  </si>
  <si>
    <t>ED-031</t>
  </si>
  <si>
    <t>ED-032</t>
  </si>
  <si>
    <t>ED-033</t>
  </si>
  <si>
    <t>ED-034</t>
  </si>
  <si>
    <t>ED-035</t>
  </si>
  <si>
    <t>ED-036</t>
  </si>
  <si>
    <t>ED-037</t>
  </si>
  <si>
    <t>ED-038</t>
  </si>
  <si>
    <t>ED-039</t>
  </si>
  <si>
    <t>ED-040</t>
  </si>
  <si>
    <t>ED-041</t>
  </si>
  <si>
    <t>ED-042</t>
  </si>
  <si>
    <t>ED-043</t>
  </si>
  <si>
    <t>ED-044</t>
  </si>
  <si>
    <t>ED-045</t>
  </si>
  <si>
    <t>ED-046</t>
  </si>
  <si>
    <t>ED-047</t>
  </si>
  <si>
    <t>ED-048</t>
  </si>
  <si>
    <t>ED-049</t>
  </si>
  <si>
    <t>ED-050</t>
  </si>
  <si>
    <t>ED-051</t>
  </si>
  <si>
    <t>ED-052</t>
  </si>
  <si>
    <t>ED-053</t>
  </si>
  <si>
    <t>ED-054</t>
  </si>
  <si>
    <t>ED-055</t>
  </si>
  <si>
    <t>ED-056</t>
  </si>
  <si>
    <t>ED-057</t>
  </si>
  <si>
    <t>ED-058</t>
  </si>
  <si>
    <t>ED-059</t>
  </si>
  <si>
    <t>ED-060</t>
  </si>
  <si>
    <t>ED-061</t>
  </si>
  <si>
    <t>ED-062</t>
  </si>
  <si>
    <t>ED-063</t>
  </si>
  <si>
    <t>ED-064</t>
  </si>
  <si>
    <t>ED-065</t>
  </si>
  <si>
    <t>ED-066</t>
  </si>
  <si>
    <t>ED-067</t>
  </si>
  <si>
    <t>ED-068</t>
  </si>
  <si>
    <t>ED-069</t>
  </si>
  <si>
    <t>ED-070</t>
  </si>
  <si>
    <t>ED-071</t>
  </si>
  <si>
    <t>ED-072</t>
  </si>
  <si>
    <t>ED-073</t>
  </si>
  <si>
    <t>ED-074</t>
  </si>
  <si>
    <t>ED-075</t>
  </si>
  <si>
    <t>ED-076</t>
  </si>
  <si>
    <t>ED-077</t>
  </si>
  <si>
    <t>ED-078</t>
  </si>
  <si>
    <t>Sensitivity Analyses (Pass A-E)</t>
  </si>
  <si>
    <t>Capability weighted-degree rankings under each pass. Spearman (approx. via CORREL on ranks) quantifies robustness.</t>
  </si>
  <si>
    <t>Pass A weighted degree</t>
  </si>
  <si>
    <t>Rank A</t>
  </si>
  <si>
    <t>Pass B (excl. status=1)</t>
  </si>
  <si>
    <t>Rank B</t>
  </si>
  <si>
    <t>Pass C (binary)</t>
  </si>
  <si>
    <t>Rank C</t>
  </si>
  <si>
    <t>Pass D (e.g. UK-S only)</t>
  </si>
  <si>
    <t>Rank D</t>
  </si>
  <si>
    <t>Rank shift A-&gt;B (+ = falls when status-1 excluded)</t>
  </si>
  <si>
    <t>Rank correlations (Spearman's rho; tie-corrected average ranks)</t>
  </si>
  <si>
    <t>Pass A vs B</t>
  </si>
  <si>
    <t>Pass A vs C</t>
  </si>
  <si>
    <t>Pass A vs D</t>
  </si>
  <si>
    <r>
      <rPr>
        <sz val="11"/>
        <color theme="1"/>
        <rFont val="Calibri"/>
      </rPr>
      <t>Notes: Results in this file are rough estimates, run '</t>
    </r>
    <r>
      <rPr>
        <u/>
        <sz val="11"/>
        <color rgb="FF1155CC"/>
        <rFont val="Calibri"/>
      </rPr>
      <t>sccah_sna.py</t>
    </r>
    <r>
      <rPr>
        <sz val="11"/>
        <color theme="1"/>
        <rFont val="Calibri"/>
      </rPr>
      <t>' code for more accurate and reported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</si>
</sst>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b/>
      <sz val="14"/>
      <color rgb="FF1F4E79"/>
      <name val="Arial"/>
    </font>
    <font>
      <sz val="11"/>
      <color theme="1"/>
      <name val="Calibri"/>
    </font>
    <font>
      <i/>
      <sz val="10"/>
      <color theme="1"/>
      <name val="Arial"/>
    </font>
    <font>
      <b/>
      <sz val="10"/>
      <color theme="1"/>
      <name val="Arial"/>
    </font>
    <font>
      <sz val="10"/>
      <color theme="1"/>
      <name val="Arial"/>
    </font>
    <font>
      <b/>
      <sz val="11"/>
      <color rgb="FFC00000"/>
      <name val="Arial"/>
    </font>
    <font>
      <b/>
      <sz val="11"/>
      <color rgb="FF1F4E79"/>
      <name val="Arial"/>
    </font>
    <font>
      <b/>
      <sz val="10"/>
      <color rgb="FFFFFFFF"/>
      <name val="Arial"/>
    </font>
    <font>
      <sz val="11"/>
      <name val="Calibri"/>
    </font>
    <font>
      <b/>
      <sz val="11"/>
      <color rgb="FFFFFFFF"/>
      <name val="Arial"/>
    </font>
    <font>
      <b/>
      <sz val="11"/>
      <color rgb="FF2E7D32"/>
      <name val="Arial"/>
    </font>
    <font>
      <u/>
      <sz val="11"/>
      <color theme="1"/>
      <name val="Calibri"/>
    </font>
    <font>
      <u/>
      <sz val="11"/>
      <color rgb="FF1155CC"/>
      <name val="Calibri"/>
    </font>
    <font>
      <b/>
      <i/>
      <sz val="10"/>
      <color rgb="FF000000"/>
      <name val="Arial"/>
    </font>
    <font>
      <i/>
      <sz val="10"/>
      <color rgb="FF000000"/>
      <name val="Arial"/>
    </font>
  </fonts>
  <fills count="9">
    <fill>
      <patternFill patternType="none"/>
    </fill>
    <fill>
      <patternFill patternType="gray125"/>
    </fill>
    <fill>
      <patternFill patternType="solid">
        <fgColor rgb="FFFCE4D6"/>
        <bgColor rgb="FFFCE4D6"/>
      </patternFill>
    </fill>
    <fill>
      <patternFill patternType="solid">
        <fgColor rgb="FFD9E1F2"/>
        <bgColor rgb="FFD9E1F2"/>
      </patternFill>
    </fill>
    <fill>
      <patternFill patternType="solid">
        <fgColor rgb="FF1F4E79"/>
        <bgColor rgb="FF1F4E79"/>
      </patternFill>
    </fill>
    <fill>
      <patternFill patternType="solid">
        <fgColor rgb="FFFFF2CC"/>
        <bgColor rgb="FFFFF2CC"/>
      </patternFill>
    </fill>
    <fill>
      <patternFill patternType="solid">
        <fgColor rgb="FF2E7D32"/>
        <bgColor rgb="FF2E7D32"/>
      </patternFill>
    </fill>
    <fill>
      <patternFill patternType="solid">
        <fgColor rgb="FF7F7F7F"/>
        <bgColor rgb="FF7F7F7F"/>
      </patternFill>
    </fill>
    <fill>
      <patternFill patternType="solid">
        <fgColor rgb="FFE2EFDA"/>
        <bgColor rgb="FFE2EFDA"/>
      </patternFill>
    </fill>
  </fills>
  <borders count="7">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4" fillId="0" borderId="0" xfId="0" applyFont="1"/>
    <xf numFmtId="0" fontId="5" fillId="0" borderId="0" xfId="0" applyFont="1" applyAlignment="1">
      <alignment vertical="top" wrapText="1"/>
    </xf>
    <xf numFmtId="0" fontId="8" fillId="4"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5" fillId="0" borderId="2" xfId="0" applyFont="1" applyBorder="1" applyAlignment="1">
      <alignment vertical="top" wrapText="1"/>
    </xf>
    <xf numFmtId="0" fontId="5" fillId="5" borderId="2" xfId="0" applyFont="1" applyFill="1" applyBorder="1" applyAlignment="1">
      <alignment vertical="top" wrapText="1"/>
    </xf>
    <xf numFmtId="0" fontId="8" fillId="6"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2" fillId="5" borderId="2" xfId="0" applyFont="1" applyFill="1" applyBorder="1" applyAlignment="1">
      <alignment vertical="top" wrapText="1"/>
    </xf>
    <xf numFmtId="0" fontId="10" fillId="6"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4" fillId="0" borderId="2" xfId="0" applyFont="1" applyBorder="1" applyAlignment="1">
      <alignment vertical="top" wrapText="1"/>
    </xf>
    <xf numFmtId="0" fontId="2" fillId="0" borderId="2" xfId="0" applyFont="1" applyBorder="1" applyAlignment="1">
      <alignment vertical="top" wrapText="1"/>
    </xf>
    <xf numFmtId="0" fontId="12" fillId="0" borderId="0" xfId="0" applyFont="1"/>
    <xf numFmtId="0" fontId="7" fillId="3" borderId="1" xfId="0" applyFont="1" applyFill="1" applyBorder="1"/>
    <xf numFmtId="0" fontId="7" fillId="3" borderId="1" xfId="0" applyFont="1" applyFill="1" applyBorder="1" applyAlignment="1">
      <alignment vertical="top" wrapText="1"/>
    </xf>
    <xf numFmtId="0" fontId="0" fillId="0" borderId="1" xfId="0" applyBorder="1"/>
    <xf numFmtId="0" fontId="4" fillId="0" borderId="1" xfId="0" applyFont="1" applyBorder="1" applyAlignment="1">
      <alignment vertical="top"/>
    </xf>
    <xf numFmtId="0" fontId="5" fillId="0" borderId="1" xfId="0" applyFont="1" applyBorder="1" applyAlignment="1">
      <alignment vertical="top" wrapText="1"/>
    </xf>
    <xf numFmtId="0" fontId="4" fillId="0" borderId="1" xfId="0" applyFont="1" applyBorder="1"/>
    <xf numFmtId="0" fontId="7" fillId="3" borderId="3" xfId="0" applyFont="1" applyFill="1" applyBorder="1" applyAlignment="1">
      <alignment vertical="top"/>
    </xf>
    <xf numFmtId="0" fontId="7" fillId="3" borderId="4" xfId="0" applyFont="1" applyFill="1" applyBorder="1" applyAlignment="1">
      <alignment vertical="top" wrapText="1"/>
    </xf>
    <xf numFmtId="0" fontId="7" fillId="3" borderId="5" xfId="0" applyFont="1" applyFill="1" applyBorder="1" applyAlignment="1">
      <alignment vertical="top"/>
    </xf>
    <xf numFmtId="0" fontId="7" fillId="3" borderId="6" xfId="0" applyFont="1" applyFill="1" applyBorder="1" applyAlignment="1">
      <alignment vertical="top" wrapText="1"/>
    </xf>
    <xf numFmtId="0" fontId="6" fillId="2" borderId="3" xfId="0" applyFont="1" applyFill="1" applyBorder="1" applyAlignment="1">
      <alignment vertical="top"/>
    </xf>
    <xf numFmtId="0" fontId="6" fillId="2" borderId="4" xfId="0" applyFont="1" applyFill="1" applyBorder="1" applyAlignment="1">
      <alignment vertical="top" wrapText="1"/>
    </xf>
    <xf numFmtId="14" fontId="5" fillId="5" borderId="2" xfId="0" applyNumberFormat="1" applyFont="1" applyFill="1" applyBorder="1" applyAlignment="1">
      <alignment vertical="top" wrapText="1"/>
    </xf>
    <xf numFmtId="0" fontId="3" fillId="0" borderId="0" xfId="0" applyFont="1" applyAlignment="1">
      <alignment vertical="top" wrapText="1"/>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14" fillId="0" borderId="0" xfId="0" applyFont="1" applyAlignment="1">
      <alignment vertical="top" wrapText="1"/>
    </xf>
    <xf numFmtId="0" fontId="15" fillId="0" borderId="0" xfId="0" applyFont="1" applyAlignment="1">
      <alignment vertical="top" wrapText="1"/>
    </xf>
    <xf numFmtId="0" fontId="1" fillId="0" borderId="0" xfId="0" applyFont="1" applyAlignment="1"/>
    <xf numFmtId="0" fontId="0" fillId="0" borderId="0" xfId="0" applyAlignment="1"/>
    <xf numFmtId="0" fontId="8" fillId="4" borderId="1" xfId="0" applyFont="1" applyFill="1" applyBorder="1" applyAlignment="1"/>
    <xf numFmtId="0" fontId="9" fillId="0" borderId="1" xfId="0" applyFont="1" applyBorder="1" applyAlignment="1"/>
    <xf numFmtId="0" fontId="8" fillId="6" borderId="1" xfId="0" applyFont="1" applyFill="1" applyBorder="1" applyAlignment="1"/>
    <xf numFmtId="0" fontId="3" fillId="0" borderId="0" xfId="0" applyFont="1" applyAlignment="1"/>
    <xf numFmtId="0" fontId="7" fillId="3"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NULL"/></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NULL"/><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http://sccah_sna.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election activeCell="G4" sqref="G4"/>
    </sheetView>
  </sheetViews>
  <sheetFormatPr defaultColWidth="14.42578125" defaultRowHeight="15" customHeight="1"/>
  <cols>
    <col min="1" max="1" width="46.7109375" customWidth="1"/>
    <col min="2" max="2" width="98" customWidth="1"/>
    <col min="3" max="26" width="8.7109375" customWidth="1"/>
  </cols>
  <sheetData>
    <row r="1" spans="1:3" ht="17.25" customHeight="1">
      <c r="A1" s="36" t="s">
        <v>0</v>
      </c>
      <c r="B1" s="37"/>
    </row>
    <row r="2" spans="1:3" ht="31.5" customHeight="1">
      <c r="A2" s="34" t="s">
        <v>1</v>
      </c>
      <c r="B2" s="37"/>
    </row>
    <row r="3" spans="1:3" ht="15" customHeight="1">
      <c r="A3" s="22"/>
      <c r="B3" s="21"/>
    </row>
    <row r="4" spans="1:3" ht="63.75" customHeight="1">
      <c r="A4" s="27" t="s">
        <v>2</v>
      </c>
      <c r="B4" s="28" t="s">
        <v>3</v>
      </c>
      <c r="C4" s="19"/>
    </row>
    <row r="5" spans="1:3" ht="15" customHeight="1">
      <c r="A5" s="20"/>
      <c r="B5" s="21"/>
    </row>
    <row r="6" spans="1:3" ht="63.75" customHeight="1">
      <c r="A6" s="25" t="s">
        <v>4</v>
      </c>
      <c r="B6" s="26" t="s">
        <v>5</v>
      </c>
      <c r="C6" s="19"/>
    </row>
    <row r="7" spans="1:3" ht="48" customHeight="1">
      <c r="A7" s="25" t="s">
        <v>6</v>
      </c>
      <c r="B7" s="26" t="s">
        <v>7</v>
      </c>
      <c r="C7" s="19"/>
    </row>
    <row r="8" spans="1:3" ht="15" customHeight="1">
      <c r="A8" s="23" t="s">
        <v>8</v>
      </c>
      <c r="B8" s="24" t="s">
        <v>9</v>
      </c>
      <c r="C8" s="19"/>
    </row>
    <row r="9" spans="1:3" ht="15" customHeight="1">
      <c r="A9" s="22"/>
      <c r="B9" s="21"/>
    </row>
    <row r="10" spans="1:3" ht="15" customHeight="1">
      <c r="A10" s="17" t="s">
        <v>10</v>
      </c>
      <c r="B10" s="18" t="s">
        <v>11</v>
      </c>
    </row>
    <row r="11" spans="1:3" ht="31.5" customHeight="1">
      <c r="A11" s="3" t="s">
        <v>12</v>
      </c>
      <c r="B11" s="4" t="s">
        <v>13</v>
      </c>
    </row>
    <row r="12" spans="1:3" ht="31.5" customHeight="1">
      <c r="A12" s="3" t="s">
        <v>14</v>
      </c>
      <c r="B12" s="4" t="s">
        <v>15</v>
      </c>
    </row>
    <row r="13" spans="1:3" ht="31.5" customHeight="1">
      <c r="A13" s="3" t="s">
        <v>16</v>
      </c>
      <c r="B13" s="4" t="s">
        <v>17</v>
      </c>
    </row>
    <row r="14" spans="1:3" ht="31.5" customHeight="1">
      <c r="A14" s="3" t="s">
        <v>18</v>
      </c>
      <c r="B14" s="4" t="s">
        <v>19</v>
      </c>
    </row>
    <row r="15" spans="1:3" ht="48" customHeight="1">
      <c r="A15" s="3" t="s">
        <v>20</v>
      </c>
      <c r="B15" s="4" t="s">
        <v>21</v>
      </c>
    </row>
    <row r="16" spans="1:3" ht="31.5" customHeight="1">
      <c r="A16" s="3" t="s">
        <v>22</v>
      </c>
      <c r="B16" s="4" t="s">
        <v>23</v>
      </c>
    </row>
    <row r="17" spans="1:2" ht="31.5" customHeight="1">
      <c r="A17" s="3" t="s">
        <v>24</v>
      </c>
      <c r="B17" s="4" t="s">
        <v>25</v>
      </c>
    </row>
    <row r="18" spans="1:2" ht="15" customHeight="1">
      <c r="A18" s="3"/>
      <c r="B18" s="4"/>
    </row>
    <row r="19" spans="1:2" ht="15" customHeight="1">
      <c r="A19" s="17" t="s">
        <v>26</v>
      </c>
      <c r="B19" s="18"/>
    </row>
    <row r="20" spans="1:2" ht="31.5" customHeight="1">
      <c r="A20" s="3" t="s">
        <v>27</v>
      </c>
      <c r="B20" s="4" t="s">
        <v>28</v>
      </c>
    </row>
    <row r="21" spans="1:2" ht="15" customHeight="1">
      <c r="A21" s="3" t="s">
        <v>29</v>
      </c>
      <c r="B21" s="4" t="s">
        <v>30</v>
      </c>
    </row>
    <row r="22" spans="1:2" ht="31.5" customHeight="1">
      <c r="A22" s="3" t="s">
        <v>31</v>
      </c>
      <c r="B22" s="4" t="s">
        <v>32</v>
      </c>
    </row>
    <row r="23" spans="1:2" ht="31.5" customHeight="1">
      <c r="A23" s="3" t="s">
        <v>33</v>
      </c>
      <c r="B23" s="4" t="s">
        <v>34</v>
      </c>
    </row>
    <row r="24" spans="1:2" ht="31.5" customHeight="1">
      <c r="A24" s="3" t="s">
        <v>35</v>
      </c>
      <c r="B24" s="4" t="s">
        <v>36</v>
      </c>
    </row>
    <row r="25" spans="1:2" ht="15" customHeight="1">
      <c r="A25" s="3"/>
      <c r="B25" s="4"/>
    </row>
    <row r="26" spans="1:2" ht="15" customHeight="1">
      <c r="A26" s="17" t="s">
        <v>37</v>
      </c>
      <c r="B26" s="18"/>
    </row>
    <row r="27" spans="1:2" ht="31.5" customHeight="1">
      <c r="A27" s="3" t="s">
        <v>38</v>
      </c>
      <c r="B27" s="4" t="s">
        <v>39</v>
      </c>
    </row>
    <row r="28" spans="1:2" ht="15" customHeight="1">
      <c r="A28" s="3" t="s">
        <v>40</v>
      </c>
      <c r="B28" s="4" t="s">
        <v>41</v>
      </c>
    </row>
    <row r="29" spans="1:2" ht="15" customHeight="1">
      <c r="A29" s="3" t="s">
        <v>42</v>
      </c>
      <c r="B29" s="4" t="s">
        <v>43</v>
      </c>
    </row>
    <row r="30" spans="1:2" ht="15" customHeight="1">
      <c r="A30" s="3"/>
      <c r="B30" s="4"/>
    </row>
    <row r="31" spans="1:2" ht="48" customHeight="1">
      <c r="A31" s="17" t="s">
        <v>44</v>
      </c>
      <c r="B31" s="18" t="s">
        <v>45</v>
      </c>
    </row>
    <row r="32" spans="1:2" ht="15" customHeight="1">
      <c r="A32" s="3"/>
      <c r="B32" s="4"/>
    </row>
    <row r="33" spans="1:2" ht="15" customHeight="1">
      <c r="A33" s="17" t="s">
        <v>46</v>
      </c>
      <c r="B33" s="18"/>
    </row>
    <row r="34" spans="1:2" ht="15" customHeight="1">
      <c r="A34" s="3" t="s">
        <v>47</v>
      </c>
      <c r="B34" s="4" t="s">
        <v>48</v>
      </c>
    </row>
    <row r="35" spans="1:2" ht="15" customHeight="1">
      <c r="A35" s="3" t="s">
        <v>49</v>
      </c>
      <c r="B35" s="4" t="s">
        <v>50</v>
      </c>
    </row>
    <row r="36" spans="1:2" ht="15" customHeight="1">
      <c r="A36" s="3" t="s">
        <v>51</v>
      </c>
      <c r="B36" s="4" t="s">
        <v>52</v>
      </c>
    </row>
    <row r="37" spans="1:2" ht="31.5" customHeight="1">
      <c r="A37" s="3" t="s">
        <v>53</v>
      </c>
      <c r="B37" s="4" t="s">
        <v>54</v>
      </c>
    </row>
    <row r="38" spans="1:2" ht="15" customHeight="1">
      <c r="A38" s="3"/>
      <c r="B38" s="4"/>
    </row>
    <row r="39" spans="1:2" ht="15" customHeight="1">
      <c r="A39" s="17" t="s">
        <v>55</v>
      </c>
      <c r="B39" s="18" t="s">
        <v>56</v>
      </c>
    </row>
    <row r="40" spans="1:2" ht="15.75" customHeight="1">
      <c r="A40" s="2"/>
      <c r="B40" s="2"/>
    </row>
    <row r="41" spans="1:2" ht="15.75" customHeight="1">
      <c r="A41" s="2"/>
      <c r="B41" s="2"/>
    </row>
    <row r="42" spans="1:2" ht="15.75" customHeight="1">
      <c r="A42" s="2"/>
      <c r="B42" s="2"/>
    </row>
    <row r="43" spans="1:2" ht="15.75" customHeight="1">
      <c r="A43" s="2"/>
      <c r="B43" s="2"/>
    </row>
    <row r="44" spans="1:2" ht="15.75" customHeight="1">
      <c r="A44" s="2"/>
      <c r="B44" s="2"/>
    </row>
    <row r="45" spans="1:2" ht="15.75" customHeight="1">
      <c r="A45" s="2"/>
      <c r="B45" s="2"/>
    </row>
    <row r="46" spans="1:2" ht="15.75" customHeight="1">
      <c r="A46" s="2"/>
      <c r="B46" s="2"/>
    </row>
    <row r="47" spans="1:2" ht="15.75" customHeight="1">
      <c r="A47" s="2"/>
      <c r="B47" s="2"/>
    </row>
    <row r="48" spans="1:2" ht="15.75" customHeight="1">
      <c r="A48" s="2"/>
      <c r="B48" s="2"/>
    </row>
    <row r="49" spans="1:2" ht="15.75" customHeight="1">
      <c r="A49" s="2"/>
      <c r="B49" s="2"/>
    </row>
    <row r="50" spans="1:2" ht="15.75" customHeight="1">
      <c r="A50" s="2"/>
      <c r="B50" s="2"/>
    </row>
    <row r="51" spans="1:2" ht="15.75" customHeight="1">
      <c r="A51" s="2"/>
      <c r="B51" s="2"/>
    </row>
    <row r="52" spans="1:2" ht="15.75" customHeight="1">
      <c r="A52" s="2"/>
      <c r="B52" s="2"/>
    </row>
    <row r="53" spans="1:2" ht="15.75" customHeight="1">
      <c r="A53" s="2"/>
      <c r="B53" s="2"/>
    </row>
    <row r="54" spans="1:2" ht="15.75" customHeight="1">
      <c r="A54" s="2"/>
      <c r="B54" s="2"/>
    </row>
    <row r="55" spans="1:2" ht="15.75" customHeight="1">
      <c r="A55" s="2"/>
      <c r="B55" s="2"/>
    </row>
    <row r="56" spans="1:2" ht="15.75" customHeight="1">
      <c r="A56" s="2"/>
      <c r="B56" s="2"/>
    </row>
    <row r="57" spans="1:2" ht="15.75" customHeight="1">
      <c r="A57" s="2"/>
      <c r="B57" s="2"/>
    </row>
    <row r="58" spans="1:2" ht="15.75" customHeight="1">
      <c r="A58" s="2"/>
      <c r="B58" s="2"/>
    </row>
    <row r="59" spans="1:2" ht="15.75" customHeight="1">
      <c r="A59" s="2"/>
      <c r="B59" s="2"/>
    </row>
    <row r="60" spans="1:2" ht="15.75" customHeight="1">
      <c r="A60" s="2"/>
      <c r="B60" s="2"/>
    </row>
    <row r="61" spans="1:2" ht="15.75" customHeight="1">
      <c r="A61" s="2"/>
      <c r="B61" s="2"/>
    </row>
    <row r="62" spans="1:2" ht="15.75" customHeight="1">
      <c r="A62" s="2"/>
      <c r="B62" s="2"/>
    </row>
    <row r="63" spans="1:2" ht="15.75" customHeight="1">
      <c r="A63" s="2"/>
      <c r="B63" s="2"/>
    </row>
    <row r="64" spans="1:2" ht="15.75" customHeight="1">
      <c r="A64" s="2"/>
      <c r="B64" s="2"/>
    </row>
    <row r="65" spans="1:2" ht="15.75" customHeight="1">
      <c r="A65" s="2"/>
      <c r="B65" s="2"/>
    </row>
    <row r="66" spans="1:2" ht="15.75" customHeight="1">
      <c r="A66" s="2"/>
      <c r="B66" s="2"/>
    </row>
    <row r="67" spans="1:2" ht="15.75" customHeight="1">
      <c r="A67" s="2"/>
      <c r="B67" s="2"/>
    </row>
    <row r="68" spans="1:2" ht="15.75" customHeight="1">
      <c r="A68" s="2"/>
      <c r="B68" s="2"/>
    </row>
    <row r="69" spans="1:2" ht="15.75" customHeight="1">
      <c r="A69" s="2"/>
      <c r="B69" s="2"/>
    </row>
    <row r="70" spans="1:2" ht="15.75" customHeight="1">
      <c r="A70" s="2"/>
      <c r="B70" s="2"/>
    </row>
    <row r="71" spans="1:2" ht="15.75" customHeight="1">
      <c r="A71" s="2"/>
      <c r="B71" s="2"/>
    </row>
    <row r="72" spans="1:2" ht="15.75" customHeight="1">
      <c r="A72" s="2"/>
      <c r="B72" s="2"/>
    </row>
    <row r="73" spans="1:2" ht="15.75" customHeight="1">
      <c r="A73" s="2"/>
      <c r="B73" s="2"/>
    </row>
    <row r="74" spans="1:2" ht="15.75" customHeight="1">
      <c r="A74" s="2"/>
      <c r="B74" s="2"/>
    </row>
    <row r="75" spans="1:2" ht="15.75" customHeight="1">
      <c r="A75" s="2"/>
      <c r="B75" s="2"/>
    </row>
    <row r="76" spans="1:2" ht="15.75" customHeight="1">
      <c r="A76" s="2"/>
      <c r="B76" s="2"/>
    </row>
    <row r="77" spans="1:2" ht="15.75" customHeight="1">
      <c r="A77" s="2"/>
      <c r="B77" s="2"/>
    </row>
    <row r="78" spans="1:2" ht="15.75" customHeight="1">
      <c r="A78" s="2"/>
      <c r="B78" s="2"/>
    </row>
    <row r="79" spans="1:2" ht="15.75" customHeight="1">
      <c r="A79" s="2"/>
      <c r="B79" s="2"/>
    </row>
    <row r="80" spans="1:2" ht="15.75" customHeight="1">
      <c r="A80" s="2"/>
      <c r="B80" s="2"/>
    </row>
    <row r="81" spans="1:2" ht="15.75" customHeight="1">
      <c r="A81" s="2"/>
      <c r="B81" s="2"/>
    </row>
    <row r="82" spans="1:2" ht="15.75" customHeight="1">
      <c r="A82" s="2"/>
      <c r="B82" s="2"/>
    </row>
    <row r="83" spans="1:2" ht="15.75" customHeight="1">
      <c r="A83" s="2"/>
      <c r="B83" s="2"/>
    </row>
    <row r="84" spans="1:2" ht="15.75" customHeight="1">
      <c r="A84" s="2"/>
      <c r="B84" s="2"/>
    </row>
    <row r="85" spans="1:2" ht="15.75" customHeight="1">
      <c r="A85" s="2"/>
      <c r="B85" s="2"/>
    </row>
    <row r="86" spans="1:2" ht="15.75" customHeight="1">
      <c r="A86" s="2"/>
      <c r="B86" s="2"/>
    </row>
    <row r="87" spans="1:2" ht="15.75" customHeight="1">
      <c r="A87" s="2"/>
      <c r="B87" s="2"/>
    </row>
    <row r="88" spans="1:2" ht="15.75" customHeight="1">
      <c r="A88" s="2"/>
      <c r="B88" s="2"/>
    </row>
    <row r="89" spans="1:2" ht="15.75" customHeight="1">
      <c r="A89" s="2"/>
      <c r="B89" s="2"/>
    </row>
    <row r="90" spans="1:2" ht="15.75" customHeight="1">
      <c r="A90" s="2"/>
      <c r="B90" s="2"/>
    </row>
    <row r="91" spans="1:2" ht="15.75" customHeight="1">
      <c r="A91" s="2"/>
      <c r="B91" s="2"/>
    </row>
    <row r="92" spans="1:2" ht="15.75" customHeight="1">
      <c r="A92" s="2"/>
      <c r="B92" s="2"/>
    </row>
    <row r="93" spans="1:2" ht="15.75" customHeight="1">
      <c r="A93" s="2"/>
      <c r="B93" s="2"/>
    </row>
    <row r="94" spans="1:2" ht="15.75" customHeight="1">
      <c r="A94" s="2"/>
      <c r="B94" s="2"/>
    </row>
    <row r="95" spans="1:2" ht="15.75" customHeight="1">
      <c r="A95" s="2"/>
      <c r="B95" s="2"/>
    </row>
    <row r="96" spans="1:2" ht="15.75" customHeight="1">
      <c r="A96" s="2"/>
      <c r="B96" s="2"/>
    </row>
    <row r="97" spans="1:2" ht="15.75" customHeight="1">
      <c r="A97" s="2"/>
      <c r="B97" s="2"/>
    </row>
    <row r="98" spans="1:2" ht="15.75" customHeight="1">
      <c r="A98" s="2"/>
      <c r="B98" s="2"/>
    </row>
    <row r="99" spans="1:2" ht="15.75" customHeight="1">
      <c r="A99" s="2"/>
      <c r="B99" s="2"/>
    </row>
    <row r="100" spans="1:2" ht="15.75" customHeight="1">
      <c r="A100" s="2"/>
      <c r="B100" s="2"/>
    </row>
    <row r="101" spans="1:2" ht="15.75" customHeight="1">
      <c r="A101" s="2"/>
      <c r="B101" s="2"/>
    </row>
    <row r="102" spans="1:2" ht="15.75" customHeight="1">
      <c r="A102" s="2"/>
      <c r="B102" s="2"/>
    </row>
    <row r="103" spans="1:2" ht="15.75" customHeight="1">
      <c r="A103" s="2"/>
      <c r="B103" s="2"/>
    </row>
    <row r="104" spans="1:2" ht="15.75" customHeight="1">
      <c r="A104" s="2"/>
      <c r="B104" s="2"/>
    </row>
    <row r="105" spans="1:2" ht="15.75" customHeight="1">
      <c r="A105" s="2"/>
      <c r="B105" s="2"/>
    </row>
    <row r="106" spans="1:2" ht="15.75" customHeight="1">
      <c r="A106" s="2"/>
      <c r="B106" s="2"/>
    </row>
    <row r="107" spans="1:2" ht="15.75" customHeight="1">
      <c r="A107" s="2"/>
      <c r="B107" s="2"/>
    </row>
    <row r="108" spans="1:2" ht="15.75" customHeight="1">
      <c r="A108" s="2"/>
      <c r="B108" s="2"/>
    </row>
    <row r="109" spans="1:2" ht="15.75" customHeight="1">
      <c r="A109" s="2"/>
      <c r="B109" s="2"/>
    </row>
    <row r="110" spans="1:2" ht="15.75" customHeight="1">
      <c r="A110" s="2"/>
      <c r="B110" s="2"/>
    </row>
    <row r="111" spans="1:2" ht="15.75" customHeight="1">
      <c r="A111" s="2"/>
      <c r="B111" s="2"/>
    </row>
    <row r="112" spans="1:2" ht="15.75" customHeight="1">
      <c r="A112" s="2"/>
      <c r="B112" s="2"/>
    </row>
    <row r="113" spans="1:2" ht="15.75" customHeight="1">
      <c r="A113" s="2"/>
      <c r="B113" s="2"/>
    </row>
    <row r="114" spans="1:2" ht="15.75" customHeight="1">
      <c r="A114" s="2"/>
      <c r="B114" s="2"/>
    </row>
    <row r="115" spans="1:2" ht="15.75" customHeight="1">
      <c r="A115" s="2"/>
      <c r="B115" s="2"/>
    </row>
    <row r="116" spans="1:2" ht="15.75" customHeight="1">
      <c r="A116" s="2"/>
      <c r="B116" s="2"/>
    </row>
    <row r="117" spans="1:2" ht="15.75" customHeight="1">
      <c r="A117" s="2"/>
      <c r="B117" s="2"/>
    </row>
    <row r="118" spans="1:2" ht="15.75" customHeight="1">
      <c r="A118" s="2"/>
      <c r="B118" s="2"/>
    </row>
    <row r="119" spans="1:2" ht="15.75" customHeight="1">
      <c r="A119" s="2"/>
      <c r="B119" s="2"/>
    </row>
    <row r="120" spans="1:2" ht="15.75" customHeight="1">
      <c r="A120" s="2"/>
      <c r="B120" s="2"/>
    </row>
    <row r="121" spans="1:2" ht="15.75" customHeight="1">
      <c r="A121" s="2"/>
      <c r="B121" s="2"/>
    </row>
    <row r="122" spans="1:2" ht="15.75" customHeight="1">
      <c r="A122" s="2"/>
      <c r="B122" s="2"/>
    </row>
    <row r="123" spans="1:2" ht="15.75" customHeight="1">
      <c r="A123" s="2"/>
      <c r="B123" s="2"/>
    </row>
    <row r="124" spans="1:2" ht="15.75" customHeight="1">
      <c r="A124" s="2"/>
      <c r="B124" s="2"/>
    </row>
    <row r="125" spans="1:2" ht="15.75" customHeight="1">
      <c r="A125" s="2"/>
      <c r="B125" s="2"/>
    </row>
    <row r="126" spans="1:2" ht="15.75" customHeight="1">
      <c r="A126" s="2"/>
      <c r="B126" s="2"/>
    </row>
    <row r="127" spans="1:2" ht="15.75" customHeight="1">
      <c r="A127" s="2"/>
      <c r="B127" s="2"/>
    </row>
    <row r="128" spans="1:2" ht="15.75" customHeight="1">
      <c r="A128" s="2"/>
      <c r="B128" s="2"/>
    </row>
    <row r="129" spans="1:2" ht="15.75" customHeight="1">
      <c r="A129" s="2"/>
      <c r="B129" s="2"/>
    </row>
    <row r="130" spans="1:2" ht="15.75" customHeight="1">
      <c r="A130" s="2"/>
      <c r="B130" s="2"/>
    </row>
    <row r="131" spans="1:2" ht="15.75" customHeight="1">
      <c r="A131" s="2"/>
      <c r="B131" s="2"/>
    </row>
    <row r="132" spans="1:2" ht="15.75" customHeight="1">
      <c r="A132" s="2"/>
      <c r="B132" s="2"/>
    </row>
    <row r="133" spans="1:2" ht="15.75" customHeight="1">
      <c r="A133" s="2"/>
      <c r="B133" s="2"/>
    </row>
    <row r="134" spans="1:2" ht="15.75" customHeight="1">
      <c r="A134" s="2"/>
      <c r="B134" s="2"/>
    </row>
    <row r="135" spans="1:2" ht="15.75" customHeight="1">
      <c r="A135" s="2"/>
      <c r="B135" s="2"/>
    </row>
    <row r="136" spans="1:2" ht="15.75" customHeight="1">
      <c r="A136" s="2"/>
      <c r="B136" s="2"/>
    </row>
    <row r="137" spans="1:2" ht="15.75" customHeight="1">
      <c r="A137" s="2"/>
      <c r="B137" s="2"/>
    </row>
    <row r="138" spans="1:2" ht="15.75" customHeight="1">
      <c r="A138" s="2"/>
      <c r="B138" s="2"/>
    </row>
    <row r="139" spans="1:2" ht="15.75" customHeight="1">
      <c r="A139" s="2"/>
      <c r="B139" s="2"/>
    </row>
    <row r="140" spans="1:2" ht="15.75" customHeight="1">
      <c r="A140" s="2"/>
      <c r="B140" s="2"/>
    </row>
    <row r="141" spans="1:2" ht="15.75" customHeight="1">
      <c r="A141" s="2"/>
      <c r="B141" s="2"/>
    </row>
    <row r="142" spans="1:2" ht="15.75" customHeight="1">
      <c r="A142" s="2"/>
      <c r="B142" s="2"/>
    </row>
    <row r="143" spans="1:2" ht="15.75" customHeight="1">
      <c r="A143" s="2"/>
      <c r="B143" s="2"/>
    </row>
    <row r="144" spans="1:2" ht="15.75" customHeight="1">
      <c r="A144" s="2"/>
      <c r="B144" s="2"/>
    </row>
    <row r="145" spans="1:2" ht="15.75" customHeight="1">
      <c r="A145" s="2"/>
      <c r="B145" s="2"/>
    </row>
    <row r="146" spans="1:2" ht="15.75" customHeight="1">
      <c r="A146" s="2"/>
      <c r="B146" s="2"/>
    </row>
    <row r="147" spans="1:2" ht="15.75" customHeight="1">
      <c r="A147" s="2"/>
      <c r="B147" s="2"/>
    </row>
    <row r="148" spans="1:2" ht="15.75" customHeight="1">
      <c r="A148" s="2"/>
      <c r="B148" s="2"/>
    </row>
    <row r="149" spans="1:2" ht="15.75" customHeight="1">
      <c r="A149" s="2"/>
      <c r="B149" s="2"/>
    </row>
    <row r="150" spans="1:2" ht="15.75" customHeight="1">
      <c r="A150" s="2"/>
      <c r="B150" s="2"/>
    </row>
    <row r="151" spans="1:2" ht="15.75" customHeight="1">
      <c r="A151" s="2"/>
      <c r="B151" s="2"/>
    </row>
    <row r="152" spans="1:2" ht="15.75" customHeight="1">
      <c r="A152" s="2"/>
      <c r="B152" s="2"/>
    </row>
    <row r="153" spans="1:2" ht="15.75" customHeight="1">
      <c r="A153" s="2"/>
      <c r="B153" s="2"/>
    </row>
    <row r="154" spans="1:2" ht="15.75" customHeight="1">
      <c r="A154" s="2"/>
      <c r="B154" s="2"/>
    </row>
    <row r="155" spans="1:2" ht="15.75" customHeight="1">
      <c r="A155" s="2"/>
      <c r="B155" s="2"/>
    </row>
    <row r="156" spans="1:2" ht="15.75" customHeight="1">
      <c r="A156" s="2"/>
      <c r="B156" s="2"/>
    </row>
    <row r="157" spans="1:2" ht="15.75" customHeight="1">
      <c r="A157" s="2"/>
      <c r="B157" s="2"/>
    </row>
    <row r="158" spans="1:2" ht="15.75" customHeight="1">
      <c r="A158" s="2"/>
      <c r="B158" s="2"/>
    </row>
    <row r="159" spans="1:2" ht="15.75" customHeight="1">
      <c r="A159" s="2"/>
      <c r="B159" s="2"/>
    </row>
    <row r="160" spans="1:2" ht="15.75" customHeight="1">
      <c r="A160" s="2"/>
      <c r="B160" s="2"/>
    </row>
    <row r="161" spans="1:2" ht="15.75" customHeight="1">
      <c r="A161" s="2"/>
      <c r="B161" s="2"/>
    </row>
    <row r="162" spans="1:2" ht="15.75" customHeight="1">
      <c r="A162" s="2"/>
      <c r="B162" s="2"/>
    </row>
    <row r="163" spans="1:2" ht="15.75" customHeight="1">
      <c r="A163" s="2"/>
      <c r="B163" s="2"/>
    </row>
    <row r="164" spans="1:2" ht="15.75" customHeight="1">
      <c r="A164" s="2"/>
      <c r="B164" s="2"/>
    </row>
    <row r="165" spans="1:2" ht="15.75" customHeight="1">
      <c r="A165" s="2"/>
      <c r="B165" s="2"/>
    </row>
    <row r="166" spans="1:2" ht="15.75" customHeight="1">
      <c r="A166" s="2"/>
      <c r="B166" s="2"/>
    </row>
    <row r="167" spans="1:2" ht="15.75" customHeight="1">
      <c r="A167" s="2"/>
      <c r="B167" s="2"/>
    </row>
    <row r="168" spans="1:2" ht="15.75" customHeight="1">
      <c r="A168" s="2"/>
      <c r="B168" s="2"/>
    </row>
    <row r="169" spans="1:2" ht="15.75" customHeight="1">
      <c r="A169" s="2"/>
      <c r="B169" s="2"/>
    </row>
    <row r="170" spans="1:2" ht="15.75" customHeight="1">
      <c r="A170" s="2"/>
      <c r="B170" s="2"/>
    </row>
    <row r="171" spans="1:2" ht="15.75" customHeight="1">
      <c r="A171" s="2"/>
      <c r="B171" s="2"/>
    </row>
    <row r="172" spans="1:2" ht="15.75" customHeight="1">
      <c r="A172" s="2"/>
      <c r="B172" s="2"/>
    </row>
    <row r="173" spans="1:2" ht="15.75" customHeight="1">
      <c r="A173" s="2"/>
      <c r="B173" s="2"/>
    </row>
    <row r="174" spans="1:2" ht="15.75" customHeight="1">
      <c r="A174" s="2"/>
      <c r="B174" s="2"/>
    </row>
    <row r="175" spans="1:2" ht="15.75" customHeight="1">
      <c r="A175" s="2"/>
      <c r="B175" s="2"/>
    </row>
    <row r="176" spans="1:2" ht="15.75" customHeight="1">
      <c r="A176" s="2"/>
      <c r="B176" s="2"/>
    </row>
    <row r="177" spans="1:2" ht="15.75" customHeight="1">
      <c r="A177" s="2"/>
      <c r="B177" s="2"/>
    </row>
    <row r="178" spans="1:2" ht="15.75" customHeight="1">
      <c r="A178" s="2"/>
      <c r="B178" s="2"/>
    </row>
    <row r="179" spans="1:2" ht="15.75" customHeight="1">
      <c r="A179" s="2"/>
      <c r="B179" s="2"/>
    </row>
    <row r="180" spans="1:2" ht="15.75" customHeight="1">
      <c r="A180" s="2"/>
      <c r="B180" s="2"/>
    </row>
    <row r="181" spans="1:2" ht="15.75" customHeight="1">
      <c r="A181" s="2"/>
      <c r="B181" s="2"/>
    </row>
    <row r="182" spans="1:2" ht="15.75" customHeight="1">
      <c r="A182" s="2"/>
      <c r="B182" s="2"/>
    </row>
    <row r="183" spans="1:2" ht="15.75" customHeight="1">
      <c r="A183" s="2"/>
      <c r="B183" s="2"/>
    </row>
    <row r="184" spans="1:2" ht="15.75" customHeight="1">
      <c r="A184" s="2"/>
      <c r="B184" s="2"/>
    </row>
    <row r="185" spans="1:2" ht="15.75" customHeight="1">
      <c r="A185" s="2"/>
      <c r="B185" s="2"/>
    </row>
    <row r="186" spans="1:2" ht="15.75" customHeight="1">
      <c r="A186" s="2"/>
      <c r="B186" s="2"/>
    </row>
    <row r="187" spans="1:2" ht="15.75" customHeight="1">
      <c r="A187" s="2"/>
      <c r="B187" s="2"/>
    </row>
    <row r="188" spans="1:2" ht="15.75" customHeight="1">
      <c r="A188" s="2"/>
      <c r="B188" s="2"/>
    </row>
    <row r="189" spans="1:2" ht="15.75" customHeight="1">
      <c r="A189" s="2"/>
      <c r="B189" s="2"/>
    </row>
    <row r="190" spans="1:2" ht="15.75" customHeight="1">
      <c r="A190" s="2"/>
      <c r="B190" s="2"/>
    </row>
    <row r="191" spans="1:2" ht="15.75" customHeight="1">
      <c r="A191" s="2"/>
      <c r="B191" s="2"/>
    </row>
    <row r="192" spans="1:2" ht="15.75" customHeight="1">
      <c r="A192" s="2"/>
      <c r="B192" s="2"/>
    </row>
    <row r="193" spans="1:2" ht="15.75" customHeight="1">
      <c r="A193" s="2"/>
      <c r="B193" s="2"/>
    </row>
    <row r="194" spans="1:2" ht="15.75" customHeight="1">
      <c r="A194" s="2"/>
      <c r="B194" s="2"/>
    </row>
    <row r="195" spans="1:2" ht="15.75" customHeight="1">
      <c r="A195" s="2"/>
      <c r="B195" s="2"/>
    </row>
    <row r="196" spans="1:2" ht="15.75" customHeight="1">
      <c r="A196" s="2"/>
      <c r="B196" s="2"/>
    </row>
    <row r="197" spans="1:2" ht="15.75" customHeight="1">
      <c r="A197" s="2"/>
      <c r="B197" s="2"/>
    </row>
    <row r="198" spans="1:2" ht="15.75" customHeight="1">
      <c r="A198" s="2"/>
      <c r="B198" s="2"/>
    </row>
    <row r="199" spans="1:2" ht="15.75" customHeight="1">
      <c r="A199" s="2"/>
      <c r="B199" s="2"/>
    </row>
    <row r="200" spans="1:2" ht="15.75" customHeight="1">
      <c r="A200" s="2"/>
      <c r="B200" s="2"/>
    </row>
    <row r="201" spans="1:2" ht="15.75" customHeight="1">
      <c r="A201" s="2"/>
      <c r="B201" s="2"/>
    </row>
    <row r="202" spans="1:2" ht="15.75" customHeight="1">
      <c r="A202" s="2"/>
      <c r="B202" s="2"/>
    </row>
    <row r="203" spans="1:2" ht="15.75" customHeight="1">
      <c r="A203" s="2"/>
      <c r="B203" s="2"/>
    </row>
    <row r="204" spans="1:2" ht="15.75" customHeight="1">
      <c r="A204" s="2"/>
      <c r="B204" s="2"/>
    </row>
    <row r="205" spans="1:2" ht="15.75" customHeight="1">
      <c r="A205" s="2"/>
      <c r="B205" s="2"/>
    </row>
    <row r="206" spans="1:2" ht="15.75" customHeight="1">
      <c r="A206" s="2"/>
      <c r="B206" s="2"/>
    </row>
    <row r="207" spans="1:2" ht="15.75" customHeight="1">
      <c r="A207" s="2"/>
      <c r="B207" s="2"/>
    </row>
    <row r="208" spans="1:2" ht="15.75" customHeight="1">
      <c r="A208" s="2"/>
      <c r="B208" s="2"/>
    </row>
    <row r="209" spans="1:2" ht="15.75" customHeight="1">
      <c r="A209" s="2"/>
      <c r="B209" s="2"/>
    </row>
    <row r="210" spans="1:2" ht="15.75" customHeight="1">
      <c r="A210" s="2"/>
      <c r="B210" s="2"/>
    </row>
    <row r="211" spans="1:2" ht="15.75" customHeight="1">
      <c r="A211" s="2"/>
      <c r="B211" s="2"/>
    </row>
    <row r="212" spans="1:2" ht="15.75" customHeight="1">
      <c r="A212" s="2"/>
      <c r="B212" s="2"/>
    </row>
    <row r="213" spans="1:2" ht="15.75" customHeight="1">
      <c r="A213" s="2"/>
      <c r="B213" s="2"/>
    </row>
    <row r="214" spans="1:2" ht="15.75" customHeight="1">
      <c r="A214" s="2"/>
      <c r="B214" s="2"/>
    </row>
    <row r="215" spans="1:2" ht="15.75" customHeight="1">
      <c r="A215" s="2"/>
      <c r="B215" s="2"/>
    </row>
    <row r="216" spans="1:2" ht="15.75" customHeight="1">
      <c r="A216" s="2"/>
      <c r="B216" s="2"/>
    </row>
    <row r="217" spans="1:2" ht="15.75" customHeight="1">
      <c r="A217" s="2"/>
      <c r="B217" s="2"/>
    </row>
    <row r="218" spans="1:2" ht="15.75" customHeight="1">
      <c r="A218" s="2"/>
      <c r="B218" s="2"/>
    </row>
    <row r="219" spans="1:2" ht="15.75" customHeight="1">
      <c r="A219" s="2"/>
      <c r="B219" s="2"/>
    </row>
    <row r="220" spans="1:2" ht="15.75" customHeight="1">
      <c r="A220" s="2"/>
      <c r="B220" s="2"/>
    </row>
    <row r="221" spans="1:2" ht="15.75" customHeight="1">
      <c r="A221" s="2"/>
      <c r="B221" s="2"/>
    </row>
    <row r="222" spans="1:2" ht="15.75" customHeight="1">
      <c r="A222" s="2"/>
      <c r="B222" s="2"/>
    </row>
    <row r="223" spans="1:2" ht="15.75" customHeight="1">
      <c r="A223" s="2"/>
      <c r="B223" s="2"/>
    </row>
    <row r="224" spans="1:2" ht="15.75" customHeight="1">
      <c r="A224" s="2"/>
      <c r="B224" s="2"/>
    </row>
    <row r="225" spans="1:2" ht="15.75" customHeight="1">
      <c r="A225" s="2"/>
      <c r="B225" s="2"/>
    </row>
    <row r="226" spans="1:2" ht="15.75" customHeight="1">
      <c r="A226" s="2"/>
      <c r="B226" s="2"/>
    </row>
    <row r="227" spans="1:2" ht="15.75" customHeight="1">
      <c r="A227" s="2"/>
      <c r="B227" s="2"/>
    </row>
    <row r="228" spans="1:2" ht="15.75" customHeight="1">
      <c r="A228" s="2"/>
      <c r="B228" s="2"/>
    </row>
    <row r="229" spans="1:2" ht="15.75" customHeight="1">
      <c r="A229" s="2"/>
      <c r="B229" s="2"/>
    </row>
    <row r="230" spans="1:2" ht="15.75" customHeight="1">
      <c r="A230" s="2"/>
      <c r="B230" s="2"/>
    </row>
    <row r="231" spans="1:2" ht="15.75" customHeight="1">
      <c r="A231" s="2"/>
      <c r="B231" s="2"/>
    </row>
    <row r="232" spans="1:2" ht="15.75" customHeight="1">
      <c r="A232" s="2"/>
      <c r="B232" s="2"/>
    </row>
    <row r="233" spans="1:2" ht="15.75" customHeight="1">
      <c r="A233" s="2"/>
      <c r="B233" s="2"/>
    </row>
    <row r="234" spans="1:2" ht="15.75" customHeight="1">
      <c r="A234" s="2"/>
      <c r="B234" s="2"/>
    </row>
    <row r="235" spans="1:2" ht="15.75" customHeight="1">
      <c r="A235" s="2"/>
      <c r="B235" s="2"/>
    </row>
    <row r="236" spans="1:2" ht="15.75" customHeight="1">
      <c r="A236" s="2"/>
      <c r="B236" s="2"/>
    </row>
    <row r="237" spans="1:2" ht="15.75" customHeight="1">
      <c r="A237" s="2"/>
      <c r="B237" s="2"/>
    </row>
    <row r="238" spans="1:2" ht="15.75" customHeight="1">
      <c r="A238" s="2"/>
      <c r="B238" s="2"/>
    </row>
    <row r="239" spans="1:2" ht="15.75" customHeight="1">
      <c r="A239" s="2"/>
      <c r="B239" s="2"/>
    </row>
    <row r="240" spans="1:2" ht="15.75" customHeight="1">
      <c r="A240" s="2"/>
      <c r="B240" s="2"/>
    </row>
    <row r="241" spans="1:2" ht="15.75" customHeight="1">
      <c r="A241" s="2"/>
      <c r="B241" s="2"/>
    </row>
    <row r="242" spans="1:2" ht="15.75" customHeight="1">
      <c r="A242" s="2"/>
      <c r="B242" s="2"/>
    </row>
    <row r="243" spans="1:2" ht="15.75" customHeight="1">
      <c r="A243" s="2"/>
      <c r="B243" s="2"/>
    </row>
    <row r="244" spans="1:2" ht="15.75" customHeight="1">
      <c r="A244" s="2"/>
      <c r="B244" s="2"/>
    </row>
    <row r="245" spans="1:2" ht="15.75" customHeight="1">
      <c r="A245" s="2"/>
      <c r="B245" s="2"/>
    </row>
    <row r="246" spans="1:2" ht="15.75" customHeight="1">
      <c r="A246" s="2"/>
      <c r="B246" s="2"/>
    </row>
    <row r="247" spans="1:2" ht="15.75" customHeight="1">
      <c r="A247" s="2"/>
      <c r="B247" s="2"/>
    </row>
    <row r="248" spans="1:2" ht="15.75" customHeight="1">
      <c r="A248" s="2"/>
      <c r="B248" s="2"/>
    </row>
    <row r="249" spans="1:2" ht="15.75" customHeight="1">
      <c r="A249" s="2"/>
      <c r="B249" s="2"/>
    </row>
    <row r="250" spans="1:2" ht="15.75" customHeight="1">
      <c r="A250" s="2"/>
      <c r="B250" s="2"/>
    </row>
    <row r="251" spans="1:2" ht="15.75" customHeight="1">
      <c r="A251" s="2"/>
      <c r="B251" s="2"/>
    </row>
    <row r="252" spans="1:2" ht="15.75" customHeight="1">
      <c r="A252" s="2"/>
      <c r="B252" s="2"/>
    </row>
    <row r="253" spans="1:2" ht="15.75" customHeight="1">
      <c r="A253" s="2"/>
      <c r="B253" s="2"/>
    </row>
    <row r="254" spans="1:2" ht="15.75" customHeight="1">
      <c r="A254" s="2"/>
      <c r="B254" s="2"/>
    </row>
    <row r="255" spans="1:2" ht="15.75" customHeight="1">
      <c r="A255" s="2"/>
      <c r="B255" s="2"/>
    </row>
    <row r="256" spans="1:2" ht="15.75" customHeight="1">
      <c r="A256" s="2"/>
      <c r="B256" s="2"/>
    </row>
    <row r="257" spans="1:2" ht="15.75" customHeight="1">
      <c r="A257" s="2"/>
      <c r="B257" s="2"/>
    </row>
    <row r="258" spans="1:2" ht="15.75" customHeight="1">
      <c r="A258" s="2"/>
      <c r="B258" s="2"/>
    </row>
    <row r="259" spans="1:2" ht="15.75" customHeight="1">
      <c r="A259" s="2"/>
      <c r="B259" s="2"/>
    </row>
    <row r="260" spans="1:2" ht="15.75" customHeight="1">
      <c r="A260" s="2"/>
      <c r="B260" s="2"/>
    </row>
    <row r="261" spans="1:2" ht="15.75" customHeight="1">
      <c r="A261" s="2"/>
      <c r="B261" s="2"/>
    </row>
    <row r="262" spans="1:2" ht="15.75" customHeight="1">
      <c r="A262" s="2"/>
      <c r="B262" s="2"/>
    </row>
    <row r="263" spans="1:2" ht="15.75" customHeight="1">
      <c r="A263" s="2"/>
      <c r="B263" s="2"/>
    </row>
    <row r="264" spans="1:2" ht="15.75" customHeight="1">
      <c r="A264" s="2"/>
      <c r="B264" s="2"/>
    </row>
    <row r="265" spans="1:2" ht="15.75" customHeight="1">
      <c r="A265" s="2"/>
      <c r="B265" s="2"/>
    </row>
    <row r="266" spans="1:2" ht="15.75" customHeight="1">
      <c r="A266" s="2"/>
      <c r="B266" s="2"/>
    </row>
    <row r="267" spans="1:2" ht="15.75" customHeight="1">
      <c r="A267" s="2"/>
      <c r="B267" s="2"/>
    </row>
    <row r="268" spans="1:2" ht="15.75" customHeight="1">
      <c r="A268" s="2"/>
      <c r="B268" s="2"/>
    </row>
    <row r="269" spans="1:2" ht="15.75" customHeight="1">
      <c r="A269" s="2"/>
      <c r="B269" s="2"/>
    </row>
    <row r="270" spans="1:2" ht="15.75" customHeight="1">
      <c r="A270" s="2"/>
      <c r="B270" s="2"/>
    </row>
    <row r="271" spans="1:2" ht="15.75" customHeight="1">
      <c r="A271" s="2"/>
      <c r="B271" s="2"/>
    </row>
    <row r="272" spans="1:2" ht="15.75" customHeight="1">
      <c r="A272" s="2"/>
      <c r="B272" s="2"/>
    </row>
    <row r="273" spans="1:2" ht="15.75" customHeight="1">
      <c r="A273" s="2"/>
      <c r="B273" s="2"/>
    </row>
    <row r="274" spans="1:2" ht="15.75" customHeight="1">
      <c r="A274" s="2"/>
      <c r="B274" s="2"/>
    </row>
    <row r="275" spans="1:2" ht="15.75" customHeight="1">
      <c r="A275" s="2"/>
      <c r="B275" s="2"/>
    </row>
    <row r="276" spans="1:2" ht="15.75" customHeight="1">
      <c r="A276" s="2"/>
      <c r="B276" s="2"/>
    </row>
    <row r="277" spans="1:2" ht="15.75" customHeight="1">
      <c r="A277" s="2"/>
      <c r="B277" s="2"/>
    </row>
    <row r="278" spans="1:2" ht="15.75" customHeight="1">
      <c r="A278" s="2"/>
      <c r="B278" s="2"/>
    </row>
    <row r="279" spans="1:2" ht="15.75" customHeight="1">
      <c r="A279" s="2"/>
      <c r="B279" s="2"/>
    </row>
    <row r="280" spans="1:2" ht="15.75" customHeight="1">
      <c r="A280" s="2"/>
      <c r="B280" s="2"/>
    </row>
    <row r="281" spans="1:2" ht="15.75" customHeight="1">
      <c r="A281" s="2"/>
      <c r="B281" s="2"/>
    </row>
    <row r="282" spans="1:2" ht="15.75" customHeight="1">
      <c r="A282" s="2"/>
      <c r="B282" s="2"/>
    </row>
    <row r="283" spans="1:2" ht="15.75" customHeight="1">
      <c r="A283" s="2"/>
      <c r="B283" s="2"/>
    </row>
    <row r="284" spans="1:2" ht="15.75" customHeight="1">
      <c r="A284" s="2"/>
      <c r="B284" s="2"/>
    </row>
    <row r="285" spans="1:2" ht="15.75" customHeight="1">
      <c r="A285" s="2"/>
      <c r="B285" s="2"/>
    </row>
    <row r="286" spans="1:2" ht="15.75" customHeight="1">
      <c r="A286" s="2"/>
      <c r="B286" s="2"/>
    </row>
    <row r="287" spans="1:2" ht="15.75" customHeight="1">
      <c r="A287" s="2"/>
      <c r="B287" s="2"/>
    </row>
    <row r="288" spans="1:2" ht="15.75" customHeight="1">
      <c r="A288" s="2"/>
      <c r="B288" s="2"/>
    </row>
    <row r="289" spans="1:2" ht="15.75" customHeight="1">
      <c r="A289" s="2"/>
      <c r="B289" s="2"/>
    </row>
    <row r="290" spans="1:2" ht="15.75" customHeight="1">
      <c r="A290" s="2"/>
      <c r="B290" s="2"/>
    </row>
    <row r="291" spans="1:2" ht="15.75" customHeight="1">
      <c r="A291" s="2"/>
      <c r="B291" s="2"/>
    </row>
    <row r="292" spans="1:2" ht="15.75" customHeight="1">
      <c r="A292" s="2"/>
      <c r="B292" s="2"/>
    </row>
    <row r="293" spans="1:2" ht="15.75" customHeight="1">
      <c r="A293" s="2"/>
      <c r="B293" s="2"/>
    </row>
    <row r="294" spans="1:2" ht="15.75" customHeight="1">
      <c r="A294" s="2"/>
      <c r="B294" s="2"/>
    </row>
    <row r="295" spans="1:2" ht="15.75" customHeight="1">
      <c r="A295" s="2"/>
      <c r="B295" s="2"/>
    </row>
    <row r="296" spans="1:2" ht="15.75" customHeight="1">
      <c r="A296" s="2"/>
      <c r="B296" s="2"/>
    </row>
    <row r="297" spans="1:2" ht="15.75" customHeight="1">
      <c r="A297" s="2"/>
      <c r="B297" s="2"/>
    </row>
    <row r="298" spans="1:2" ht="15.75" customHeight="1">
      <c r="A298" s="2"/>
      <c r="B298" s="2"/>
    </row>
    <row r="299" spans="1:2" ht="15.75" customHeight="1">
      <c r="A299" s="2"/>
      <c r="B299" s="2"/>
    </row>
    <row r="300" spans="1:2" ht="15.75" customHeight="1">
      <c r="A300" s="2"/>
      <c r="B300" s="2"/>
    </row>
    <row r="301" spans="1:2" ht="15.75" customHeight="1">
      <c r="A301" s="2"/>
      <c r="B301" s="2"/>
    </row>
    <row r="302" spans="1:2" ht="15.75" customHeight="1">
      <c r="A302" s="2"/>
      <c r="B302" s="2"/>
    </row>
    <row r="303" spans="1:2" ht="15.75" customHeight="1">
      <c r="A303" s="2"/>
      <c r="B303" s="2"/>
    </row>
    <row r="304" spans="1:2" ht="15.75" customHeight="1">
      <c r="A304" s="2"/>
      <c r="B304" s="2"/>
    </row>
    <row r="305" spans="1:2" ht="15.75" customHeight="1">
      <c r="A305" s="2"/>
      <c r="B305" s="2"/>
    </row>
    <row r="306" spans="1:2" ht="15.75" customHeight="1">
      <c r="A306" s="2"/>
      <c r="B306" s="2"/>
    </row>
    <row r="307" spans="1:2" ht="15.75" customHeight="1">
      <c r="A307" s="2"/>
      <c r="B307" s="2"/>
    </row>
    <row r="308" spans="1:2" ht="15.75" customHeight="1">
      <c r="A308" s="2"/>
      <c r="B308" s="2"/>
    </row>
    <row r="309" spans="1:2" ht="15.75" customHeight="1">
      <c r="A309" s="2"/>
      <c r="B309" s="2"/>
    </row>
    <row r="310" spans="1:2" ht="15.75" customHeight="1">
      <c r="A310" s="2"/>
      <c r="B310" s="2"/>
    </row>
    <row r="311" spans="1:2" ht="15.75" customHeight="1">
      <c r="A311" s="2"/>
      <c r="B311" s="2"/>
    </row>
    <row r="312" spans="1:2" ht="15.75" customHeight="1">
      <c r="A312" s="2"/>
      <c r="B312" s="2"/>
    </row>
    <row r="313" spans="1:2" ht="15.75" customHeight="1">
      <c r="A313" s="2"/>
      <c r="B313" s="2"/>
    </row>
    <row r="314" spans="1:2" ht="15.75" customHeight="1">
      <c r="A314" s="2"/>
      <c r="B314" s="2"/>
    </row>
    <row r="315" spans="1:2" ht="15.75" customHeight="1">
      <c r="A315" s="2"/>
      <c r="B315" s="2"/>
    </row>
    <row r="316" spans="1:2" ht="15.75" customHeight="1">
      <c r="A316" s="2"/>
      <c r="B316" s="2"/>
    </row>
    <row r="317" spans="1:2" ht="15.75" customHeight="1">
      <c r="A317" s="2"/>
      <c r="B317" s="2"/>
    </row>
    <row r="318" spans="1:2" ht="15.75" customHeight="1">
      <c r="A318" s="2"/>
      <c r="B318" s="2"/>
    </row>
    <row r="319" spans="1:2" ht="15.75" customHeight="1">
      <c r="A319" s="2"/>
      <c r="B319" s="2"/>
    </row>
    <row r="320" spans="1:2" ht="15.75" customHeight="1">
      <c r="A320" s="2"/>
      <c r="B320" s="2"/>
    </row>
    <row r="321" spans="1:2" ht="15.75" customHeight="1">
      <c r="A321" s="2"/>
      <c r="B321" s="2"/>
    </row>
    <row r="322" spans="1:2" ht="15.75" customHeight="1">
      <c r="A322" s="2"/>
      <c r="B322" s="2"/>
    </row>
    <row r="323" spans="1:2" ht="15.75" customHeight="1">
      <c r="A323" s="2"/>
      <c r="B323" s="2"/>
    </row>
    <row r="324" spans="1:2" ht="15.75" customHeight="1">
      <c r="A324" s="2"/>
      <c r="B324" s="2"/>
    </row>
    <row r="325" spans="1:2" ht="15.75" customHeight="1">
      <c r="A325" s="2"/>
      <c r="B325" s="2"/>
    </row>
    <row r="326" spans="1:2" ht="15.75" customHeight="1">
      <c r="A326" s="2"/>
      <c r="B326" s="2"/>
    </row>
    <row r="327" spans="1:2" ht="15.75" customHeight="1">
      <c r="A327" s="2"/>
      <c r="B327" s="2"/>
    </row>
    <row r="328" spans="1:2" ht="15.75" customHeight="1">
      <c r="A328" s="2"/>
      <c r="B328" s="2"/>
    </row>
    <row r="329" spans="1:2" ht="15.75" customHeight="1">
      <c r="A329" s="2"/>
      <c r="B329" s="2"/>
    </row>
    <row r="330" spans="1:2" ht="15.75" customHeight="1">
      <c r="A330" s="2"/>
      <c r="B330" s="2"/>
    </row>
    <row r="331" spans="1:2" ht="15.75" customHeight="1">
      <c r="A331" s="2"/>
      <c r="B331" s="2"/>
    </row>
    <row r="332" spans="1:2" ht="15.75" customHeight="1">
      <c r="A332" s="2"/>
      <c r="B332" s="2"/>
    </row>
    <row r="333" spans="1:2" ht="15.75" customHeight="1">
      <c r="A333" s="2"/>
      <c r="B333" s="2"/>
    </row>
    <row r="334" spans="1:2" ht="15.75" customHeight="1">
      <c r="A334" s="2"/>
      <c r="B334" s="2"/>
    </row>
    <row r="335" spans="1:2" ht="15.75" customHeight="1">
      <c r="A335" s="2"/>
      <c r="B335" s="2"/>
    </row>
    <row r="336" spans="1:2" ht="15.75" customHeight="1">
      <c r="A336" s="2"/>
      <c r="B336" s="2"/>
    </row>
    <row r="337" spans="1:2" ht="15.75" customHeight="1">
      <c r="A337" s="2"/>
      <c r="B337" s="2"/>
    </row>
    <row r="338" spans="1:2" ht="15.75" customHeight="1">
      <c r="A338" s="2"/>
      <c r="B338" s="2"/>
    </row>
    <row r="339" spans="1:2" ht="15.75" customHeight="1">
      <c r="A339" s="2"/>
      <c r="B339" s="2"/>
    </row>
    <row r="340" spans="1:2" ht="15.75" customHeight="1">
      <c r="A340" s="2"/>
      <c r="B340" s="2"/>
    </row>
    <row r="341" spans="1:2" ht="15.75" customHeight="1">
      <c r="A341" s="2"/>
      <c r="B341" s="2"/>
    </row>
    <row r="342" spans="1:2" ht="15.75" customHeight="1">
      <c r="A342" s="2"/>
      <c r="B342" s="2"/>
    </row>
    <row r="343" spans="1:2" ht="15.75" customHeight="1">
      <c r="A343" s="2"/>
      <c r="B343" s="2"/>
    </row>
    <row r="344" spans="1:2" ht="15.75" customHeight="1">
      <c r="A344" s="2"/>
      <c r="B344" s="2"/>
    </row>
    <row r="345" spans="1:2" ht="15.75" customHeight="1">
      <c r="A345" s="2"/>
      <c r="B345" s="2"/>
    </row>
    <row r="346" spans="1:2" ht="15.75" customHeight="1">
      <c r="A346" s="2"/>
      <c r="B346" s="2"/>
    </row>
    <row r="347" spans="1:2" ht="15.75" customHeight="1">
      <c r="A347" s="2"/>
      <c r="B347" s="2"/>
    </row>
    <row r="348" spans="1:2" ht="15.75" customHeight="1">
      <c r="A348" s="2"/>
      <c r="B348" s="2"/>
    </row>
    <row r="349" spans="1:2" ht="15.75" customHeight="1">
      <c r="A349" s="2"/>
      <c r="B349" s="2"/>
    </row>
    <row r="350" spans="1:2" ht="15.75" customHeight="1">
      <c r="A350" s="2"/>
      <c r="B350" s="2"/>
    </row>
    <row r="351" spans="1:2" ht="15.75" customHeight="1">
      <c r="A351" s="2"/>
      <c r="B351" s="2"/>
    </row>
    <row r="352" spans="1:2" ht="15.75" customHeight="1">
      <c r="A352" s="2"/>
      <c r="B352" s="2"/>
    </row>
    <row r="353" spans="1:2" ht="15.75" customHeight="1">
      <c r="A353" s="2"/>
      <c r="B353" s="2"/>
    </row>
    <row r="354" spans="1:2" ht="15.75" customHeight="1">
      <c r="A354" s="2"/>
      <c r="B354" s="2"/>
    </row>
    <row r="355" spans="1:2" ht="15.75" customHeight="1">
      <c r="A355" s="2"/>
      <c r="B355" s="2"/>
    </row>
    <row r="356" spans="1:2" ht="15.75" customHeight="1">
      <c r="A356" s="2"/>
      <c r="B356" s="2"/>
    </row>
    <row r="357" spans="1:2" ht="15.75" customHeight="1">
      <c r="A357" s="2"/>
      <c r="B357" s="2"/>
    </row>
    <row r="358" spans="1:2" ht="15.75" customHeight="1">
      <c r="A358" s="2"/>
      <c r="B358" s="2"/>
    </row>
    <row r="359" spans="1:2" ht="15.75" customHeight="1">
      <c r="A359" s="2"/>
      <c r="B359" s="2"/>
    </row>
    <row r="360" spans="1:2" ht="15.75" customHeight="1">
      <c r="A360" s="2"/>
      <c r="B360" s="2"/>
    </row>
    <row r="361" spans="1:2" ht="15.75" customHeight="1">
      <c r="A361" s="2"/>
      <c r="B361" s="2"/>
    </row>
    <row r="362" spans="1:2" ht="15.75" customHeight="1">
      <c r="A362" s="2"/>
      <c r="B362" s="2"/>
    </row>
    <row r="363" spans="1:2" ht="15.75" customHeight="1">
      <c r="A363" s="2"/>
      <c r="B363" s="2"/>
    </row>
    <row r="364" spans="1:2" ht="15.75" customHeight="1">
      <c r="A364" s="2"/>
      <c r="B364" s="2"/>
    </row>
    <row r="365" spans="1:2" ht="15.75" customHeight="1">
      <c r="A365" s="2"/>
      <c r="B365" s="2"/>
    </row>
    <row r="366" spans="1:2" ht="15.75" customHeight="1">
      <c r="A366" s="2"/>
      <c r="B366" s="2"/>
    </row>
    <row r="367" spans="1:2" ht="15.75" customHeight="1">
      <c r="A367" s="2"/>
      <c r="B367" s="2"/>
    </row>
    <row r="368" spans="1:2" ht="15.75" customHeight="1">
      <c r="A368" s="2"/>
      <c r="B368" s="2"/>
    </row>
    <row r="369" spans="1:2" ht="15.75" customHeight="1">
      <c r="A369" s="2"/>
      <c r="B369" s="2"/>
    </row>
    <row r="370" spans="1:2" ht="15.75" customHeight="1">
      <c r="A370" s="2"/>
      <c r="B370" s="2"/>
    </row>
    <row r="371" spans="1:2" ht="15.75" customHeight="1">
      <c r="A371" s="2"/>
      <c r="B371" s="2"/>
    </row>
    <row r="372" spans="1:2" ht="15.75" customHeight="1">
      <c r="A372" s="2"/>
      <c r="B372" s="2"/>
    </row>
    <row r="373" spans="1:2" ht="15.75" customHeight="1">
      <c r="A373" s="2"/>
      <c r="B373" s="2"/>
    </row>
    <row r="374" spans="1:2" ht="15.75" customHeight="1">
      <c r="A374" s="2"/>
      <c r="B374" s="2"/>
    </row>
    <row r="375" spans="1:2" ht="15.75" customHeight="1">
      <c r="A375" s="2"/>
      <c r="B375" s="2"/>
    </row>
    <row r="376" spans="1:2" ht="15.75" customHeight="1">
      <c r="A376" s="2"/>
      <c r="B376" s="2"/>
    </row>
    <row r="377" spans="1:2" ht="15.75" customHeight="1">
      <c r="A377" s="2"/>
      <c r="B377" s="2"/>
    </row>
    <row r="378" spans="1:2" ht="15.75" customHeight="1">
      <c r="A378" s="2"/>
      <c r="B378" s="2"/>
    </row>
    <row r="379" spans="1:2" ht="15.75" customHeight="1">
      <c r="A379" s="2"/>
      <c r="B379" s="2"/>
    </row>
    <row r="380" spans="1:2" ht="15.75" customHeight="1">
      <c r="A380" s="2"/>
      <c r="B380" s="2"/>
    </row>
    <row r="381" spans="1:2" ht="15.75" customHeight="1">
      <c r="A381" s="2"/>
      <c r="B381" s="2"/>
    </row>
    <row r="382" spans="1:2" ht="15.75" customHeight="1">
      <c r="A382" s="2"/>
      <c r="B382" s="2"/>
    </row>
    <row r="383" spans="1:2" ht="15.75" customHeight="1">
      <c r="A383" s="2"/>
      <c r="B383" s="2"/>
    </row>
    <row r="384" spans="1:2" ht="15.75" customHeight="1">
      <c r="A384" s="2"/>
      <c r="B384" s="2"/>
    </row>
    <row r="385" spans="1:2" ht="15.75" customHeight="1">
      <c r="A385" s="2"/>
      <c r="B385" s="2"/>
    </row>
    <row r="386" spans="1:2" ht="15.75" customHeight="1">
      <c r="A386" s="2"/>
      <c r="B386" s="2"/>
    </row>
    <row r="387" spans="1:2" ht="15.75" customHeight="1">
      <c r="A387" s="2"/>
      <c r="B387" s="2"/>
    </row>
    <row r="388" spans="1:2" ht="15.75" customHeight="1">
      <c r="A388" s="2"/>
      <c r="B388" s="2"/>
    </row>
    <row r="389" spans="1:2" ht="15.75" customHeight="1">
      <c r="A389" s="2"/>
      <c r="B389" s="2"/>
    </row>
    <row r="390" spans="1:2" ht="15.75" customHeight="1">
      <c r="A390" s="2"/>
      <c r="B390" s="2"/>
    </row>
    <row r="391" spans="1:2" ht="15.75" customHeight="1">
      <c r="A391" s="2"/>
      <c r="B391" s="2"/>
    </row>
    <row r="392" spans="1:2" ht="15.75" customHeight="1">
      <c r="A392" s="2"/>
      <c r="B392" s="2"/>
    </row>
    <row r="393" spans="1:2" ht="15.75" customHeight="1">
      <c r="A393" s="2"/>
      <c r="B393" s="2"/>
    </row>
    <row r="394" spans="1:2" ht="15.75" customHeight="1">
      <c r="A394" s="2"/>
      <c r="B394" s="2"/>
    </row>
    <row r="395" spans="1:2" ht="15.75" customHeight="1">
      <c r="A395" s="2"/>
      <c r="B395" s="2"/>
    </row>
    <row r="396" spans="1:2" ht="15.75" customHeight="1">
      <c r="A396" s="2"/>
      <c r="B396" s="2"/>
    </row>
    <row r="397" spans="1:2" ht="15.75" customHeight="1">
      <c r="A397" s="2"/>
      <c r="B397" s="2"/>
    </row>
    <row r="398" spans="1:2" ht="15.75" customHeight="1">
      <c r="A398" s="2"/>
      <c r="B398" s="2"/>
    </row>
    <row r="399" spans="1:2" ht="15.75" customHeight="1">
      <c r="A399" s="2"/>
      <c r="B399" s="2"/>
    </row>
    <row r="400" spans="1:2" ht="15.75" customHeight="1">
      <c r="A400" s="2"/>
      <c r="B400" s="2"/>
    </row>
    <row r="401" spans="1:2" ht="15.75" customHeight="1">
      <c r="A401" s="2"/>
      <c r="B401" s="2"/>
    </row>
    <row r="402" spans="1:2" ht="15.75" customHeight="1">
      <c r="A402" s="2"/>
      <c r="B402" s="2"/>
    </row>
    <row r="403" spans="1:2" ht="15.75" customHeight="1">
      <c r="A403" s="2"/>
      <c r="B403" s="2"/>
    </row>
    <row r="404" spans="1:2" ht="15.75" customHeight="1">
      <c r="A404" s="2"/>
      <c r="B404" s="2"/>
    </row>
    <row r="405" spans="1:2" ht="15.75" customHeight="1">
      <c r="A405" s="2"/>
      <c r="B405" s="2"/>
    </row>
    <row r="406" spans="1:2" ht="15.75" customHeight="1">
      <c r="A406" s="2"/>
      <c r="B406" s="2"/>
    </row>
    <row r="407" spans="1:2" ht="15.75" customHeight="1">
      <c r="A407" s="2"/>
      <c r="B407" s="2"/>
    </row>
    <row r="408" spans="1:2" ht="15.75" customHeight="1">
      <c r="A408" s="2"/>
      <c r="B408" s="2"/>
    </row>
    <row r="409" spans="1:2" ht="15.75" customHeight="1">
      <c r="A409" s="2"/>
      <c r="B409" s="2"/>
    </row>
    <row r="410" spans="1:2" ht="15.75" customHeight="1">
      <c r="A410" s="2"/>
      <c r="B410" s="2"/>
    </row>
    <row r="411" spans="1:2" ht="15.75" customHeight="1">
      <c r="A411" s="2"/>
      <c r="B411" s="2"/>
    </row>
    <row r="412" spans="1:2" ht="15.75" customHeight="1">
      <c r="A412" s="2"/>
      <c r="B412" s="2"/>
    </row>
    <row r="413" spans="1:2" ht="15.75" customHeight="1">
      <c r="A413" s="2"/>
      <c r="B413" s="2"/>
    </row>
    <row r="414" spans="1:2" ht="15.75" customHeight="1">
      <c r="A414" s="2"/>
      <c r="B414" s="2"/>
    </row>
    <row r="415" spans="1:2" ht="15.75" customHeight="1">
      <c r="A415" s="2"/>
      <c r="B415" s="2"/>
    </row>
    <row r="416" spans="1:2" ht="15.75" customHeight="1">
      <c r="A416" s="2"/>
      <c r="B416" s="2"/>
    </row>
    <row r="417" spans="1:2" ht="15.75" customHeight="1">
      <c r="A417" s="2"/>
      <c r="B417" s="2"/>
    </row>
    <row r="418" spans="1:2" ht="15.75" customHeight="1">
      <c r="A418" s="2"/>
      <c r="B418" s="2"/>
    </row>
    <row r="419" spans="1:2" ht="15.75" customHeight="1">
      <c r="A419" s="2"/>
      <c r="B419" s="2"/>
    </row>
    <row r="420" spans="1:2" ht="15.75" customHeight="1">
      <c r="A420" s="2"/>
      <c r="B420" s="2"/>
    </row>
    <row r="421" spans="1:2" ht="15.75" customHeight="1">
      <c r="A421" s="2"/>
      <c r="B421" s="2"/>
    </row>
    <row r="422" spans="1:2" ht="15.75" customHeight="1">
      <c r="A422" s="2"/>
      <c r="B422" s="2"/>
    </row>
    <row r="423" spans="1:2" ht="15.75" customHeight="1">
      <c r="A423" s="2"/>
      <c r="B423" s="2"/>
    </row>
    <row r="424" spans="1:2" ht="15.75" customHeight="1">
      <c r="A424" s="2"/>
      <c r="B424" s="2"/>
    </row>
    <row r="425" spans="1:2" ht="15.75" customHeight="1">
      <c r="A425" s="2"/>
      <c r="B425" s="2"/>
    </row>
    <row r="426" spans="1:2" ht="15.75" customHeight="1">
      <c r="A426" s="2"/>
      <c r="B426" s="2"/>
    </row>
    <row r="427" spans="1:2" ht="15.75" customHeight="1">
      <c r="A427" s="2"/>
      <c r="B427" s="2"/>
    </row>
    <row r="428" spans="1:2" ht="15.75" customHeight="1">
      <c r="A428" s="2"/>
      <c r="B428" s="2"/>
    </row>
    <row r="429" spans="1:2" ht="15.75" customHeight="1">
      <c r="A429" s="2"/>
      <c r="B429" s="2"/>
    </row>
    <row r="430" spans="1:2" ht="15.75" customHeight="1">
      <c r="A430" s="2"/>
      <c r="B430" s="2"/>
    </row>
    <row r="431" spans="1:2" ht="15.75" customHeight="1">
      <c r="A431" s="2"/>
      <c r="B431" s="2"/>
    </row>
    <row r="432" spans="1:2" ht="15.75" customHeight="1">
      <c r="A432" s="2"/>
      <c r="B432" s="2"/>
    </row>
    <row r="433" spans="1:2" ht="15.75" customHeight="1">
      <c r="A433" s="2"/>
      <c r="B433" s="2"/>
    </row>
    <row r="434" spans="1:2" ht="15.75" customHeight="1">
      <c r="A434" s="2"/>
      <c r="B434" s="2"/>
    </row>
    <row r="435" spans="1:2" ht="15.75" customHeight="1">
      <c r="A435" s="2"/>
      <c r="B435" s="2"/>
    </row>
    <row r="436" spans="1:2" ht="15.75" customHeight="1">
      <c r="A436" s="2"/>
      <c r="B436" s="2"/>
    </row>
    <row r="437" spans="1:2" ht="15.75" customHeight="1">
      <c r="A437" s="2"/>
      <c r="B437" s="2"/>
    </row>
    <row r="438" spans="1:2" ht="15.75" customHeight="1">
      <c r="A438" s="2"/>
      <c r="B438" s="2"/>
    </row>
    <row r="439" spans="1:2" ht="15.75" customHeight="1">
      <c r="A439" s="2"/>
      <c r="B439" s="2"/>
    </row>
    <row r="440" spans="1:2" ht="15.75" customHeight="1">
      <c r="A440" s="2"/>
      <c r="B440" s="2"/>
    </row>
    <row r="441" spans="1:2" ht="15.75" customHeight="1">
      <c r="A441" s="2"/>
      <c r="B441" s="2"/>
    </row>
    <row r="442" spans="1:2" ht="15.75" customHeight="1">
      <c r="A442" s="2"/>
      <c r="B442" s="2"/>
    </row>
    <row r="443" spans="1:2" ht="15.75" customHeight="1">
      <c r="A443" s="2"/>
      <c r="B443" s="2"/>
    </row>
    <row r="444" spans="1:2" ht="15.75" customHeight="1">
      <c r="A444" s="2"/>
      <c r="B444" s="2"/>
    </row>
    <row r="445" spans="1:2" ht="15.75" customHeight="1">
      <c r="A445" s="2"/>
      <c r="B445" s="2"/>
    </row>
    <row r="446" spans="1:2" ht="15.75" customHeight="1">
      <c r="A446" s="2"/>
      <c r="B446" s="2"/>
    </row>
    <row r="447" spans="1:2" ht="15.75" customHeight="1">
      <c r="A447" s="2"/>
      <c r="B447" s="2"/>
    </row>
    <row r="448" spans="1:2" ht="15.75" customHeight="1">
      <c r="A448" s="2"/>
      <c r="B448" s="2"/>
    </row>
    <row r="449" spans="1:2" ht="15.75" customHeight="1">
      <c r="A449" s="2"/>
      <c r="B449" s="2"/>
    </row>
    <row r="450" spans="1:2" ht="15.75" customHeight="1">
      <c r="A450" s="2"/>
      <c r="B450" s="2"/>
    </row>
    <row r="451" spans="1:2" ht="15.75" customHeight="1">
      <c r="A451" s="2"/>
      <c r="B451" s="2"/>
    </row>
    <row r="452" spans="1:2" ht="15.75" customHeight="1">
      <c r="A452" s="2"/>
      <c r="B452" s="2"/>
    </row>
    <row r="453" spans="1:2" ht="15.75" customHeight="1">
      <c r="A453" s="2"/>
      <c r="B453" s="2"/>
    </row>
    <row r="454" spans="1:2" ht="15.75" customHeight="1">
      <c r="A454" s="2"/>
      <c r="B454" s="2"/>
    </row>
    <row r="455" spans="1:2" ht="15.75" customHeight="1">
      <c r="A455" s="2"/>
      <c r="B455" s="2"/>
    </row>
    <row r="456" spans="1:2" ht="15.75" customHeight="1">
      <c r="A456" s="2"/>
      <c r="B456" s="2"/>
    </row>
    <row r="457" spans="1:2" ht="15.75" customHeight="1">
      <c r="A457" s="2"/>
      <c r="B457" s="2"/>
    </row>
    <row r="458" spans="1:2" ht="15.75" customHeight="1">
      <c r="A458" s="2"/>
      <c r="B458" s="2"/>
    </row>
    <row r="459" spans="1:2" ht="15.75" customHeight="1">
      <c r="A459" s="2"/>
      <c r="B459" s="2"/>
    </row>
    <row r="460" spans="1:2" ht="15.75" customHeight="1">
      <c r="A460" s="2"/>
      <c r="B460" s="2"/>
    </row>
    <row r="461" spans="1:2" ht="15.75" customHeight="1">
      <c r="A461" s="2"/>
      <c r="B461" s="2"/>
    </row>
    <row r="462" spans="1:2" ht="15.75" customHeight="1">
      <c r="A462" s="2"/>
      <c r="B462" s="2"/>
    </row>
    <row r="463" spans="1:2" ht="15.75" customHeight="1">
      <c r="A463" s="2"/>
      <c r="B463" s="2"/>
    </row>
    <row r="464" spans="1:2" ht="15.75" customHeight="1">
      <c r="A464" s="2"/>
      <c r="B464" s="2"/>
    </row>
    <row r="465" spans="1:2" ht="15.75" customHeight="1">
      <c r="A465" s="2"/>
      <c r="B465" s="2"/>
    </row>
    <row r="466" spans="1:2" ht="15.75" customHeight="1">
      <c r="A466" s="2"/>
      <c r="B466" s="2"/>
    </row>
    <row r="467" spans="1:2" ht="15.75" customHeight="1">
      <c r="A467" s="2"/>
      <c r="B467" s="2"/>
    </row>
    <row r="468" spans="1:2" ht="15.75" customHeight="1">
      <c r="A468" s="2"/>
      <c r="B468" s="2"/>
    </row>
    <row r="469" spans="1:2" ht="15.75" customHeight="1">
      <c r="A469" s="2"/>
      <c r="B469" s="2"/>
    </row>
    <row r="470" spans="1:2" ht="15.75" customHeight="1">
      <c r="A470" s="2"/>
      <c r="B470" s="2"/>
    </row>
    <row r="471" spans="1:2" ht="15.75" customHeight="1">
      <c r="A471" s="2"/>
      <c r="B471" s="2"/>
    </row>
    <row r="472" spans="1:2" ht="15.75" customHeight="1">
      <c r="A472" s="2"/>
      <c r="B472" s="2"/>
    </row>
    <row r="473" spans="1:2" ht="15.75" customHeight="1">
      <c r="A473" s="2"/>
      <c r="B473" s="2"/>
    </row>
    <row r="474" spans="1:2" ht="15.75" customHeight="1">
      <c r="A474" s="2"/>
      <c r="B474" s="2"/>
    </row>
    <row r="475" spans="1:2" ht="15.75" customHeight="1">
      <c r="A475" s="2"/>
      <c r="B475" s="2"/>
    </row>
    <row r="476" spans="1:2" ht="15.75" customHeight="1">
      <c r="A476" s="2"/>
      <c r="B476" s="2"/>
    </row>
    <row r="477" spans="1:2" ht="15.75" customHeight="1">
      <c r="A477" s="2"/>
      <c r="B477" s="2"/>
    </row>
    <row r="478" spans="1:2" ht="15.75" customHeight="1">
      <c r="A478" s="2"/>
      <c r="B478" s="2"/>
    </row>
    <row r="479" spans="1:2" ht="15.75" customHeight="1">
      <c r="A479" s="2"/>
      <c r="B479" s="2"/>
    </row>
    <row r="480" spans="1:2" ht="15.75" customHeight="1">
      <c r="A480" s="2"/>
      <c r="B480" s="2"/>
    </row>
    <row r="481" spans="1:2" ht="15.75" customHeight="1">
      <c r="A481" s="2"/>
      <c r="B481" s="2"/>
    </row>
    <row r="482" spans="1:2" ht="15.75" customHeight="1">
      <c r="A482" s="2"/>
      <c r="B482" s="2"/>
    </row>
    <row r="483" spans="1:2" ht="15.75" customHeight="1">
      <c r="A483" s="2"/>
      <c r="B483" s="2"/>
    </row>
    <row r="484" spans="1:2" ht="15.75" customHeight="1">
      <c r="A484" s="2"/>
      <c r="B484" s="2"/>
    </row>
    <row r="485" spans="1:2" ht="15.75" customHeight="1">
      <c r="A485" s="2"/>
      <c r="B485" s="2"/>
    </row>
    <row r="486" spans="1:2" ht="15.75" customHeight="1">
      <c r="A486" s="2"/>
      <c r="B486" s="2"/>
    </row>
    <row r="487" spans="1:2" ht="15.75" customHeight="1">
      <c r="A487" s="2"/>
      <c r="B487" s="2"/>
    </row>
    <row r="488" spans="1:2" ht="15.75" customHeight="1">
      <c r="A488" s="2"/>
      <c r="B488" s="2"/>
    </row>
    <row r="489" spans="1:2" ht="15.75" customHeight="1">
      <c r="A489" s="2"/>
      <c r="B489" s="2"/>
    </row>
    <row r="490" spans="1:2" ht="15.75" customHeight="1">
      <c r="A490" s="2"/>
      <c r="B490" s="2"/>
    </row>
    <row r="491" spans="1:2" ht="15.75" customHeight="1">
      <c r="A491" s="2"/>
      <c r="B491" s="2"/>
    </row>
    <row r="492" spans="1:2" ht="15.75" customHeight="1">
      <c r="A492" s="2"/>
      <c r="B492" s="2"/>
    </row>
    <row r="493" spans="1:2" ht="15.75" customHeight="1">
      <c r="A493" s="2"/>
      <c r="B493" s="2"/>
    </row>
    <row r="494" spans="1:2" ht="15.75" customHeight="1">
      <c r="A494" s="2"/>
      <c r="B494" s="2"/>
    </row>
    <row r="495" spans="1:2" ht="15.75" customHeight="1">
      <c r="A495" s="2"/>
      <c r="B495" s="2"/>
    </row>
    <row r="496" spans="1:2" ht="15.75" customHeight="1">
      <c r="A496" s="2"/>
      <c r="B496" s="2"/>
    </row>
    <row r="497" spans="1:2" ht="15.75" customHeight="1">
      <c r="A497" s="2"/>
      <c r="B497" s="2"/>
    </row>
    <row r="498" spans="1:2" ht="15.75" customHeight="1">
      <c r="A498" s="2"/>
      <c r="B498" s="2"/>
    </row>
    <row r="499" spans="1:2" ht="15.75" customHeight="1">
      <c r="A499" s="2"/>
      <c r="B499" s="2"/>
    </row>
    <row r="500" spans="1:2" ht="15.75" customHeight="1">
      <c r="A500" s="2"/>
      <c r="B500" s="2"/>
    </row>
    <row r="501" spans="1:2" ht="15.75" customHeight="1">
      <c r="A501" s="2"/>
      <c r="B501" s="2"/>
    </row>
    <row r="502" spans="1:2" ht="15.75" customHeight="1">
      <c r="A502" s="2"/>
      <c r="B502" s="2"/>
    </row>
    <row r="503" spans="1:2" ht="15.75" customHeight="1">
      <c r="A503" s="2"/>
      <c r="B503" s="2"/>
    </row>
    <row r="504" spans="1:2" ht="15.75" customHeight="1">
      <c r="A504" s="2"/>
      <c r="B504" s="2"/>
    </row>
    <row r="505" spans="1:2" ht="15.75" customHeight="1">
      <c r="A505" s="2"/>
      <c r="B505" s="2"/>
    </row>
    <row r="506" spans="1:2" ht="15.75" customHeight="1">
      <c r="A506" s="2"/>
      <c r="B506" s="2"/>
    </row>
    <row r="507" spans="1:2" ht="15.75" customHeight="1">
      <c r="A507" s="2"/>
      <c r="B507" s="2"/>
    </row>
    <row r="508" spans="1:2" ht="15.75" customHeight="1">
      <c r="A508" s="2"/>
      <c r="B508" s="2"/>
    </row>
    <row r="509" spans="1:2" ht="15.75" customHeight="1">
      <c r="A509" s="2"/>
      <c r="B509" s="2"/>
    </row>
    <row r="510" spans="1:2" ht="15.75" customHeight="1">
      <c r="A510" s="2"/>
      <c r="B510" s="2"/>
    </row>
    <row r="511" spans="1:2" ht="15.75" customHeight="1">
      <c r="A511" s="2"/>
      <c r="B511" s="2"/>
    </row>
    <row r="512" spans="1:2" ht="15.75" customHeight="1">
      <c r="A512" s="2"/>
      <c r="B512" s="2"/>
    </row>
    <row r="513" spans="1:2" ht="15.75" customHeight="1">
      <c r="A513" s="2"/>
      <c r="B513" s="2"/>
    </row>
    <row r="514" spans="1:2" ht="15.75" customHeight="1">
      <c r="A514" s="2"/>
      <c r="B514" s="2"/>
    </row>
    <row r="515" spans="1:2" ht="15.75" customHeight="1">
      <c r="A515" s="2"/>
      <c r="B515" s="2"/>
    </row>
    <row r="516" spans="1:2" ht="15.75" customHeight="1">
      <c r="A516" s="2"/>
      <c r="B516" s="2"/>
    </row>
    <row r="517" spans="1:2" ht="15.75" customHeight="1">
      <c r="A517" s="2"/>
      <c r="B517" s="2"/>
    </row>
    <row r="518" spans="1:2" ht="15.75" customHeight="1">
      <c r="A518" s="2"/>
      <c r="B518" s="2"/>
    </row>
    <row r="519" spans="1:2" ht="15.75" customHeight="1">
      <c r="A519" s="2"/>
      <c r="B519" s="2"/>
    </row>
    <row r="520" spans="1:2" ht="15.75" customHeight="1">
      <c r="A520" s="2"/>
      <c r="B520" s="2"/>
    </row>
    <row r="521" spans="1:2" ht="15.75" customHeight="1">
      <c r="A521" s="2"/>
      <c r="B521" s="2"/>
    </row>
    <row r="522" spans="1:2" ht="15.75" customHeight="1">
      <c r="A522" s="2"/>
      <c r="B522" s="2"/>
    </row>
    <row r="523" spans="1:2" ht="15.75" customHeight="1">
      <c r="A523" s="2"/>
      <c r="B523" s="2"/>
    </row>
    <row r="524" spans="1:2" ht="15.75" customHeight="1">
      <c r="A524" s="2"/>
      <c r="B524" s="2"/>
    </row>
    <row r="525" spans="1:2" ht="15.75" customHeight="1">
      <c r="A525" s="2"/>
      <c r="B525" s="2"/>
    </row>
    <row r="526" spans="1:2" ht="15.75" customHeight="1">
      <c r="A526" s="2"/>
      <c r="B526" s="2"/>
    </row>
    <row r="527" spans="1:2" ht="15.75" customHeight="1">
      <c r="A527" s="2"/>
      <c r="B527" s="2"/>
    </row>
    <row r="528" spans="1:2" ht="15.75" customHeight="1">
      <c r="A528" s="2"/>
      <c r="B528" s="2"/>
    </row>
    <row r="529" spans="1:2" ht="15.75" customHeight="1">
      <c r="A529" s="2"/>
      <c r="B529" s="2"/>
    </row>
    <row r="530" spans="1:2" ht="15.75" customHeight="1">
      <c r="A530" s="2"/>
      <c r="B530" s="2"/>
    </row>
    <row r="531" spans="1:2" ht="15.75" customHeight="1">
      <c r="A531" s="2"/>
      <c r="B531" s="2"/>
    </row>
    <row r="532" spans="1:2" ht="15.75" customHeight="1">
      <c r="A532" s="2"/>
      <c r="B532" s="2"/>
    </row>
    <row r="533" spans="1:2" ht="15.75" customHeight="1">
      <c r="A533" s="2"/>
      <c r="B533" s="2"/>
    </row>
    <row r="534" spans="1:2" ht="15.75" customHeight="1">
      <c r="A534" s="2"/>
      <c r="B534" s="2"/>
    </row>
    <row r="535" spans="1:2" ht="15.75" customHeight="1">
      <c r="A535" s="2"/>
      <c r="B535" s="2"/>
    </row>
    <row r="536" spans="1:2" ht="15.75" customHeight="1">
      <c r="A536" s="2"/>
      <c r="B536" s="2"/>
    </row>
    <row r="537" spans="1:2" ht="15.75" customHeight="1">
      <c r="A537" s="2"/>
      <c r="B537" s="2"/>
    </row>
    <row r="538" spans="1:2" ht="15.75" customHeight="1">
      <c r="A538" s="2"/>
      <c r="B538" s="2"/>
    </row>
    <row r="539" spans="1:2" ht="15.75" customHeight="1">
      <c r="A539" s="2"/>
      <c r="B539" s="2"/>
    </row>
    <row r="540" spans="1:2" ht="15.75" customHeight="1">
      <c r="A540" s="2"/>
      <c r="B540" s="2"/>
    </row>
    <row r="541" spans="1:2" ht="15.75" customHeight="1">
      <c r="A541" s="2"/>
      <c r="B541" s="2"/>
    </row>
    <row r="542" spans="1:2" ht="15.75" customHeight="1">
      <c r="A542" s="2"/>
      <c r="B542" s="2"/>
    </row>
    <row r="543" spans="1:2" ht="15.75" customHeight="1">
      <c r="A543" s="2"/>
      <c r="B543" s="2"/>
    </row>
    <row r="544" spans="1:2" ht="15.75" customHeight="1">
      <c r="A544" s="2"/>
      <c r="B544" s="2"/>
    </row>
    <row r="545" spans="1:2" ht="15.75" customHeight="1">
      <c r="A545" s="2"/>
      <c r="B545" s="2"/>
    </row>
    <row r="546" spans="1:2" ht="15.75" customHeight="1">
      <c r="A546" s="2"/>
      <c r="B546" s="2"/>
    </row>
    <row r="547" spans="1:2" ht="15.75" customHeight="1">
      <c r="A547" s="2"/>
      <c r="B547" s="2"/>
    </row>
    <row r="548" spans="1:2" ht="15.75" customHeight="1">
      <c r="A548" s="2"/>
      <c r="B548" s="2"/>
    </row>
    <row r="549" spans="1:2" ht="15.75" customHeight="1">
      <c r="A549" s="2"/>
      <c r="B549" s="2"/>
    </row>
    <row r="550" spans="1:2" ht="15.75" customHeight="1">
      <c r="A550" s="2"/>
      <c r="B550" s="2"/>
    </row>
    <row r="551" spans="1:2" ht="15.75" customHeight="1">
      <c r="A551" s="2"/>
      <c r="B551" s="2"/>
    </row>
    <row r="552" spans="1:2" ht="15.75" customHeight="1">
      <c r="A552" s="2"/>
      <c r="B552" s="2"/>
    </row>
    <row r="553" spans="1:2" ht="15.75" customHeight="1">
      <c r="A553" s="2"/>
      <c r="B553" s="2"/>
    </row>
    <row r="554" spans="1:2" ht="15.75" customHeight="1">
      <c r="A554" s="2"/>
      <c r="B554" s="2"/>
    </row>
    <row r="555" spans="1:2" ht="15.75" customHeight="1">
      <c r="A555" s="2"/>
      <c r="B555" s="2"/>
    </row>
    <row r="556" spans="1:2" ht="15.75" customHeight="1">
      <c r="A556" s="2"/>
      <c r="B556" s="2"/>
    </row>
    <row r="557" spans="1:2" ht="15.75" customHeight="1">
      <c r="A557" s="2"/>
      <c r="B557" s="2"/>
    </row>
    <row r="558" spans="1:2" ht="15.75" customHeight="1">
      <c r="A558" s="2"/>
      <c r="B558" s="2"/>
    </row>
    <row r="559" spans="1:2" ht="15.75" customHeight="1">
      <c r="A559" s="2"/>
      <c r="B559" s="2"/>
    </row>
    <row r="560" spans="1:2" ht="15.75" customHeight="1">
      <c r="A560" s="2"/>
      <c r="B560" s="2"/>
    </row>
    <row r="561" spans="1:2" ht="15.75" customHeight="1">
      <c r="A561" s="2"/>
      <c r="B561" s="2"/>
    </row>
    <row r="562" spans="1:2" ht="15.75" customHeight="1">
      <c r="A562" s="2"/>
      <c r="B562" s="2"/>
    </row>
    <row r="563" spans="1:2" ht="15.75" customHeight="1">
      <c r="A563" s="2"/>
      <c r="B563" s="2"/>
    </row>
    <row r="564" spans="1:2" ht="15.75" customHeight="1">
      <c r="A564" s="2"/>
      <c r="B564" s="2"/>
    </row>
    <row r="565" spans="1:2" ht="15.75" customHeight="1">
      <c r="A565" s="2"/>
      <c r="B565" s="2"/>
    </row>
    <row r="566" spans="1:2" ht="15.75" customHeight="1">
      <c r="A566" s="2"/>
      <c r="B566" s="2"/>
    </row>
    <row r="567" spans="1:2" ht="15.75" customHeight="1">
      <c r="A567" s="2"/>
      <c r="B567" s="2"/>
    </row>
    <row r="568" spans="1:2" ht="15.75" customHeight="1">
      <c r="A568" s="2"/>
      <c r="B568" s="2"/>
    </row>
    <row r="569" spans="1:2" ht="15.75" customHeight="1">
      <c r="A569" s="2"/>
      <c r="B569" s="2"/>
    </row>
    <row r="570" spans="1:2" ht="15.75" customHeight="1">
      <c r="A570" s="2"/>
      <c r="B570" s="2"/>
    </row>
    <row r="571" spans="1:2" ht="15.75" customHeight="1">
      <c r="A571" s="2"/>
      <c r="B571" s="2"/>
    </row>
    <row r="572" spans="1:2" ht="15.75" customHeight="1">
      <c r="A572" s="2"/>
      <c r="B572" s="2"/>
    </row>
    <row r="573" spans="1:2" ht="15.75" customHeight="1">
      <c r="A573" s="2"/>
      <c r="B573" s="2"/>
    </row>
    <row r="574" spans="1:2" ht="15.75" customHeight="1">
      <c r="A574" s="2"/>
      <c r="B574" s="2"/>
    </row>
    <row r="575" spans="1:2" ht="15.75" customHeight="1">
      <c r="A575" s="2"/>
      <c r="B575" s="2"/>
    </row>
    <row r="576" spans="1:2" ht="15.75" customHeight="1">
      <c r="A576" s="2"/>
      <c r="B576" s="2"/>
    </row>
    <row r="577" spans="1:2" ht="15.75" customHeight="1">
      <c r="A577" s="2"/>
      <c r="B577" s="2"/>
    </row>
    <row r="578" spans="1:2" ht="15.75" customHeight="1">
      <c r="A578" s="2"/>
      <c r="B578" s="2"/>
    </row>
    <row r="579" spans="1:2" ht="15.75" customHeight="1">
      <c r="A579" s="2"/>
      <c r="B579" s="2"/>
    </row>
    <row r="580" spans="1:2" ht="15.75" customHeight="1">
      <c r="A580" s="2"/>
      <c r="B580" s="2"/>
    </row>
    <row r="581" spans="1:2" ht="15.75" customHeight="1">
      <c r="A581" s="2"/>
      <c r="B581" s="2"/>
    </row>
    <row r="582" spans="1:2" ht="15.75" customHeight="1">
      <c r="A582" s="2"/>
      <c r="B582" s="2"/>
    </row>
    <row r="583" spans="1:2" ht="15.75" customHeight="1">
      <c r="A583" s="2"/>
      <c r="B583" s="2"/>
    </row>
    <row r="584" spans="1:2" ht="15.75" customHeight="1">
      <c r="A584" s="2"/>
      <c r="B584" s="2"/>
    </row>
    <row r="585" spans="1:2" ht="15.75" customHeight="1">
      <c r="A585" s="2"/>
      <c r="B585" s="2"/>
    </row>
    <row r="586" spans="1:2" ht="15.75" customHeight="1">
      <c r="A586" s="2"/>
      <c r="B586" s="2"/>
    </row>
    <row r="587" spans="1:2" ht="15.75" customHeight="1">
      <c r="A587" s="2"/>
      <c r="B587" s="2"/>
    </row>
    <row r="588" spans="1:2" ht="15.75" customHeight="1">
      <c r="A588" s="2"/>
      <c r="B588" s="2"/>
    </row>
    <row r="589" spans="1:2" ht="15.75" customHeight="1">
      <c r="A589" s="2"/>
      <c r="B589" s="2"/>
    </row>
    <row r="590" spans="1:2" ht="15.75" customHeight="1">
      <c r="A590" s="2"/>
      <c r="B590" s="2"/>
    </row>
    <row r="591" spans="1:2" ht="15.75" customHeight="1">
      <c r="A591" s="2"/>
      <c r="B591" s="2"/>
    </row>
    <row r="592" spans="1:2" ht="15.75" customHeight="1">
      <c r="A592" s="2"/>
      <c r="B592" s="2"/>
    </row>
    <row r="593" spans="1:2" ht="15.75" customHeight="1">
      <c r="A593" s="2"/>
      <c r="B593" s="2"/>
    </row>
    <row r="594" spans="1:2" ht="15.75" customHeight="1">
      <c r="A594" s="2"/>
      <c r="B594" s="2"/>
    </row>
    <row r="595" spans="1:2" ht="15.75" customHeight="1">
      <c r="A595" s="2"/>
      <c r="B595" s="2"/>
    </row>
    <row r="596" spans="1:2" ht="15.75" customHeight="1">
      <c r="A596" s="2"/>
      <c r="B596" s="2"/>
    </row>
    <row r="597" spans="1:2" ht="15.75" customHeight="1">
      <c r="A597" s="2"/>
      <c r="B597" s="2"/>
    </row>
    <row r="598" spans="1:2" ht="15.75" customHeight="1">
      <c r="A598" s="2"/>
      <c r="B598" s="2"/>
    </row>
    <row r="599" spans="1:2" ht="15.75" customHeight="1">
      <c r="A599" s="2"/>
      <c r="B599" s="2"/>
    </row>
    <row r="600" spans="1:2" ht="15.75" customHeight="1">
      <c r="A600" s="2"/>
      <c r="B600" s="2"/>
    </row>
    <row r="601" spans="1:2" ht="15.75" customHeight="1">
      <c r="A601" s="2"/>
      <c r="B601" s="2"/>
    </row>
    <row r="602" spans="1:2" ht="15.75" customHeight="1">
      <c r="A602" s="2"/>
      <c r="B602" s="2"/>
    </row>
    <row r="603" spans="1:2" ht="15.75" customHeight="1">
      <c r="A603" s="2"/>
      <c r="B603" s="2"/>
    </row>
    <row r="604" spans="1:2" ht="15.75" customHeight="1">
      <c r="A604" s="2"/>
      <c r="B604" s="2"/>
    </row>
    <row r="605" spans="1:2" ht="15.75" customHeight="1">
      <c r="A605" s="2"/>
      <c r="B605" s="2"/>
    </row>
    <row r="606" spans="1:2" ht="15.75" customHeight="1">
      <c r="A606" s="2"/>
      <c r="B606" s="2"/>
    </row>
    <row r="607" spans="1:2" ht="15.75" customHeight="1">
      <c r="A607" s="2"/>
      <c r="B607" s="2"/>
    </row>
    <row r="608" spans="1:2" ht="15.75" customHeight="1">
      <c r="A608" s="2"/>
      <c r="B608" s="2"/>
    </row>
    <row r="609" spans="1:2" ht="15.75" customHeight="1">
      <c r="A609" s="2"/>
      <c r="B609" s="2"/>
    </row>
    <row r="610" spans="1:2" ht="15.75" customHeight="1">
      <c r="A610" s="2"/>
      <c r="B610" s="2"/>
    </row>
    <row r="611" spans="1:2" ht="15.75" customHeight="1">
      <c r="A611" s="2"/>
      <c r="B611" s="2"/>
    </row>
    <row r="612" spans="1:2" ht="15.75" customHeight="1">
      <c r="A612" s="2"/>
      <c r="B612" s="2"/>
    </row>
    <row r="613" spans="1:2" ht="15.75" customHeight="1">
      <c r="A613" s="2"/>
      <c r="B613" s="2"/>
    </row>
    <row r="614" spans="1:2" ht="15.75" customHeight="1">
      <c r="A614" s="2"/>
      <c r="B614" s="2"/>
    </row>
    <row r="615" spans="1:2" ht="15.75" customHeight="1">
      <c r="A615" s="2"/>
      <c r="B615" s="2"/>
    </row>
    <row r="616" spans="1:2" ht="15.75" customHeight="1">
      <c r="A616" s="2"/>
      <c r="B616" s="2"/>
    </row>
    <row r="617" spans="1:2" ht="15.75" customHeight="1">
      <c r="A617" s="2"/>
      <c r="B617" s="2"/>
    </row>
    <row r="618" spans="1:2" ht="15.75" customHeight="1">
      <c r="A618" s="2"/>
      <c r="B618" s="2"/>
    </row>
    <row r="619" spans="1:2" ht="15.75" customHeight="1">
      <c r="A619" s="2"/>
      <c r="B619" s="2"/>
    </row>
    <row r="620" spans="1:2" ht="15.75" customHeight="1">
      <c r="A620" s="2"/>
      <c r="B620" s="2"/>
    </row>
    <row r="621" spans="1:2" ht="15.75" customHeight="1">
      <c r="A621" s="2"/>
      <c r="B621" s="2"/>
    </row>
    <row r="622" spans="1:2" ht="15.75" customHeight="1">
      <c r="A622" s="2"/>
      <c r="B622" s="2"/>
    </row>
    <row r="623" spans="1:2" ht="15.75" customHeight="1">
      <c r="A623" s="2"/>
      <c r="B623" s="2"/>
    </row>
    <row r="624" spans="1:2" ht="15.75" customHeight="1">
      <c r="A624" s="2"/>
      <c r="B624" s="2"/>
    </row>
    <row r="625" spans="1:2" ht="15.75" customHeight="1">
      <c r="A625" s="2"/>
      <c r="B625" s="2"/>
    </row>
    <row r="626" spans="1:2" ht="15.75" customHeight="1">
      <c r="A626" s="2"/>
      <c r="B626" s="2"/>
    </row>
    <row r="627" spans="1:2" ht="15.75" customHeight="1">
      <c r="A627" s="2"/>
      <c r="B627" s="2"/>
    </row>
    <row r="628" spans="1:2" ht="15.75" customHeight="1">
      <c r="A628" s="2"/>
      <c r="B628" s="2"/>
    </row>
    <row r="629" spans="1:2" ht="15.75" customHeight="1">
      <c r="A629" s="2"/>
      <c r="B629" s="2"/>
    </row>
    <row r="630" spans="1:2" ht="15.75" customHeight="1">
      <c r="A630" s="2"/>
      <c r="B630" s="2"/>
    </row>
    <row r="631" spans="1:2" ht="15.75" customHeight="1">
      <c r="A631" s="2"/>
      <c r="B631" s="2"/>
    </row>
    <row r="632" spans="1:2" ht="15.75" customHeight="1">
      <c r="A632" s="2"/>
      <c r="B632" s="2"/>
    </row>
    <row r="633" spans="1:2" ht="15.75" customHeight="1">
      <c r="A633" s="2"/>
      <c r="B633" s="2"/>
    </row>
    <row r="634" spans="1:2" ht="15.75" customHeight="1">
      <c r="A634" s="2"/>
      <c r="B634" s="2"/>
    </row>
    <row r="635" spans="1:2" ht="15.75" customHeight="1">
      <c r="A635" s="2"/>
      <c r="B635" s="2"/>
    </row>
    <row r="636" spans="1:2" ht="15.75" customHeight="1">
      <c r="A636" s="2"/>
      <c r="B636" s="2"/>
    </row>
    <row r="637" spans="1:2" ht="15.75" customHeight="1">
      <c r="A637" s="2"/>
      <c r="B637" s="2"/>
    </row>
    <row r="638" spans="1:2" ht="15.75" customHeight="1">
      <c r="A638" s="2"/>
      <c r="B638" s="2"/>
    </row>
    <row r="639" spans="1:2" ht="15.75" customHeight="1">
      <c r="A639" s="2"/>
      <c r="B639" s="2"/>
    </row>
    <row r="640" spans="1:2" ht="15.75" customHeight="1">
      <c r="A640" s="2"/>
      <c r="B640" s="2"/>
    </row>
    <row r="641" spans="1:2" ht="15.75" customHeight="1">
      <c r="A641" s="2"/>
      <c r="B641" s="2"/>
    </row>
    <row r="642" spans="1:2" ht="15.75" customHeight="1">
      <c r="A642" s="2"/>
      <c r="B642" s="2"/>
    </row>
    <row r="643" spans="1:2" ht="15.75" customHeight="1">
      <c r="A643" s="2"/>
      <c r="B643" s="2"/>
    </row>
    <row r="644" spans="1:2" ht="15.75" customHeight="1">
      <c r="A644" s="2"/>
      <c r="B644" s="2"/>
    </row>
    <row r="645" spans="1:2" ht="15.75" customHeight="1">
      <c r="A645" s="2"/>
      <c r="B645" s="2"/>
    </row>
    <row r="646" spans="1:2" ht="15.75" customHeight="1">
      <c r="A646" s="2"/>
      <c r="B646" s="2"/>
    </row>
    <row r="647" spans="1:2" ht="15.75" customHeight="1">
      <c r="A647" s="2"/>
      <c r="B647" s="2"/>
    </row>
    <row r="648" spans="1:2" ht="15.75" customHeight="1">
      <c r="A648" s="2"/>
      <c r="B648" s="2"/>
    </row>
    <row r="649" spans="1:2" ht="15.75" customHeight="1">
      <c r="A649" s="2"/>
      <c r="B649" s="2"/>
    </row>
    <row r="650" spans="1:2" ht="15.75" customHeight="1">
      <c r="A650" s="2"/>
      <c r="B650" s="2"/>
    </row>
    <row r="651" spans="1:2" ht="15.75" customHeight="1">
      <c r="A651" s="2"/>
      <c r="B651" s="2"/>
    </row>
    <row r="652" spans="1:2" ht="15.75" customHeight="1">
      <c r="A652" s="2"/>
      <c r="B652" s="2"/>
    </row>
    <row r="653" spans="1:2" ht="15.75" customHeight="1">
      <c r="A653" s="2"/>
      <c r="B653" s="2"/>
    </row>
    <row r="654" spans="1:2" ht="15.75" customHeight="1">
      <c r="A654" s="2"/>
      <c r="B654" s="2"/>
    </row>
    <row r="655" spans="1:2" ht="15.75" customHeight="1">
      <c r="A655" s="2"/>
      <c r="B655" s="2"/>
    </row>
    <row r="656" spans="1:2" ht="15.75" customHeight="1">
      <c r="A656" s="2"/>
      <c r="B656" s="2"/>
    </row>
    <row r="657" spans="1:2" ht="15.75" customHeight="1">
      <c r="A657" s="2"/>
      <c r="B657" s="2"/>
    </row>
    <row r="658" spans="1:2" ht="15.75" customHeight="1">
      <c r="A658" s="2"/>
      <c r="B658" s="2"/>
    </row>
    <row r="659" spans="1:2" ht="15.75" customHeight="1">
      <c r="A659" s="2"/>
      <c r="B659" s="2"/>
    </row>
    <row r="660" spans="1:2" ht="15.75" customHeight="1">
      <c r="A660" s="2"/>
      <c r="B660" s="2"/>
    </row>
    <row r="661" spans="1:2" ht="15.75" customHeight="1">
      <c r="A661" s="2"/>
      <c r="B661" s="2"/>
    </row>
    <row r="662" spans="1:2" ht="15.75" customHeight="1">
      <c r="A662" s="2"/>
      <c r="B662" s="2"/>
    </row>
    <row r="663" spans="1:2" ht="15.75" customHeight="1">
      <c r="A663" s="2"/>
      <c r="B663" s="2"/>
    </row>
    <row r="664" spans="1:2" ht="15.75" customHeight="1">
      <c r="A664" s="2"/>
      <c r="B664" s="2"/>
    </row>
    <row r="665" spans="1:2" ht="15.75" customHeight="1">
      <c r="A665" s="2"/>
      <c r="B665" s="2"/>
    </row>
    <row r="666" spans="1:2" ht="15.75" customHeight="1">
      <c r="A666" s="2"/>
      <c r="B666" s="2"/>
    </row>
    <row r="667" spans="1:2" ht="15.75" customHeight="1">
      <c r="A667" s="2"/>
      <c r="B667" s="2"/>
    </row>
    <row r="668" spans="1:2" ht="15.75" customHeight="1">
      <c r="A668" s="2"/>
      <c r="B668" s="2"/>
    </row>
    <row r="669" spans="1:2" ht="15.75" customHeight="1">
      <c r="A669" s="2"/>
      <c r="B669" s="2"/>
    </row>
    <row r="670" spans="1:2" ht="15.75" customHeight="1">
      <c r="A670" s="2"/>
      <c r="B670" s="2"/>
    </row>
    <row r="671" spans="1:2" ht="15.75" customHeight="1">
      <c r="A671" s="2"/>
      <c r="B671" s="2"/>
    </row>
    <row r="672" spans="1:2" ht="15.75" customHeight="1">
      <c r="A672" s="2"/>
      <c r="B672" s="2"/>
    </row>
    <row r="673" spans="1:2" ht="15.75" customHeight="1">
      <c r="A673" s="2"/>
      <c r="B673" s="2"/>
    </row>
    <row r="674" spans="1:2" ht="15.75" customHeight="1">
      <c r="A674" s="2"/>
      <c r="B674" s="2"/>
    </row>
    <row r="675" spans="1:2" ht="15.75" customHeight="1">
      <c r="A675" s="2"/>
      <c r="B675" s="2"/>
    </row>
    <row r="676" spans="1:2" ht="15.75" customHeight="1">
      <c r="A676" s="2"/>
      <c r="B676" s="2"/>
    </row>
    <row r="677" spans="1:2" ht="15.75" customHeight="1">
      <c r="A677" s="2"/>
      <c r="B677" s="2"/>
    </row>
    <row r="678" spans="1:2" ht="15.75" customHeight="1">
      <c r="A678" s="2"/>
      <c r="B678" s="2"/>
    </row>
    <row r="679" spans="1:2" ht="15.75" customHeight="1">
      <c r="A679" s="2"/>
      <c r="B679" s="2"/>
    </row>
    <row r="680" spans="1:2" ht="15.75" customHeight="1">
      <c r="A680" s="2"/>
      <c r="B680" s="2"/>
    </row>
    <row r="681" spans="1:2" ht="15.75" customHeight="1">
      <c r="A681" s="2"/>
      <c r="B681" s="2"/>
    </row>
    <row r="682" spans="1:2" ht="15.75" customHeight="1">
      <c r="A682" s="2"/>
      <c r="B682" s="2"/>
    </row>
    <row r="683" spans="1:2" ht="15.75" customHeight="1">
      <c r="A683" s="2"/>
      <c r="B683" s="2"/>
    </row>
    <row r="684" spans="1:2" ht="15.75" customHeight="1">
      <c r="A684" s="2"/>
      <c r="B684" s="2"/>
    </row>
    <row r="685" spans="1:2" ht="15.75" customHeight="1">
      <c r="A685" s="2"/>
      <c r="B685" s="2"/>
    </row>
    <row r="686" spans="1:2" ht="15.75" customHeight="1">
      <c r="A686" s="2"/>
      <c r="B686" s="2"/>
    </row>
    <row r="687" spans="1:2" ht="15.75" customHeight="1">
      <c r="A687" s="2"/>
      <c r="B687" s="2"/>
    </row>
    <row r="688" spans="1:2" ht="15.75" customHeight="1">
      <c r="A688" s="2"/>
      <c r="B688" s="2"/>
    </row>
    <row r="689" spans="1:2" ht="15.75" customHeight="1">
      <c r="A689" s="2"/>
      <c r="B689" s="2"/>
    </row>
    <row r="690" spans="1:2" ht="15.75" customHeight="1">
      <c r="A690" s="2"/>
      <c r="B690" s="2"/>
    </row>
    <row r="691" spans="1:2" ht="15.75" customHeight="1">
      <c r="A691" s="2"/>
      <c r="B691" s="2"/>
    </row>
    <row r="692" spans="1:2" ht="15.75" customHeight="1">
      <c r="A692" s="2"/>
      <c r="B692" s="2"/>
    </row>
    <row r="693" spans="1:2" ht="15.75" customHeight="1">
      <c r="A693" s="2"/>
      <c r="B693" s="2"/>
    </row>
    <row r="694" spans="1:2" ht="15.75" customHeight="1">
      <c r="A694" s="2"/>
      <c r="B694" s="2"/>
    </row>
    <row r="695" spans="1:2" ht="15.75" customHeight="1">
      <c r="A695" s="2"/>
      <c r="B695" s="2"/>
    </row>
    <row r="696" spans="1:2" ht="15.75" customHeight="1">
      <c r="A696" s="2"/>
      <c r="B696" s="2"/>
    </row>
    <row r="697" spans="1:2" ht="15.75" customHeight="1">
      <c r="A697" s="2"/>
      <c r="B697" s="2"/>
    </row>
    <row r="698" spans="1:2" ht="15.75" customHeight="1">
      <c r="A698" s="2"/>
      <c r="B698" s="2"/>
    </row>
    <row r="699" spans="1:2" ht="15.75" customHeight="1">
      <c r="A699" s="2"/>
      <c r="B699" s="2"/>
    </row>
    <row r="700" spans="1:2" ht="15.75" customHeight="1">
      <c r="A700" s="2"/>
      <c r="B700" s="2"/>
    </row>
    <row r="701" spans="1:2" ht="15.75" customHeight="1">
      <c r="A701" s="2"/>
      <c r="B701" s="2"/>
    </row>
    <row r="702" spans="1:2" ht="15.75" customHeight="1">
      <c r="A702" s="2"/>
      <c r="B702" s="2"/>
    </row>
    <row r="703" spans="1:2" ht="15.75" customHeight="1">
      <c r="A703" s="2"/>
      <c r="B703" s="2"/>
    </row>
    <row r="704" spans="1:2" ht="15.75" customHeight="1">
      <c r="A704" s="2"/>
      <c r="B704" s="2"/>
    </row>
    <row r="705" spans="1:2" ht="15.75" customHeight="1">
      <c r="A705" s="2"/>
      <c r="B705" s="2"/>
    </row>
    <row r="706" spans="1:2" ht="15.75" customHeight="1">
      <c r="A706" s="2"/>
      <c r="B706" s="2"/>
    </row>
    <row r="707" spans="1:2" ht="15.75" customHeight="1">
      <c r="A707" s="2"/>
      <c r="B707" s="2"/>
    </row>
    <row r="708" spans="1:2" ht="15.75" customHeight="1">
      <c r="A708" s="2"/>
      <c r="B708" s="2"/>
    </row>
    <row r="709" spans="1:2" ht="15.75" customHeight="1">
      <c r="A709" s="2"/>
      <c r="B709" s="2"/>
    </row>
    <row r="710" spans="1:2" ht="15.75" customHeight="1">
      <c r="A710" s="2"/>
      <c r="B710" s="2"/>
    </row>
    <row r="711" spans="1:2" ht="15.75" customHeight="1">
      <c r="A711" s="2"/>
      <c r="B711" s="2"/>
    </row>
    <row r="712" spans="1:2" ht="15.75" customHeight="1">
      <c r="A712" s="2"/>
      <c r="B712" s="2"/>
    </row>
    <row r="713" spans="1:2" ht="15.75" customHeight="1">
      <c r="A713" s="2"/>
      <c r="B713" s="2"/>
    </row>
    <row r="714" spans="1:2" ht="15.75" customHeight="1">
      <c r="A714" s="2"/>
      <c r="B714" s="2"/>
    </row>
    <row r="715" spans="1:2" ht="15.75" customHeight="1">
      <c r="A715" s="2"/>
      <c r="B715" s="2"/>
    </row>
    <row r="716" spans="1:2" ht="15.75" customHeight="1">
      <c r="A716" s="2"/>
      <c r="B716" s="2"/>
    </row>
    <row r="717" spans="1:2" ht="15.75" customHeight="1">
      <c r="A717" s="2"/>
      <c r="B717" s="2"/>
    </row>
    <row r="718" spans="1:2" ht="15.75" customHeight="1">
      <c r="A718" s="2"/>
      <c r="B718" s="2"/>
    </row>
    <row r="719" spans="1:2" ht="15.75" customHeight="1">
      <c r="A719" s="2"/>
      <c r="B719" s="2"/>
    </row>
    <row r="720" spans="1:2" ht="15.75" customHeight="1">
      <c r="A720" s="2"/>
      <c r="B720" s="2"/>
    </row>
    <row r="721" spans="1:2" ht="15.75" customHeight="1">
      <c r="A721" s="2"/>
      <c r="B721" s="2"/>
    </row>
    <row r="722" spans="1:2" ht="15.75" customHeight="1">
      <c r="A722" s="2"/>
      <c r="B722" s="2"/>
    </row>
    <row r="723" spans="1:2" ht="15.75" customHeight="1">
      <c r="A723" s="2"/>
      <c r="B723" s="2"/>
    </row>
    <row r="724" spans="1:2" ht="15.75" customHeight="1">
      <c r="A724" s="2"/>
      <c r="B724" s="2"/>
    </row>
    <row r="725" spans="1:2" ht="15.75" customHeight="1">
      <c r="A725" s="2"/>
      <c r="B725" s="2"/>
    </row>
    <row r="726" spans="1:2" ht="15.75" customHeight="1">
      <c r="A726" s="2"/>
      <c r="B726" s="2"/>
    </row>
    <row r="727" spans="1:2" ht="15.75" customHeight="1">
      <c r="A727" s="2"/>
      <c r="B727" s="2"/>
    </row>
    <row r="728" spans="1:2" ht="15.75" customHeight="1">
      <c r="A728" s="2"/>
      <c r="B728" s="2"/>
    </row>
    <row r="729" spans="1:2" ht="15.75" customHeight="1">
      <c r="A729" s="2"/>
      <c r="B729" s="2"/>
    </row>
    <row r="730" spans="1:2" ht="15.75" customHeight="1">
      <c r="A730" s="2"/>
      <c r="B730" s="2"/>
    </row>
    <row r="731" spans="1:2" ht="15.75" customHeight="1">
      <c r="A731" s="2"/>
      <c r="B731" s="2"/>
    </row>
    <row r="732" spans="1:2" ht="15.75" customHeight="1">
      <c r="A732" s="2"/>
      <c r="B732" s="2"/>
    </row>
    <row r="733" spans="1:2" ht="15.75" customHeight="1">
      <c r="A733" s="2"/>
      <c r="B733" s="2"/>
    </row>
    <row r="734" spans="1:2" ht="15.75" customHeight="1">
      <c r="A734" s="2"/>
      <c r="B734" s="2"/>
    </row>
    <row r="735" spans="1:2" ht="15.75" customHeight="1">
      <c r="A735" s="2"/>
      <c r="B735" s="2"/>
    </row>
    <row r="736" spans="1:2" ht="15.75" customHeight="1">
      <c r="A736" s="2"/>
      <c r="B736" s="2"/>
    </row>
    <row r="737" spans="1:2" ht="15.75" customHeight="1">
      <c r="A737" s="2"/>
      <c r="B737" s="2"/>
    </row>
    <row r="738" spans="1:2" ht="15.75" customHeight="1">
      <c r="A738" s="2"/>
      <c r="B738" s="2"/>
    </row>
    <row r="739" spans="1:2" ht="15.75" customHeight="1">
      <c r="A739" s="2"/>
      <c r="B739" s="2"/>
    </row>
    <row r="740" spans="1:2" ht="15.75" customHeight="1">
      <c r="A740" s="2"/>
      <c r="B740" s="2"/>
    </row>
    <row r="741" spans="1:2" ht="15.75" customHeight="1">
      <c r="A741" s="2"/>
      <c r="B741" s="2"/>
    </row>
    <row r="742" spans="1:2" ht="15.75" customHeight="1">
      <c r="A742" s="2"/>
      <c r="B742" s="2"/>
    </row>
    <row r="743" spans="1:2" ht="15.75" customHeight="1">
      <c r="A743" s="2"/>
      <c r="B743" s="2"/>
    </row>
    <row r="744" spans="1:2" ht="15.75" customHeight="1">
      <c r="A744" s="2"/>
      <c r="B744" s="2"/>
    </row>
    <row r="745" spans="1:2" ht="15.75" customHeight="1">
      <c r="A745" s="2"/>
      <c r="B745" s="2"/>
    </row>
    <row r="746" spans="1:2" ht="15.75" customHeight="1">
      <c r="A746" s="2"/>
      <c r="B746" s="2"/>
    </row>
    <row r="747" spans="1:2" ht="15.75" customHeight="1">
      <c r="A747" s="2"/>
      <c r="B747" s="2"/>
    </row>
    <row r="748" spans="1:2" ht="15.75" customHeight="1">
      <c r="A748" s="2"/>
      <c r="B748" s="2"/>
    </row>
    <row r="749" spans="1:2" ht="15.75" customHeight="1">
      <c r="A749" s="2"/>
      <c r="B749" s="2"/>
    </row>
    <row r="750" spans="1:2" ht="15.75" customHeight="1">
      <c r="A750" s="2"/>
      <c r="B750" s="2"/>
    </row>
    <row r="751" spans="1:2" ht="15.75" customHeight="1">
      <c r="A751" s="2"/>
      <c r="B751" s="2"/>
    </row>
    <row r="752" spans="1:2" ht="15.75" customHeight="1">
      <c r="A752" s="2"/>
      <c r="B752" s="2"/>
    </row>
    <row r="753" spans="1:2" ht="15.75" customHeight="1">
      <c r="A753" s="2"/>
      <c r="B753" s="2"/>
    </row>
    <row r="754" spans="1:2" ht="15.75" customHeight="1">
      <c r="A754" s="2"/>
      <c r="B754" s="2"/>
    </row>
    <row r="755" spans="1:2" ht="15.75" customHeight="1">
      <c r="A755" s="2"/>
      <c r="B755" s="2"/>
    </row>
    <row r="756" spans="1:2" ht="15.75" customHeight="1">
      <c r="A756" s="2"/>
      <c r="B756" s="2"/>
    </row>
    <row r="757" spans="1:2" ht="15.75" customHeight="1">
      <c r="A757" s="2"/>
      <c r="B757" s="2"/>
    </row>
    <row r="758" spans="1:2" ht="15.75" customHeight="1">
      <c r="A758" s="2"/>
      <c r="B758" s="2"/>
    </row>
    <row r="759" spans="1:2" ht="15.75" customHeight="1">
      <c r="A759" s="2"/>
      <c r="B759" s="2"/>
    </row>
    <row r="760" spans="1:2" ht="15.75" customHeight="1">
      <c r="A760" s="2"/>
      <c r="B760" s="2"/>
    </row>
    <row r="761" spans="1:2" ht="15.75" customHeight="1">
      <c r="A761" s="2"/>
      <c r="B761" s="2"/>
    </row>
    <row r="762" spans="1:2" ht="15.75" customHeight="1">
      <c r="A762" s="2"/>
      <c r="B762" s="2"/>
    </row>
    <row r="763" spans="1:2" ht="15.75" customHeight="1">
      <c r="A763" s="2"/>
      <c r="B763" s="2"/>
    </row>
    <row r="764" spans="1:2" ht="15.75" customHeight="1">
      <c r="A764" s="2"/>
      <c r="B764" s="2"/>
    </row>
    <row r="765" spans="1:2" ht="15.75" customHeight="1">
      <c r="A765" s="2"/>
      <c r="B765" s="2"/>
    </row>
    <row r="766" spans="1:2" ht="15.75" customHeight="1">
      <c r="A766" s="2"/>
      <c r="B766" s="2"/>
    </row>
    <row r="767" spans="1:2" ht="15.75" customHeight="1">
      <c r="A767" s="2"/>
      <c r="B767" s="2"/>
    </row>
    <row r="768" spans="1:2" ht="15.75" customHeight="1">
      <c r="A768" s="2"/>
      <c r="B768" s="2"/>
    </row>
    <row r="769" spans="1:2" ht="15.75" customHeight="1">
      <c r="A769" s="2"/>
      <c r="B769" s="2"/>
    </row>
    <row r="770" spans="1:2" ht="15.75" customHeight="1">
      <c r="A770" s="2"/>
      <c r="B770" s="2"/>
    </row>
    <row r="771" spans="1:2" ht="15.75" customHeight="1">
      <c r="A771" s="2"/>
      <c r="B771" s="2"/>
    </row>
    <row r="772" spans="1:2" ht="15.75" customHeight="1">
      <c r="A772" s="2"/>
      <c r="B772" s="2"/>
    </row>
    <row r="773" spans="1:2" ht="15.75" customHeight="1">
      <c r="A773" s="2"/>
      <c r="B773" s="2"/>
    </row>
    <row r="774" spans="1:2" ht="15.75" customHeight="1">
      <c r="A774" s="2"/>
      <c r="B774" s="2"/>
    </row>
    <row r="775" spans="1:2" ht="15.75" customHeight="1">
      <c r="A775" s="2"/>
      <c r="B775" s="2"/>
    </row>
    <row r="776" spans="1:2" ht="15.75" customHeight="1">
      <c r="A776" s="2"/>
      <c r="B776" s="2"/>
    </row>
    <row r="777" spans="1:2" ht="15.75" customHeight="1">
      <c r="A777" s="2"/>
      <c r="B777" s="2"/>
    </row>
    <row r="778" spans="1:2" ht="15.75" customHeight="1">
      <c r="A778" s="2"/>
      <c r="B778" s="2"/>
    </row>
    <row r="779" spans="1:2" ht="15.75" customHeight="1">
      <c r="A779" s="2"/>
      <c r="B779" s="2"/>
    </row>
    <row r="780" spans="1:2" ht="15.75" customHeight="1">
      <c r="A780" s="2"/>
      <c r="B780" s="2"/>
    </row>
    <row r="781" spans="1:2" ht="15.75" customHeight="1">
      <c r="A781" s="2"/>
      <c r="B781" s="2"/>
    </row>
    <row r="782" spans="1:2" ht="15.75" customHeight="1">
      <c r="A782" s="2"/>
      <c r="B782" s="2"/>
    </row>
    <row r="783" spans="1:2" ht="15.75" customHeight="1">
      <c r="A783" s="2"/>
      <c r="B783" s="2"/>
    </row>
    <row r="784" spans="1:2" ht="15.75" customHeight="1">
      <c r="A784" s="2"/>
      <c r="B784" s="2"/>
    </row>
    <row r="785" spans="1:2" ht="15.75" customHeight="1">
      <c r="A785" s="2"/>
      <c r="B785" s="2"/>
    </row>
    <row r="786" spans="1:2" ht="15.75" customHeight="1">
      <c r="A786" s="2"/>
      <c r="B786" s="2"/>
    </row>
    <row r="787" spans="1:2" ht="15.75" customHeight="1">
      <c r="A787" s="2"/>
      <c r="B787" s="2"/>
    </row>
    <row r="788" spans="1:2" ht="15.75" customHeight="1">
      <c r="A788" s="2"/>
      <c r="B788" s="2"/>
    </row>
    <row r="789" spans="1:2" ht="15.75" customHeight="1">
      <c r="A789" s="2"/>
      <c r="B789" s="2"/>
    </row>
    <row r="790" spans="1:2" ht="15.75" customHeight="1">
      <c r="A790" s="2"/>
      <c r="B790" s="2"/>
    </row>
    <row r="791" spans="1:2" ht="15.75" customHeight="1">
      <c r="A791" s="2"/>
      <c r="B791" s="2"/>
    </row>
    <row r="792" spans="1:2" ht="15.75" customHeight="1">
      <c r="A792" s="2"/>
      <c r="B792" s="2"/>
    </row>
    <row r="793" spans="1:2" ht="15.75" customHeight="1">
      <c r="A793" s="2"/>
      <c r="B793" s="2"/>
    </row>
    <row r="794" spans="1:2" ht="15.75" customHeight="1">
      <c r="A794" s="2"/>
      <c r="B794" s="2"/>
    </row>
    <row r="795" spans="1:2" ht="15.75" customHeight="1">
      <c r="A795" s="2"/>
      <c r="B795" s="2"/>
    </row>
    <row r="796" spans="1:2" ht="15.75" customHeight="1">
      <c r="A796" s="2"/>
      <c r="B796" s="2"/>
    </row>
    <row r="797" spans="1:2" ht="15.75" customHeight="1">
      <c r="A797" s="2"/>
      <c r="B797" s="2"/>
    </row>
    <row r="798" spans="1:2" ht="15.75" customHeight="1">
      <c r="A798" s="2"/>
      <c r="B798" s="2"/>
    </row>
    <row r="799" spans="1:2" ht="15.75" customHeight="1">
      <c r="A799" s="2"/>
      <c r="B799" s="2"/>
    </row>
    <row r="800" spans="1:2" ht="15.75" customHeight="1">
      <c r="A800" s="2"/>
      <c r="B800" s="2"/>
    </row>
    <row r="801" spans="1:2" ht="15.75" customHeight="1">
      <c r="A801" s="2"/>
      <c r="B801" s="2"/>
    </row>
    <row r="802" spans="1:2" ht="15.75" customHeight="1">
      <c r="A802" s="2"/>
      <c r="B802" s="2"/>
    </row>
    <row r="803" spans="1:2" ht="15.75" customHeight="1">
      <c r="A803" s="2"/>
      <c r="B803" s="2"/>
    </row>
    <row r="804" spans="1:2" ht="15.75" customHeight="1">
      <c r="A804" s="2"/>
      <c r="B804" s="2"/>
    </row>
    <row r="805" spans="1:2" ht="15.75" customHeight="1">
      <c r="A805" s="2"/>
      <c r="B805" s="2"/>
    </row>
    <row r="806" spans="1:2" ht="15.75" customHeight="1">
      <c r="A806" s="2"/>
      <c r="B806" s="2"/>
    </row>
    <row r="807" spans="1:2" ht="15.75" customHeight="1">
      <c r="A807" s="2"/>
      <c r="B807" s="2"/>
    </row>
    <row r="808" spans="1:2" ht="15.75" customHeight="1">
      <c r="A808" s="2"/>
      <c r="B808" s="2"/>
    </row>
    <row r="809" spans="1:2" ht="15.75" customHeight="1">
      <c r="A809" s="2"/>
      <c r="B809" s="2"/>
    </row>
    <row r="810" spans="1:2" ht="15.75" customHeight="1">
      <c r="A810" s="2"/>
      <c r="B810" s="2"/>
    </row>
    <row r="811" spans="1:2" ht="15.75" customHeight="1">
      <c r="A811" s="2"/>
      <c r="B811" s="2"/>
    </row>
    <row r="812" spans="1:2" ht="15.75" customHeight="1">
      <c r="A812" s="2"/>
      <c r="B812" s="2"/>
    </row>
    <row r="813" spans="1:2" ht="15.75" customHeight="1">
      <c r="A813" s="2"/>
      <c r="B813" s="2"/>
    </row>
    <row r="814" spans="1:2" ht="15.75" customHeight="1">
      <c r="A814" s="2"/>
      <c r="B814" s="2"/>
    </row>
    <row r="815" spans="1:2" ht="15.75" customHeight="1">
      <c r="A815" s="2"/>
      <c r="B815" s="2"/>
    </row>
    <row r="816" spans="1:2" ht="15.75" customHeight="1">
      <c r="A816" s="2"/>
      <c r="B816" s="2"/>
    </row>
    <row r="817" spans="1:2" ht="15.75" customHeight="1">
      <c r="A817" s="2"/>
      <c r="B817" s="2"/>
    </row>
    <row r="818" spans="1:2" ht="15.75" customHeight="1">
      <c r="A818" s="2"/>
      <c r="B818" s="2"/>
    </row>
    <row r="819" spans="1:2" ht="15.75" customHeight="1">
      <c r="A819" s="2"/>
      <c r="B819" s="2"/>
    </row>
    <row r="820" spans="1:2" ht="15.75" customHeight="1">
      <c r="A820" s="2"/>
      <c r="B820" s="2"/>
    </row>
    <row r="821" spans="1:2" ht="15.75" customHeight="1">
      <c r="A821" s="2"/>
      <c r="B821" s="2"/>
    </row>
    <row r="822" spans="1:2" ht="15.75" customHeight="1">
      <c r="A822" s="2"/>
      <c r="B822" s="2"/>
    </row>
    <row r="823" spans="1:2" ht="15.75" customHeight="1">
      <c r="A823" s="2"/>
      <c r="B823" s="2"/>
    </row>
    <row r="824" spans="1:2" ht="15.75" customHeight="1">
      <c r="A824" s="2"/>
      <c r="B824" s="2"/>
    </row>
    <row r="825" spans="1:2" ht="15.75" customHeight="1">
      <c r="A825" s="2"/>
      <c r="B825" s="2"/>
    </row>
    <row r="826" spans="1:2" ht="15.75" customHeight="1">
      <c r="A826" s="2"/>
      <c r="B826" s="2"/>
    </row>
    <row r="827" spans="1:2" ht="15.75" customHeight="1">
      <c r="A827" s="2"/>
      <c r="B827" s="2"/>
    </row>
    <row r="828" spans="1:2" ht="15.75" customHeight="1">
      <c r="A828" s="2"/>
      <c r="B828" s="2"/>
    </row>
    <row r="829" spans="1:2" ht="15.75" customHeight="1">
      <c r="A829" s="2"/>
      <c r="B829" s="2"/>
    </row>
    <row r="830" spans="1:2" ht="15.75" customHeight="1">
      <c r="A830" s="2"/>
      <c r="B830" s="2"/>
    </row>
    <row r="831" spans="1:2" ht="15.75" customHeight="1">
      <c r="A831" s="2"/>
      <c r="B831" s="2"/>
    </row>
    <row r="832" spans="1:2" ht="15.75" customHeight="1">
      <c r="A832" s="2"/>
      <c r="B832" s="2"/>
    </row>
    <row r="833" spans="1:2" ht="15.75" customHeight="1">
      <c r="A833" s="2"/>
      <c r="B833" s="2"/>
    </row>
    <row r="834" spans="1:2" ht="15.75" customHeight="1">
      <c r="A834" s="2"/>
      <c r="B834" s="2"/>
    </row>
    <row r="835" spans="1:2" ht="15.75" customHeight="1">
      <c r="A835" s="2"/>
      <c r="B835" s="2"/>
    </row>
    <row r="836" spans="1:2" ht="15.75" customHeight="1">
      <c r="A836" s="2"/>
      <c r="B836" s="2"/>
    </row>
    <row r="837" spans="1:2" ht="15.75" customHeight="1">
      <c r="A837" s="2"/>
      <c r="B837" s="2"/>
    </row>
    <row r="838" spans="1:2" ht="15.75" customHeight="1">
      <c r="A838" s="2"/>
      <c r="B838" s="2"/>
    </row>
    <row r="839" spans="1:2" ht="15.75" customHeight="1">
      <c r="A839" s="2"/>
      <c r="B839" s="2"/>
    </row>
    <row r="840" spans="1:2" ht="15.75" customHeight="1">
      <c r="A840" s="2"/>
      <c r="B840" s="2"/>
    </row>
    <row r="841" spans="1:2" ht="15.75" customHeight="1">
      <c r="A841" s="2"/>
      <c r="B841" s="2"/>
    </row>
    <row r="842" spans="1:2" ht="15.75" customHeight="1">
      <c r="A842" s="2"/>
      <c r="B842" s="2"/>
    </row>
    <row r="843" spans="1:2" ht="15.75" customHeight="1">
      <c r="A843" s="2"/>
      <c r="B843" s="2"/>
    </row>
    <row r="844" spans="1:2" ht="15.75" customHeight="1">
      <c r="A844" s="2"/>
      <c r="B844" s="2"/>
    </row>
    <row r="845" spans="1:2" ht="15.75" customHeight="1">
      <c r="A845" s="2"/>
      <c r="B845" s="2"/>
    </row>
    <row r="846" spans="1:2" ht="15.75" customHeight="1">
      <c r="A846" s="2"/>
      <c r="B846" s="2"/>
    </row>
    <row r="847" spans="1:2" ht="15.75" customHeight="1">
      <c r="A847" s="2"/>
      <c r="B847" s="2"/>
    </row>
    <row r="848" spans="1:2" ht="15.75" customHeight="1">
      <c r="A848" s="2"/>
      <c r="B848" s="2"/>
    </row>
    <row r="849" spans="1:2" ht="15.75" customHeight="1">
      <c r="A849" s="2"/>
      <c r="B849" s="2"/>
    </row>
    <row r="850" spans="1:2" ht="15.75" customHeight="1">
      <c r="A850" s="2"/>
      <c r="B850" s="2"/>
    </row>
    <row r="851" spans="1:2" ht="15.75" customHeight="1">
      <c r="A851" s="2"/>
      <c r="B851" s="2"/>
    </row>
    <row r="852" spans="1:2" ht="15.75" customHeight="1">
      <c r="A852" s="2"/>
      <c r="B852" s="2"/>
    </row>
    <row r="853" spans="1:2" ht="15.75" customHeight="1">
      <c r="A853" s="2"/>
      <c r="B853" s="2"/>
    </row>
    <row r="854" spans="1:2" ht="15.75" customHeight="1">
      <c r="A854" s="2"/>
      <c r="B854" s="2"/>
    </row>
    <row r="855" spans="1:2" ht="15.75" customHeight="1">
      <c r="A855" s="2"/>
      <c r="B855" s="2"/>
    </row>
    <row r="856" spans="1:2" ht="15.75" customHeight="1">
      <c r="A856" s="2"/>
      <c r="B856" s="2"/>
    </row>
    <row r="857" spans="1:2" ht="15.75" customHeight="1">
      <c r="A857" s="2"/>
      <c r="B857" s="2"/>
    </row>
    <row r="858" spans="1:2" ht="15.75" customHeight="1">
      <c r="A858" s="2"/>
      <c r="B858" s="2"/>
    </row>
    <row r="859" spans="1:2" ht="15.75" customHeight="1">
      <c r="A859" s="2"/>
      <c r="B859" s="2"/>
    </row>
    <row r="860" spans="1:2" ht="15.75" customHeight="1">
      <c r="A860" s="2"/>
      <c r="B860" s="2"/>
    </row>
    <row r="861" spans="1:2" ht="15.75" customHeight="1">
      <c r="A861" s="2"/>
      <c r="B861" s="2"/>
    </row>
    <row r="862" spans="1:2" ht="15.75" customHeight="1">
      <c r="A862" s="2"/>
      <c r="B862" s="2"/>
    </row>
    <row r="863" spans="1:2" ht="15.75" customHeight="1">
      <c r="A863" s="2"/>
      <c r="B863" s="2"/>
    </row>
    <row r="864" spans="1:2" ht="15.75" customHeight="1">
      <c r="A864" s="2"/>
      <c r="B864" s="2"/>
    </row>
    <row r="865" spans="1:2" ht="15.75" customHeight="1">
      <c r="A865" s="2"/>
      <c r="B865" s="2"/>
    </row>
    <row r="866" spans="1:2" ht="15.75" customHeight="1">
      <c r="A866" s="2"/>
      <c r="B866" s="2"/>
    </row>
    <row r="867" spans="1:2" ht="15.75" customHeight="1">
      <c r="A867" s="2"/>
      <c r="B867" s="2"/>
    </row>
    <row r="868" spans="1:2" ht="15.75" customHeight="1">
      <c r="A868" s="2"/>
      <c r="B868" s="2"/>
    </row>
    <row r="869" spans="1:2" ht="15.75" customHeight="1">
      <c r="A869" s="2"/>
      <c r="B869" s="2"/>
    </row>
    <row r="870" spans="1:2" ht="15.75" customHeight="1">
      <c r="A870" s="2"/>
      <c r="B870" s="2"/>
    </row>
    <row r="871" spans="1:2" ht="15.75" customHeight="1">
      <c r="A871" s="2"/>
      <c r="B871" s="2"/>
    </row>
    <row r="872" spans="1:2" ht="15.75" customHeight="1">
      <c r="A872" s="2"/>
      <c r="B872" s="2"/>
    </row>
    <row r="873" spans="1:2" ht="15.75" customHeight="1">
      <c r="A873" s="2"/>
      <c r="B873" s="2"/>
    </row>
    <row r="874" spans="1:2" ht="15.75" customHeight="1">
      <c r="A874" s="2"/>
      <c r="B874" s="2"/>
    </row>
    <row r="875" spans="1:2" ht="15.75" customHeight="1">
      <c r="A875" s="2"/>
      <c r="B875" s="2"/>
    </row>
    <row r="876" spans="1:2" ht="15.75" customHeight="1">
      <c r="A876" s="2"/>
      <c r="B876" s="2"/>
    </row>
    <row r="877" spans="1:2" ht="15.75" customHeight="1">
      <c r="A877" s="2"/>
      <c r="B877" s="2"/>
    </row>
    <row r="878" spans="1:2" ht="15.75" customHeight="1">
      <c r="A878" s="2"/>
      <c r="B878" s="2"/>
    </row>
    <row r="879" spans="1:2" ht="15.75" customHeight="1">
      <c r="A879" s="2"/>
      <c r="B879" s="2"/>
    </row>
    <row r="880" spans="1:2" ht="15.75" customHeight="1">
      <c r="A880" s="2"/>
      <c r="B880" s="2"/>
    </row>
    <row r="881" spans="1:2" ht="15.75" customHeight="1">
      <c r="A881" s="2"/>
      <c r="B881" s="2"/>
    </row>
    <row r="882" spans="1:2" ht="15.75" customHeight="1">
      <c r="A882" s="2"/>
      <c r="B882" s="2"/>
    </row>
    <row r="883" spans="1:2" ht="15.75" customHeight="1">
      <c r="A883" s="2"/>
      <c r="B883" s="2"/>
    </row>
    <row r="884" spans="1:2" ht="15.75" customHeight="1">
      <c r="A884" s="2"/>
      <c r="B884" s="2"/>
    </row>
    <row r="885" spans="1:2" ht="15.75" customHeight="1">
      <c r="A885" s="2"/>
      <c r="B885" s="2"/>
    </row>
    <row r="886" spans="1:2" ht="15.75" customHeight="1">
      <c r="A886" s="2"/>
      <c r="B886" s="2"/>
    </row>
    <row r="887" spans="1:2" ht="15.75" customHeight="1">
      <c r="A887" s="2"/>
      <c r="B887" s="2"/>
    </row>
    <row r="888" spans="1:2" ht="15.75" customHeight="1">
      <c r="A888" s="2"/>
      <c r="B888" s="2"/>
    </row>
    <row r="889" spans="1:2" ht="15.75" customHeight="1">
      <c r="A889" s="2"/>
      <c r="B889" s="2"/>
    </row>
    <row r="890" spans="1:2" ht="15.75" customHeight="1">
      <c r="A890" s="2"/>
      <c r="B890" s="2"/>
    </row>
    <row r="891" spans="1:2" ht="15.75" customHeight="1">
      <c r="A891" s="2"/>
      <c r="B891" s="2"/>
    </row>
    <row r="892" spans="1:2" ht="15.75" customHeight="1">
      <c r="A892" s="2"/>
      <c r="B892" s="2"/>
    </row>
    <row r="893" spans="1:2" ht="15.75" customHeight="1">
      <c r="A893" s="2"/>
      <c r="B893" s="2"/>
    </row>
    <row r="894" spans="1:2" ht="15.75" customHeight="1">
      <c r="A894" s="2"/>
      <c r="B894" s="2"/>
    </row>
    <row r="895" spans="1:2" ht="15.75" customHeight="1">
      <c r="A895" s="2"/>
      <c r="B895" s="2"/>
    </row>
    <row r="896" spans="1:2" ht="15.75" customHeight="1">
      <c r="A896" s="2"/>
      <c r="B896" s="2"/>
    </row>
    <row r="897" spans="1:2" ht="15.75" customHeight="1">
      <c r="A897" s="2"/>
      <c r="B897" s="2"/>
    </row>
    <row r="898" spans="1:2" ht="15.75" customHeight="1">
      <c r="A898" s="2"/>
      <c r="B898" s="2"/>
    </row>
    <row r="899" spans="1:2" ht="15.75" customHeight="1">
      <c r="A899" s="2"/>
      <c r="B899" s="2"/>
    </row>
    <row r="900" spans="1:2" ht="15.75" customHeight="1">
      <c r="A900" s="2"/>
      <c r="B900" s="2"/>
    </row>
    <row r="901" spans="1:2" ht="15.75" customHeight="1">
      <c r="A901" s="2"/>
      <c r="B901" s="2"/>
    </row>
    <row r="902" spans="1:2" ht="15.75" customHeight="1">
      <c r="A902" s="2"/>
      <c r="B902" s="2"/>
    </row>
    <row r="903" spans="1:2" ht="15.75" customHeight="1">
      <c r="A903" s="2"/>
      <c r="B903" s="2"/>
    </row>
    <row r="904" spans="1:2" ht="15.75" customHeight="1">
      <c r="A904" s="2"/>
      <c r="B904" s="2"/>
    </row>
    <row r="905" spans="1:2" ht="15.75" customHeight="1">
      <c r="A905" s="2"/>
      <c r="B905" s="2"/>
    </row>
    <row r="906" spans="1:2" ht="15.75" customHeight="1">
      <c r="A906" s="2"/>
      <c r="B906" s="2"/>
    </row>
    <row r="907" spans="1:2" ht="15.75" customHeight="1">
      <c r="A907" s="2"/>
      <c r="B907" s="2"/>
    </row>
    <row r="908" spans="1:2" ht="15.75" customHeight="1">
      <c r="A908" s="2"/>
      <c r="B908" s="2"/>
    </row>
    <row r="909" spans="1:2" ht="15.75" customHeight="1">
      <c r="A909" s="2"/>
      <c r="B909" s="2"/>
    </row>
    <row r="910" spans="1:2" ht="15.75" customHeight="1">
      <c r="A910" s="2"/>
      <c r="B910" s="2"/>
    </row>
    <row r="911" spans="1:2" ht="15.75" customHeight="1">
      <c r="A911" s="2"/>
      <c r="B911" s="2"/>
    </row>
    <row r="912" spans="1:2" ht="15.75" customHeight="1">
      <c r="A912" s="2"/>
      <c r="B912" s="2"/>
    </row>
    <row r="913" spans="1:2" ht="15.75" customHeight="1">
      <c r="A913" s="2"/>
      <c r="B913" s="2"/>
    </row>
    <row r="914" spans="1:2" ht="15.75" customHeight="1">
      <c r="A914" s="2"/>
      <c r="B914" s="2"/>
    </row>
    <row r="915" spans="1:2" ht="15.75" customHeight="1">
      <c r="A915" s="2"/>
      <c r="B915" s="2"/>
    </row>
    <row r="916" spans="1:2" ht="15.75" customHeight="1">
      <c r="A916" s="2"/>
      <c r="B916" s="2"/>
    </row>
    <row r="917" spans="1:2" ht="15.75" customHeight="1">
      <c r="A917" s="2"/>
      <c r="B917" s="2"/>
    </row>
    <row r="918" spans="1:2" ht="15.75" customHeight="1">
      <c r="A918" s="2"/>
      <c r="B918" s="2"/>
    </row>
    <row r="919" spans="1:2" ht="15.75" customHeight="1">
      <c r="A919" s="2"/>
      <c r="B919" s="2"/>
    </row>
    <row r="920" spans="1:2" ht="15.75" customHeight="1">
      <c r="A920" s="2"/>
      <c r="B920" s="2"/>
    </row>
    <row r="921" spans="1:2" ht="15.75" customHeight="1">
      <c r="A921" s="2"/>
      <c r="B921" s="2"/>
    </row>
    <row r="922" spans="1:2" ht="15.75" customHeight="1">
      <c r="A922" s="2"/>
      <c r="B922" s="2"/>
    </row>
    <row r="923" spans="1:2" ht="15.75" customHeight="1">
      <c r="A923" s="2"/>
      <c r="B923" s="2"/>
    </row>
    <row r="924" spans="1:2" ht="15.75" customHeight="1">
      <c r="A924" s="2"/>
      <c r="B924" s="2"/>
    </row>
    <row r="925" spans="1:2" ht="15.75" customHeight="1">
      <c r="A925" s="2"/>
      <c r="B925" s="2"/>
    </row>
    <row r="926" spans="1:2" ht="15.75" customHeight="1">
      <c r="A926" s="2"/>
      <c r="B926" s="2"/>
    </row>
    <row r="927" spans="1:2" ht="15.75" customHeight="1">
      <c r="A927" s="2"/>
      <c r="B927" s="2"/>
    </row>
    <row r="928" spans="1:2" ht="15.75" customHeight="1">
      <c r="A928" s="2"/>
      <c r="B928" s="2"/>
    </row>
    <row r="929" spans="1:2" ht="15.75" customHeight="1">
      <c r="A929" s="2"/>
      <c r="B929" s="2"/>
    </row>
    <row r="930" spans="1:2" ht="15.75" customHeight="1">
      <c r="A930" s="2"/>
      <c r="B930" s="2"/>
    </row>
    <row r="931" spans="1:2" ht="15.75" customHeight="1">
      <c r="A931" s="2"/>
      <c r="B931" s="2"/>
    </row>
    <row r="932" spans="1:2" ht="15.75" customHeight="1">
      <c r="A932" s="2"/>
      <c r="B932" s="2"/>
    </row>
    <row r="933" spans="1:2" ht="15.75" customHeight="1">
      <c r="A933" s="2"/>
      <c r="B933" s="2"/>
    </row>
    <row r="934" spans="1:2" ht="15.75" customHeight="1">
      <c r="A934" s="2"/>
      <c r="B934" s="2"/>
    </row>
    <row r="935" spans="1:2" ht="15.75" customHeight="1">
      <c r="A935" s="2"/>
      <c r="B935" s="2"/>
    </row>
    <row r="936" spans="1:2" ht="15.75" customHeight="1">
      <c r="A936" s="2"/>
      <c r="B936" s="2"/>
    </row>
    <row r="937" spans="1:2" ht="15.75" customHeight="1">
      <c r="A937" s="2"/>
      <c r="B937" s="2"/>
    </row>
    <row r="938" spans="1:2" ht="15.75" customHeight="1">
      <c r="A938" s="2"/>
      <c r="B938" s="2"/>
    </row>
    <row r="939" spans="1:2" ht="15.75" customHeight="1">
      <c r="A939" s="2"/>
      <c r="B939" s="2"/>
    </row>
    <row r="940" spans="1:2" ht="15.75" customHeight="1">
      <c r="A940" s="2"/>
      <c r="B940" s="2"/>
    </row>
    <row r="941" spans="1:2" ht="15.75" customHeight="1">
      <c r="A941" s="2"/>
      <c r="B941" s="2"/>
    </row>
    <row r="942" spans="1:2" ht="15.75" customHeight="1">
      <c r="A942" s="2"/>
      <c r="B942" s="2"/>
    </row>
    <row r="943" spans="1:2" ht="15.75" customHeight="1">
      <c r="A943" s="2"/>
      <c r="B943" s="2"/>
    </row>
    <row r="944" spans="1:2" ht="15.75" customHeight="1">
      <c r="A944" s="2"/>
      <c r="B944" s="2"/>
    </row>
    <row r="945" spans="1:2" ht="15.75" customHeight="1">
      <c r="A945" s="2"/>
      <c r="B945" s="2"/>
    </row>
    <row r="946" spans="1:2" ht="15.75" customHeight="1">
      <c r="A946" s="2"/>
      <c r="B946" s="2"/>
    </row>
    <row r="947" spans="1:2" ht="15.75" customHeight="1">
      <c r="A947" s="2"/>
      <c r="B947" s="2"/>
    </row>
    <row r="948" spans="1:2" ht="15.75" customHeight="1">
      <c r="A948" s="2"/>
      <c r="B948" s="2"/>
    </row>
    <row r="949" spans="1:2" ht="15.75" customHeight="1">
      <c r="A949" s="2"/>
      <c r="B949" s="2"/>
    </row>
    <row r="950" spans="1:2" ht="15.75" customHeight="1">
      <c r="A950" s="2"/>
      <c r="B950" s="2"/>
    </row>
    <row r="951" spans="1:2" ht="15.75" customHeight="1">
      <c r="A951" s="2"/>
      <c r="B951" s="2"/>
    </row>
    <row r="952" spans="1:2" ht="15.75" customHeight="1">
      <c r="A952" s="2"/>
      <c r="B952" s="2"/>
    </row>
    <row r="953" spans="1:2" ht="15.75" customHeight="1">
      <c r="A953" s="2"/>
      <c r="B953" s="2"/>
    </row>
    <row r="954" spans="1:2" ht="15.75" customHeight="1">
      <c r="A954" s="2"/>
      <c r="B954" s="2"/>
    </row>
    <row r="955" spans="1:2" ht="15.75" customHeight="1">
      <c r="A955" s="2"/>
      <c r="B955" s="2"/>
    </row>
    <row r="956" spans="1:2" ht="15.75" customHeight="1">
      <c r="A956" s="2"/>
      <c r="B956" s="2"/>
    </row>
    <row r="957" spans="1:2" ht="15.75" customHeight="1">
      <c r="A957" s="2"/>
      <c r="B957" s="2"/>
    </row>
    <row r="958" spans="1:2" ht="15.75" customHeight="1">
      <c r="A958" s="2"/>
      <c r="B958" s="2"/>
    </row>
    <row r="959" spans="1:2" ht="15.75" customHeight="1">
      <c r="A959" s="2"/>
      <c r="B959" s="2"/>
    </row>
    <row r="960" spans="1:2" ht="15.75" customHeight="1">
      <c r="A960" s="2"/>
      <c r="B960" s="2"/>
    </row>
    <row r="961" spans="1:2" ht="15.75" customHeight="1">
      <c r="A961" s="2"/>
      <c r="B961" s="2"/>
    </row>
    <row r="962" spans="1:2" ht="15.75" customHeight="1">
      <c r="A962" s="2"/>
      <c r="B962" s="2"/>
    </row>
    <row r="963" spans="1:2" ht="15.75" customHeight="1">
      <c r="A963" s="2"/>
      <c r="B963" s="2"/>
    </row>
    <row r="964" spans="1:2" ht="15.75" customHeight="1">
      <c r="A964" s="2"/>
      <c r="B964" s="2"/>
    </row>
    <row r="965" spans="1:2" ht="15.75" customHeight="1">
      <c r="A965" s="2"/>
      <c r="B965" s="2"/>
    </row>
    <row r="966" spans="1:2" ht="15.75" customHeight="1">
      <c r="A966" s="2"/>
      <c r="B966" s="2"/>
    </row>
    <row r="967" spans="1:2" ht="15.75" customHeight="1">
      <c r="A967" s="2"/>
      <c r="B967" s="2"/>
    </row>
    <row r="968" spans="1:2" ht="15.75" customHeight="1">
      <c r="A968" s="2"/>
      <c r="B968" s="2"/>
    </row>
    <row r="969" spans="1:2" ht="15.75" customHeight="1">
      <c r="A969" s="2"/>
      <c r="B969" s="2"/>
    </row>
    <row r="970" spans="1:2" ht="15.75" customHeight="1">
      <c r="A970" s="2"/>
      <c r="B970" s="2"/>
    </row>
    <row r="971" spans="1:2" ht="15.75" customHeight="1">
      <c r="A971" s="2"/>
      <c r="B971" s="2"/>
    </row>
    <row r="972" spans="1:2" ht="15.75" customHeight="1">
      <c r="A972" s="2"/>
      <c r="B972" s="2"/>
    </row>
    <row r="973" spans="1:2" ht="15.75" customHeight="1">
      <c r="A973" s="2"/>
      <c r="B973" s="2"/>
    </row>
    <row r="974" spans="1:2" ht="15.75" customHeight="1">
      <c r="A974" s="2"/>
      <c r="B974" s="2"/>
    </row>
    <row r="975" spans="1:2" ht="15.75" customHeight="1">
      <c r="A975" s="2"/>
      <c r="B975" s="2"/>
    </row>
    <row r="976" spans="1:2" ht="15.75" customHeight="1">
      <c r="A976" s="2"/>
      <c r="B976" s="2"/>
    </row>
    <row r="977" spans="1:2" ht="15.75" customHeight="1">
      <c r="A977" s="2"/>
      <c r="B977" s="2"/>
    </row>
    <row r="978" spans="1:2" ht="15.75" customHeight="1">
      <c r="A978" s="2"/>
      <c r="B978" s="2"/>
    </row>
    <row r="979" spans="1:2" ht="15.75" customHeight="1">
      <c r="A979" s="2"/>
      <c r="B979" s="2"/>
    </row>
    <row r="980" spans="1:2" ht="15.75" customHeight="1">
      <c r="A980" s="2"/>
      <c r="B980" s="2"/>
    </row>
    <row r="981" spans="1:2" ht="15.75" customHeight="1">
      <c r="A981" s="2"/>
      <c r="B981" s="2"/>
    </row>
    <row r="982" spans="1:2" ht="15.75" customHeight="1">
      <c r="A982" s="2"/>
      <c r="B982" s="2"/>
    </row>
    <row r="983" spans="1:2" ht="15.75" customHeight="1">
      <c r="A983" s="2"/>
      <c r="B983" s="2"/>
    </row>
    <row r="984" spans="1:2" ht="15.75" customHeight="1">
      <c r="A984" s="2"/>
      <c r="B984" s="2"/>
    </row>
    <row r="985" spans="1:2" ht="15.75" customHeight="1">
      <c r="A985" s="2"/>
      <c r="B985" s="2"/>
    </row>
    <row r="986" spans="1:2" ht="15.75" customHeight="1">
      <c r="A986" s="2"/>
      <c r="B986" s="2"/>
    </row>
    <row r="987" spans="1:2" ht="15.75" customHeight="1">
      <c r="A987" s="2"/>
      <c r="B987" s="2"/>
    </row>
    <row r="988" spans="1:2" ht="15.75" customHeight="1">
      <c r="A988" s="2"/>
      <c r="B988" s="2"/>
    </row>
    <row r="989" spans="1:2" ht="15.75" customHeight="1">
      <c r="A989" s="2"/>
      <c r="B989" s="2"/>
    </row>
    <row r="990" spans="1:2" ht="15.75" customHeight="1">
      <c r="A990" s="2"/>
      <c r="B990" s="2"/>
    </row>
    <row r="991" spans="1:2" ht="15.75" customHeight="1">
      <c r="A991" s="2"/>
      <c r="B991" s="2"/>
    </row>
    <row r="992" spans="1:2" ht="15.75" customHeight="1">
      <c r="A992" s="2"/>
      <c r="B992" s="2"/>
    </row>
    <row r="993" spans="1:2" ht="15.75" customHeight="1">
      <c r="A993" s="2"/>
      <c r="B993" s="2"/>
    </row>
    <row r="994" spans="1:2" ht="15.75" customHeight="1">
      <c r="A994" s="2"/>
      <c r="B994" s="2"/>
    </row>
    <row r="995" spans="1:2" ht="15.75" customHeight="1">
      <c r="A995" s="2"/>
      <c r="B995" s="2"/>
    </row>
    <row r="996" spans="1:2" ht="15.75" customHeight="1">
      <c r="A996" s="2"/>
      <c r="B996" s="2"/>
    </row>
    <row r="997" spans="1:2" ht="15.75" customHeight="1">
      <c r="A997" s="2"/>
      <c r="B997" s="2"/>
    </row>
    <row r="998" spans="1:2" ht="15.75" customHeight="1">
      <c r="A998" s="2"/>
      <c r="B998" s="2"/>
    </row>
    <row r="999" spans="1:2" ht="15.75" customHeight="1">
      <c r="A999" s="2"/>
      <c r="B999" s="2"/>
    </row>
    <row r="1000" spans="1:2" ht="15.75" customHeight="1">
      <c r="A1000" s="2"/>
      <c r="B1000" s="2"/>
    </row>
  </sheetData>
  <mergeCells count="2">
    <mergeCell ref="A1:B1"/>
    <mergeCell ref="A2:B2"/>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142" workbookViewId="0">
      <selection activeCell="C155" sqref="C155"/>
    </sheetView>
  </sheetViews>
  <sheetFormatPr defaultColWidth="14.42578125" defaultRowHeight="15" customHeight="1"/>
  <cols>
    <col min="1" max="1" width="12" style="2" customWidth="1"/>
    <col min="2" max="2" width="20.28515625" customWidth="1"/>
    <col min="3" max="3" width="35" customWidth="1"/>
    <col min="4" max="4" width="22.5703125" customWidth="1"/>
    <col min="5" max="5" width="50" customWidth="1"/>
    <col min="6" max="26" width="8.7109375" customWidth="1"/>
  </cols>
  <sheetData>
    <row r="1" spans="1:5" ht="18" customHeight="1">
      <c r="A1" s="1" t="s">
        <v>57</v>
      </c>
      <c r="B1" s="2"/>
      <c r="C1" s="2"/>
      <c r="D1" s="2"/>
      <c r="E1" s="2"/>
    </row>
    <row r="2" spans="1:5" ht="27" customHeight="1">
      <c r="A2" s="35" t="s">
        <v>58</v>
      </c>
      <c r="B2" s="37"/>
      <c r="C2" s="37"/>
      <c r="D2" s="37"/>
      <c r="E2" s="37"/>
    </row>
    <row r="3" spans="1:5">
      <c r="B3" s="2"/>
      <c r="C3" s="2"/>
      <c r="D3" s="2"/>
      <c r="E3" s="2"/>
    </row>
    <row r="4" spans="1:5" ht="15" customHeight="1">
      <c r="A4" s="38" t="s">
        <v>59</v>
      </c>
      <c r="B4" s="39"/>
      <c r="C4" s="39"/>
      <c r="D4" s="39"/>
      <c r="E4" s="39"/>
    </row>
    <row r="5" spans="1:5" ht="17.25" customHeight="1">
      <c r="A5" s="6" t="s">
        <v>60</v>
      </c>
      <c r="B5" s="6" t="s">
        <v>61</v>
      </c>
      <c r="C5" s="6" t="s">
        <v>62</v>
      </c>
      <c r="D5" s="6" t="s">
        <v>63</v>
      </c>
      <c r="E5" s="6" t="s">
        <v>64</v>
      </c>
    </row>
    <row r="6" spans="1:5" ht="48" customHeight="1">
      <c r="A6" s="7" t="s">
        <v>65</v>
      </c>
      <c r="B6" s="7" t="s">
        <v>66</v>
      </c>
      <c r="C6" s="7" t="s">
        <v>67</v>
      </c>
      <c r="D6" s="7" t="s">
        <v>68</v>
      </c>
      <c r="E6" s="7" t="s">
        <v>69</v>
      </c>
    </row>
    <row r="7" spans="1:5" ht="48" customHeight="1">
      <c r="A7" s="7" t="s">
        <v>70</v>
      </c>
      <c r="B7" s="7" t="s">
        <v>71</v>
      </c>
      <c r="C7" s="7" t="s">
        <v>72</v>
      </c>
      <c r="D7" s="7" t="s">
        <v>73</v>
      </c>
      <c r="E7" s="7" t="s">
        <v>74</v>
      </c>
    </row>
    <row r="8" spans="1:5" ht="36" customHeight="1">
      <c r="A8" s="7" t="s">
        <v>75</v>
      </c>
      <c r="B8" s="7" t="s">
        <v>76</v>
      </c>
      <c r="C8" s="7" t="s">
        <v>77</v>
      </c>
      <c r="D8" s="7" t="s">
        <v>78</v>
      </c>
      <c r="E8" s="7" t="s">
        <v>79</v>
      </c>
    </row>
    <row r="9" spans="1:5" ht="57.75" customHeight="1">
      <c r="A9" s="7" t="s">
        <v>80</v>
      </c>
      <c r="B9" s="7" t="s">
        <v>81</v>
      </c>
      <c r="C9" s="7" t="s">
        <v>82</v>
      </c>
      <c r="D9" s="7" t="s">
        <v>83</v>
      </c>
      <c r="E9" s="7" t="s">
        <v>84</v>
      </c>
    </row>
    <row r="10" spans="1:5" ht="48" customHeight="1">
      <c r="A10" s="7" t="s">
        <v>85</v>
      </c>
      <c r="B10" s="7" t="s">
        <v>86</v>
      </c>
      <c r="C10" s="7" t="s">
        <v>87</v>
      </c>
      <c r="D10" s="7" t="s">
        <v>88</v>
      </c>
      <c r="E10" s="7" t="s">
        <v>89</v>
      </c>
    </row>
    <row r="11" spans="1:5" ht="48" customHeight="1">
      <c r="A11" s="7" t="s">
        <v>90</v>
      </c>
      <c r="B11" s="7" t="s">
        <v>91</v>
      </c>
      <c r="C11" s="7" t="s">
        <v>92</v>
      </c>
      <c r="D11" s="7" t="s">
        <v>93</v>
      </c>
      <c r="E11" s="7" t="s">
        <v>94</v>
      </c>
    </row>
    <row r="12" spans="1:5">
      <c r="B12" s="2"/>
      <c r="C12" s="2"/>
      <c r="D12" s="2"/>
      <c r="E12" s="2"/>
    </row>
    <row r="13" spans="1:5">
      <c r="B13" s="2"/>
      <c r="C13" s="2"/>
      <c r="D13" s="2"/>
      <c r="E13" s="2"/>
    </row>
    <row r="14" spans="1:5" ht="15" customHeight="1">
      <c r="A14" s="38" t="s">
        <v>95</v>
      </c>
      <c r="B14" s="39"/>
      <c r="C14" s="39"/>
      <c r="D14" s="39"/>
      <c r="E14" s="39"/>
    </row>
    <row r="15" spans="1:5" ht="15" customHeight="1">
      <c r="A15" s="6" t="s">
        <v>60</v>
      </c>
      <c r="B15" s="6" t="s">
        <v>96</v>
      </c>
      <c r="C15" s="6" t="s">
        <v>97</v>
      </c>
      <c r="D15" s="6" t="s">
        <v>98</v>
      </c>
      <c r="E15" s="2"/>
    </row>
    <row r="16" spans="1:5" ht="48" customHeight="1">
      <c r="A16" s="7" t="s">
        <v>99</v>
      </c>
      <c r="B16" s="7" t="s">
        <v>100</v>
      </c>
      <c r="C16" s="7" t="s">
        <v>101</v>
      </c>
      <c r="D16" s="7" t="s">
        <v>102</v>
      </c>
      <c r="E16" s="2"/>
    </row>
    <row r="17" spans="1:5" ht="38.25" customHeight="1">
      <c r="A17" s="7" t="s">
        <v>103</v>
      </c>
      <c r="B17" s="7" t="s">
        <v>104</v>
      </c>
      <c r="C17" s="7" t="s">
        <v>105</v>
      </c>
      <c r="D17" s="7" t="s">
        <v>102</v>
      </c>
      <c r="E17" s="2"/>
    </row>
    <row r="18" spans="1:5" ht="36" customHeight="1">
      <c r="A18" s="7" t="s">
        <v>106</v>
      </c>
      <c r="B18" s="7" t="s">
        <v>107</v>
      </c>
      <c r="C18" s="7" t="s">
        <v>108</v>
      </c>
      <c r="D18" s="7" t="s">
        <v>102</v>
      </c>
      <c r="E18" s="2"/>
    </row>
    <row r="19" spans="1:5" ht="48" customHeight="1">
      <c r="A19" s="7" t="s">
        <v>109</v>
      </c>
      <c r="B19" s="7" t="s">
        <v>110</v>
      </c>
      <c r="C19" s="7" t="s">
        <v>111</v>
      </c>
      <c r="D19" s="7" t="s">
        <v>102</v>
      </c>
      <c r="E19" s="2"/>
    </row>
    <row r="20" spans="1:5" ht="36" customHeight="1">
      <c r="A20" s="7" t="s">
        <v>112</v>
      </c>
      <c r="B20" s="7" t="s">
        <v>113</v>
      </c>
      <c r="C20" s="7" t="s">
        <v>114</v>
      </c>
      <c r="D20" s="7" t="s">
        <v>102</v>
      </c>
      <c r="E20" s="2"/>
    </row>
    <row r="21" spans="1:5" ht="36" customHeight="1">
      <c r="A21" s="7" t="s">
        <v>115</v>
      </c>
      <c r="B21" s="7" t="s">
        <v>116</v>
      </c>
      <c r="C21" s="7" t="s">
        <v>117</v>
      </c>
      <c r="D21" s="7" t="s">
        <v>102</v>
      </c>
      <c r="E21" s="2"/>
    </row>
    <row r="22" spans="1:5" ht="36" customHeight="1">
      <c r="A22" s="7" t="s">
        <v>118</v>
      </c>
      <c r="B22" s="7" t="s">
        <v>119</v>
      </c>
      <c r="C22" s="7" t="s">
        <v>120</v>
      </c>
      <c r="D22" s="7" t="s">
        <v>102</v>
      </c>
      <c r="E22" s="2"/>
    </row>
    <row r="23" spans="1:5" ht="36" customHeight="1">
      <c r="A23" s="7" t="s">
        <v>121</v>
      </c>
      <c r="B23" s="7" t="s">
        <v>122</v>
      </c>
      <c r="C23" s="7" t="s">
        <v>123</v>
      </c>
      <c r="D23" s="7" t="s">
        <v>102</v>
      </c>
      <c r="E23" s="2"/>
    </row>
    <row r="24" spans="1:5" ht="48" customHeight="1">
      <c r="A24" s="7" t="s">
        <v>124</v>
      </c>
      <c r="B24" s="7" t="s">
        <v>125</v>
      </c>
      <c r="C24" s="7" t="s">
        <v>126</v>
      </c>
      <c r="D24" s="7" t="s">
        <v>102</v>
      </c>
      <c r="E24" s="2"/>
    </row>
    <row r="25" spans="1:5" ht="48" customHeight="1">
      <c r="A25" s="7" t="s">
        <v>127</v>
      </c>
      <c r="B25" s="7" t="s">
        <v>128</v>
      </c>
      <c r="C25" s="7" t="s">
        <v>129</v>
      </c>
      <c r="D25" s="7" t="s">
        <v>102</v>
      </c>
      <c r="E25" s="2"/>
    </row>
    <row r="26" spans="1:5" ht="36" customHeight="1">
      <c r="A26" s="7" t="s">
        <v>130</v>
      </c>
      <c r="B26" s="7" t="s">
        <v>131</v>
      </c>
      <c r="C26" s="7" t="s">
        <v>132</v>
      </c>
      <c r="D26" s="7" t="s">
        <v>102</v>
      </c>
      <c r="E26" s="2"/>
    </row>
    <row r="27" spans="1:5" ht="36" customHeight="1">
      <c r="A27" s="7" t="s">
        <v>133</v>
      </c>
      <c r="B27" s="7" t="s">
        <v>134</v>
      </c>
      <c r="C27" s="7" t="s">
        <v>135</v>
      </c>
      <c r="D27" s="7" t="s">
        <v>102</v>
      </c>
      <c r="E27" s="2"/>
    </row>
    <row r="28" spans="1:5" ht="154.5" customHeight="1">
      <c r="A28" s="7" t="s">
        <v>136</v>
      </c>
      <c r="B28" s="7" t="s">
        <v>137</v>
      </c>
      <c r="C28" s="7" t="s">
        <v>138</v>
      </c>
      <c r="D28" s="7" t="s">
        <v>139</v>
      </c>
      <c r="E28" s="2"/>
    </row>
    <row r="29" spans="1:5" ht="60" customHeight="1">
      <c r="A29" s="7" t="s">
        <v>140</v>
      </c>
      <c r="B29" s="7" t="s">
        <v>141</v>
      </c>
      <c r="C29" s="7" t="s">
        <v>142</v>
      </c>
      <c r="D29" s="7" t="s">
        <v>143</v>
      </c>
      <c r="E29" s="2"/>
    </row>
    <row r="30" spans="1:5" ht="15.75" customHeight="1">
      <c r="B30" s="2"/>
      <c r="C30" s="2"/>
      <c r="D30" s="2"/>
      <c r="E30" s="2"/>
    </row>
    <row r="31" spans="1:5" ht="15" customHeight="1">
      <c r="A31" s="38" t="s">
        <v>144</v>
      </c>
      <c r="B31" s="39"/>
      <c r="C31" s="39"/>
      <c r="D31" s="39"/>
      <c r="E31" s="39"/>
    </row>
    <row r="32" spans="1:5" ht="43.5" customHeight="1">
      <c r="A32" s="6" t="s">
        <v>60</v>
      </c>
      <c r="B32" s="12" t="s">
        <v>145</v>
      </c>
      <c r="C32" s="6" t="s">
        <v>146</v>
      </c>
      <c r="D32" s="6" t="s">
        <v>147</v>
      </c>
      <c r="E32" s="2"/>
    </row>
    <row r="33" spans="1:5" ht="36" customHeight="1">
      <c r="A33" s="7" t="s">
        <v>148</v>
      </c>
      <c r="B33" s="7" t="s">
        <v>149</v>
      </c>
      <c r="C33" s="7" t="s">
        <v>150</v>
      </c>
      <c r="D33" s="7" t="s">
        <v>151</v>
      </c>
      <c r="E33" s="2"/>
    </row>
    <row r="34" spans="1:5" ht="36" customHeight="1">
      <c r="A34" s="7" t="s">
        <v>152</v>
      </c>
      <c r="B34" s="7" t="s">
        <v>153</v>
      </c>
      <c r="C34" s="7" t="s">
        <v>150</v>
      </c>
      <c r="D34" s="7" t="s">
        <v>154</v>
      </c>
      <c r="E34" s="2"/>
    </row>
    <row r="35" spans="1:5" ht="24" customHeight="1">
      <c r="A35" s="7" t="s">
        <v>155</v>
      </c>
      <c r="B35" s="7" t="s">
        <v>156</v>
      </c>
      <c r="C35" s="7" t="s">
        <v>150</v>
      </c>
      <c r="D35" s="7" t="s">
        <v>157</v>
      </c>
      <c r="E35" s="2"/>
    </row>
    <row r="36" spans="1:5" ht="36" customHeight="1">
      <c r="A36" s="7" t="s">
        <v>158</v>
      </c>
      <c r="B36" s="7" t="s">
        <v>159</v>
      </c>
      <c r="C36" s="7" t="s">
        <v>150</v>
      </c>
      <c r="D36" s="7" t="s">
        <v>160</v>
      </c>
      <c r="E36" s="2"/>
    </row>
    <row r="37" spans="1:5" ht="36" customHeight="1">
      <c r="A37" s="7" t="s">
        <v>161</v>
      </c>
      <c r="B37" s="7" t="s">
        <v>162</v>
      </c>
      <c r="C37" s="7" t="s">
        <v>163</v>
      </c>
      <c r="D37" s="7" t="s">
        <v>164</v>
      </c>
      <c r="E37" s="2"/>
    </row>
    <row r="38" spans="1:5" ht="24" customHeight="1">
      <c r="A38" s="7" t="s">
        <v>165</v>
      </c>
      <c r="B38" s="7" t="s">
        <v>166</v>
      </c>
      <c r="C38" s="7" t="s">
        <v>163</v>
      </c>
      <c r="D38" s="7" t="s">
        <v>167</v>
      </c>
      <c r="E38" s="2"/>
    </row>
    <row r="39" spans="1:5" ht="36" customHeight="1">
      <c r="A39" s="7" t="s">
        <v>168</v>
      </c>
      <c r="B39" s="7" t="s">
        <v>169</v>
      </c>
      <c r="C39" s="7" t="s">
        <v>163</v>
      </c>
      <c r="D39" s="7" t="s">
        <v>170</v>
      </c>
      <c r="E39" s="2"/>
    </row>
    <row r="40" spans="1:5" ht="24" customHeight="1">
      <c r="A40" s="7" t="s">
        <v>171</v>
      </c>
      <c r="B40" s="7" t="s">
        <v>172</v>
      </c>
      <c r="C40" s="7" t="s">
        <v>163</v>
      </c>
      <c r="D40" s="7" t="s">
        <v>173</v>
      </c>
      <c r="E40" s="2"/>
    </row>
    <row r="41" spans="1:5" ht="24" customHeight="1">
      <c r="A41" s="7" t="s">
        <v>174</v>
      </c>
      <c r="B41" s="7" t="s">
        <v>175</v>
      </c>
      <c r="C41" s="7" t="s">
        <v>163</v>
      </c>
      <c r="D41" s="7" t="s">
        <v>176</v>
      </c>
      <c r="E41" s="2"/>
    </row>
    <row r="42" spans="1:5" ht="36" customHeight="1">
      <c r="A42" s="7" t="s">
        <v>177</v>
      </c>
      <c r="B42" s="7" t="s">
        <v>178</v>
      </c>
      <c r="C42" s="7" t="s">
        <v>163</v>
      </c>
      <c r="D42" s="7" t="s">
        <v>179</v>
      </c>
      <c r="E42" s="2"/>
    </row>
    <row r="43" spans="1:5" ht="24" customHeight="1">
      <c r="A43" s="7" t="s">
        <v>180</v>
      </c>
      <c r="B43" s="7" t="s">
        <v>181</v>
      </c>
      <c r="C43" s="7" t="s">
        <v>182</v>
      </c>
      <c r="D43" s="7" t="s">
        <v>183</v>
      </c>
      <c r="E43" s="2"/>
    </row>
    <row r="44" spans="1:5" ht="36" customHeight="1">
      <c r="A44" s="7" t="s">
        <v>184</v>
      </c>
      <c r="B44" s="7" t="s">
        <v>185</v>
      </c>
      <c r="C44" s="7" t="s">
        <v>182</v>
      </c>
      <c r="D44" s="7" t="s">
        <v>186</v>
      </c>
      <c r="E44" s="2"/>
    </row>
    <row r="45" spans="1:5" ht="24" customHeight="1">
      <c r="A45" s="7" t="s">
        <v>187</v>
      </c>
      <c r="B45" s="7" t="s">
        <v>188</v>
      </c>
      <c r="C45" s="7" t="s">
        <v>182</v>
      </c>
      <c r="D45" s="7" t="s">
        <v>189</v>
      </c>
      <c r="E45" s="2"/>
    </row>
    <row r="46" spans="1:5" ht="15.75" customHeight="1">
      <c r="B46" s="2"/>
      <c r="C46" s="2"/>
      <c r="D46" s="2"/>
      <c r="E46" s="2"/>
    </row>
    <row r="47" spans="1:5" ht="15.75" customHeight="1">
      <c r="B47" s="2"/>
      <c r="C47" s="2"/>
      <c r="D47" s="2"/>
      <c r="E47" s="2"/>
    </row>
    <row r="48" spans="1:5" ht="15" customHeight="1">
      <c r="A48" s="38" t="s">
        <v>190</v>
      </c>
      <c r="B48" s="39"/>
      <c r="C48" s="39"/>
      <c r="D48" s="39"/>
      <c r="E48" s="39"/>
    </row>
    <row r="49" spans="1:5" ht="28.5" customHeight="1">
      <c r="A49" s="6" t="s">
        <v>60</v>
      </c>
      <c r="B49" s="6" t="s">
        <v>191</v>
      </c>
      <c r="C49" s="6" t="s">
        <v>97</v>
      </c>
      <c r="D49" s="2"/>
      <c r="E49" s="2"/>
    </row>
    <row r="50" spans="1:5" ht="48" customHeight="1">
      <c r="A50" s="7" t="s">
        <v>192</v>
      </c>
      <c r="B50" s="7" t="s">
        <v>193</v>
      </c>
      <c r="C50" s="7" t="s">
        <v>194</v>
      </c>
      <c r="D50" s="2"/>
      <c r="E50" s="2"/>
    </row>
    <row r="51" spans="1:5" ht="36" customHeight="1">
      <c r="A51" s="7" t="s">
        <v>195</v>
      </c>
      <c r="B51" s="7" t="s">
        <v>196</v>
      </c>
      <c r="C51" s="7" t="s">
        <v>197</v>
      </c>
      <c r="D51" s="2"/>
      <c r="E51" s="2"/>
    </row>
    <row r="52" spans="1:5" ht="36" customHeight="1">
      <c r="A52" s="7" t="s">
        <v>198</v>
      </c>
      <c r="B52" s="7" t="s">
        <v>199</v>
      </c>
      <c r="C52" s="7" t="s">
        <v>200</v>
      </c>
      <c r="D52" s="2"/>
      <c r="E52" s="2"/>
    </row>
    <row r="53" spans="1:5" ht="24" customHeight="1">
      <c r="A53" s="7" t="s">
        <v>201</v>
      </c>
      <c r="B53" s="7" t="s">
        <v>202</v>
      </c>
      <c r="C53" s="7" t="s">
        <v>203</v>
      </c>
      <c r="D53" s="2"/>
      <c r="E53" s="2"/>
    </row>
    <row r="54" spans="1:5" ht="24" customHeight="1">
      <c r="A54" s="7" t="s">
        <v>204</v>
      </c>
      <c r="B54" s="7" t="s">
        <v>205</v>
      </c>
      <c r="C54" s="7" t="s">
        <v>206</v>
      </c>
      <c r="D54" s="2"/>
      <c r="E54" s="2"/>
    </row>
    <row r="55" spans="1:5" ht="24" customHeight="1">
      <c r="A55" s="7" t="s">
        <v>207</v>
      </c>
      <c r="B55" s="7" t="s">
        <v>208</v>
      </c>
      <c r="C55" s="7" t="s">
        <v>209</v>
      </c>
      <c r="D55" s="2"/>
      <c r="E55" s="2"/>
    </row>
    <row r="56" spans="1:5" ht="24" customHeight="1">
      <c r="A56" s="7" t="s">
        <v>210</v>
      </c>
      <c r="B56" s="7" t="s">
        <v>211</v>
      </c>
      <c r="C56" s="7" t="s">
        <v>212</v>
      </c>
      <c r="D56" s="2"/>
      <c r="E56" s="2"/>
    </row>
    <row r="57" spans="1:5" ht="15.75" customHeight="1">
      <c r="B57" s="2"/>
      <c r="C57" s="2"/>
      <c r="D57" s="2"/>
      <c r="E57" s="2"/>
    </row>
    <row r="58" spans="1:5" ht="15.75" customHeight="1">
      <c r="B58" s="2"/>
      <c r="C58" s="2"/>
      <c r="D58" s="2"/>
      <c r="E58" s="2"/>
    </row>
    <row r="59" spans="1:5" ht="15" customHeight="1">
      <c r="A59" s="38" t="s">
        <v>213</v>
      </c>
      <c r="B59" s="39"/>
      <c r="C59" s="39"/>
      <c r="D59" s="39"/>
      <c r="E59" s="39"/>
    </row>
    <row r="60" spans="1:5" ht="15" customHeight="1">
      <c r="A60" s="6" t="s">
        <v>214</v>
      </c>
      <c r="B60" s="6" t="s">
        <v>215</v>
      </c>
      <c r="C60" s="6" t="s">
        <v>216</v>
      </c>
      <c r="D60" s="2"/>
      <c r="E60" s="2"/>
    </row>
    <row r="61" spans="1:5" ht="36" customHeight="1">
      <c r="A61" s="7">
        <v>3</v>
      </c>
      <c r="B61" s="7" t="s">
        <v>217</v>
      </c>
      <c r="C61" s="7" t="s">
        <v>218</v>
      </c>
      <c r="D61" s="2"/>
      <c r="E61" s="2"/>
    </row>
    <row r="62" spans="1:5" ht="36" customHeight="1">
      <c r="A62" s="7">
        <v>2</v>
      </c>
      <c r="B62" s="7" t="s">
        <v>219</v>
      </c>
      <c r="C62" s="7" t="s">
        <v>220</v>
      </c>
      <c r="D62" s="2"/>
      <c r="E62" s="2"/>
    </row>
    <row r="63" spans="1:5" ht="24" customHeight="1">
      <c r="A63" s="7">
        <v>1</v>
      </c>
      <c r="B63" s="7" t="s">
        <v>221</v>
      </c>
      <c r="C63" s="7" t="s">
        <v>222</v>
      </c>
      <c r="D63" s="2"/>
      <c r="E63" s="2"/>
    </row>
    <row r="64" spans="1:5" ht="15.75" customHeight="1">
      <c r="B64" s="2"/>
      <c r="C64" s="2"/>
      <c r="D64" s="2"/>
      <c r="E64" s="2"/>
    </row>
    <row r="65" spans="1:5" ht="15.75" customHeight="1">
      <c r="B65" s="2"/>
      <c r="C65" s="2"/>
      <c r="D65" s="2"/>
      <c r="E65" s="2"/>
    </row>
    <row r="66" spans="1:5" ht="15" customHeight="1">
      <c r="A66" s="38" t="s">
        <v>223</v>
      </c>
      <c r="B66" s="39"/>
      <c r="C66" s="39"/>
      <c r="D66" s="39"/>
      <c r="E66" s="39"/>
    </row>
    <row r="67" spans="1:5" ht="15" customHeight="1">
      <c r="A67" s="6" t="s">
        <v>224</v>
      </c>
      <c r="B67" s="6" t="s">
        <v>215</v>
      </c>
      <c r="C67" s="6" t="s">
        <v>97</v>
      </c>
      <c r="D67" s="2"/>
      <c r="E67" s="2"/>
    </row>
    <row r="68" spans="1:5" ht="24" customHeight="1">
      <c r="A68" s="7" t="s">
        <v>225</v>
      </c>
      <c r="B68" s="7" t="s">
        <v>226</v>
      </c>
      <c r="C68" s="7" t="s">
        <v>227</v>
      </c>
      <c r="D68" s="2"/>
      <c r="E68" s="2"/>
    </row>
    <row r="69" spans="1:5" ht="24" customHeight="1">
      <c r="A69" s="7" t="s">
        <v>228</v>
      </c>
      <c r="B69" s="7" t="s">
        <v>229</v>
      </c>
      <c r="C69" s="7" t="s">
        <v>230</v>
      </c>
      <c r="D69" s="2"/>
      <c r="E69" s="2"/>
    </row>
    <row r="70" spans="1:5" ht="24" customHeight="1">
      <c r="A70" s="7" t="s">
        <v>231</v>
      </c>
      <c r="B70" s="7" t="s">
        <v>232</v>
      </c>
      <c r="C70" s="7" t="s">
        <v>233</v>
      </c>
      <c r="D70" s="2"/>
      <c r="E70" s="2"/>
    </row>
    <row r="71" spans="1:5" ht="15.75" customHeight="1">
      <c r="B71" s="2"/>
      <c r="C71" s="2"/>
      <c r="D71" s="2"/>
      <c r="E71" s="2"/>
    </row>
    <row r="72" spans="1:5" ht="15.75" customHeight="1">
      <c r="B72" s="2"/>
      <c r="C72" s="2"/>
      <c r="D72" s="2"/>
      <c r="E72" s="2"/>
    </row>
    <row r="73" spans="1:5" ht="15" customHeight="1">
      <c r="A73" s="38" t="s">
        <v>234</v>
      </c>
      <c r="B73" s="39"/>
      <c r="C73" s="39"/>
      <c r="D73" s="39"/>
      <c r="E73" s="39"/>
    </row>
    <row r="74" spans="1:5" ht="15" customHeight="1">
      <c r="A74" s="6" t="s">
        <v>224</v>
      </c>
      <c r="B74" s="6" t="s">
        <v>215</v>
      </c>
      <c r="C74" s="6" t="s">
        <v>235</v>
      </c>
      <c r="D74" s="2"/>
      <c r="E74" s="2"/>
    </row>
    <row r="75" spans="1:5" ht="36" customHeight="1">
      <c r="A75" s="7" t="s">
        <v>236</v>
      </c>
      <c r="B75" s="7" t="s">
        <v>237</v>
      </c>
      <c r="C75" s="7" t="s">
        <v>238</v>
      </c>
      <c r="D75" s="2"/>
      <c r="E75" s="2"/>
    </row>
    <row r="76" spans="1:5" ht="24" customHeight="1">
      <c r="A76" s="7" t="s">
        <v>239</v>
      </c>
      <c r="B76" s="7" t="s">
        <v>240</v>
      </c>
      <c r="C76" s="7" t="s">
        <v>241</v>
      </c>
      <c r="D76" s="2"/>
      <c r="E76" s="2"/>
    </row>
    <row r="77" spans="1:5" ht="24" customHeight="1">
      <c r="A77" s="7" t="s">
        <v>242</v>
      </c>
      <c r="B77" s="7" t="s">
        <v>243</v>
      </c>
      <c r="C77" s="7" t="s">
        <v>244</v>
      </c>
      <c r="D77" s="2"/>
      <c r="E77" s="2"/>
    </row>
    <row r="78" spans="1:5" ht="15.75" customHeight="1">
      <c r="B78" s="2"/>
      <c r="C78" s="2"/>
      <c r="D78" s="2"/>
      <c r="E78" s="2"/>
    </row>
    <row r="79" spans="1:5" ht="15.75" customHeight="1">
      <c r="B79" s="2"/>
      <c r="C79" s="2"/>
      <c r="D79" s="2"/>
      <c r="E79" s="2"/>
    </row>
    <row r="80" spans="1:5" ht="15" customHeight="1">
      <c r="A80" s="40" t="s">
        <v>245</v>
      </c>
      <c r="B80" s="39"/>
      <c r="C80" s="39"/>
      <c r="D80" s="39"/>
      <c r="E80" s="39"/>
    </row>
    <row r="81" spans="1:5" ht="15" customHeight="1">
      <c r="A81" s="13" t="s">
        <v>60</v>
      </c>
      <c r="B81" s="13" t="s">
        <v>246</v>
      </c>
      <c r="C81" s="13" t="s">
        <v>97</v>
      </c>
      <c r="D81" s="2"/>
      <c r="E81" s="2"/>
    </row>
    <row r="82" spans="1:5" ht="15" customHeight="1">
      <c r="A82" s="7" t="s">
        <v>247</v>
      </c>
      <c r="B82" s="7" t="s">
        <v>248</v>
      </c>
      <c r="C82" s="7" t="s">
        <v>249</v>
      </c>
      <c r="D82" s="2"/>
      <c r="E82" s="2"/>
    </row>
    <row r="83" spans="1:5" ht="24" customHeight="1">
      <c r="A83" s="7" t="s">
        <v>250</v>
      </c>
      <c r="B83" s="7" t="s">
        <v>251</v>
      </c>
      <c r="C83" s="7" t="s">
        <v>252</v>
      </c>
      <c r="D83" s="2"/>
      <c r="E83" s="2"/>
    </row>
    <row r="84" spans="1:5" ht="24" customHeight="1">
      <c r="A84" s="7" t="s">
        <v>253</v>
      </c>
      <c r="B84" s="7" t="s">
        <v>254</v>
      </c>
      <c r="C84" s="7" t="s">
        <v>255</v>
      </c>
      <c r="D84" s="2"/>
      <c r="E84" s="2"/>
    </row>
    <row r="85" spans="1:5" ht="24" customHeight="1">
      <c r="A85" s="7" t="s">
        <v>256</v>
      </c>
      <c r="B85" s="7" t="s">
        <v>257</v>
      </c>
      <c r="C85" s="7" t="s">
        <v>258</v>
      </c>
      <c r="D85" s="2"/>
      <c r="E85" s="2"/>
    </row>
    <row r="86" spans="1:5" ht="36" customHeight="1">
      <c r="A86" s="7" t="s">
        <v>259</v>
      </c>
      <c r="B86" s="7" t="s">
        <v>260</v>
      </c>
      <c r="C86" s="7" t="s">
        <v>261</v>
      </c>
      <c r="D86" s="2"/>
      <c r="E86" s="2"/>
    </row>
    <row r="87" spans="1:5" ht="24" customHeight="1">
      <c r="A87" s="7" t="s">
        <v>262</v>
      </c>
      <c r="B87" s="7" t="s">
        <v>263</v>
      </c>
      <c r="C87" s="7" t="s">
        <v>264</v>
      </c>
      <c r="D87" s="2"/>
      <c r="E87" s="2"/>
    </row>
    <row r="88" spans="1:5" ht="24" customHeight="1">
      <c r="A88" s="7" t="s">
        <v>265</v>
      </c>
      <c r="B88" s="7" t="s">
        <v>266</v>
      </c>
      <c r="C88" s="7" t="s">
        <v>267</v>
      </c>
      <c r="D88" s="2"/>
      <c r="E88" s="2"/>
    </row>
    <row r="89" spans="1:5" ht="24" customHeight="1">
      <c r="A89" s="7" t="s">
        <v>268</v>
      </c>
      <c r="B89" s="7" t="s">
        <v>269</v>
      </c>
      <c r="C89" s="7" t="s">
        <v>270</v>
      </c>
      <c r="D89" s="2"/>
      <c r="E89" s="2"/>
    </row>
    <row r="90" spans="1:5" ht="24" customHeight="1">
      <c r="A90" s="7" t="s">
        <v>271</v>
      </c>
      <c r="B90" s="7" t="s">
        <v>272</v>
      </c>
      <c r="C90" s="7" t="s">
        <v>273</v>
      </c>
      <c r="D90" s="2"/>
      <c r="E90" s="2"/>
    </row>
    <row r="91" spans="1:5" ht="24" customHeight="1">
      <c r="A91" s="7" t="s">
        <v>274</v>
      </c>
      <c r="B91" s="7" t="s">
        <v>275</v>
      </c>
      <c r="C91" s="7" t="s">
        <v>276</v>
      </c>
      <c r="D91" s="2"/>
      <c r="E91" s="2"/>
    </row>
    <row r="92" spans="1:5" ht="15.75" customHeight="1">
      <c r="B92" s="2"/>
      <c r="C92" s="2"/>
      <c r="D92" s="2"/>
      <c r="E92" s="2"/>
    </row>
    <row r="93" spans="1:5" ht="15.75" customHeight="1">
      <c r="B93" s="2"/>
      <c r="C93" s="2"/>
      <c r="D93" s="2"/>
      <c r="E93" s="2"/>
    </row>
    <row r="94" spans="1:5" ht="15" customHeight="1">
      <c r="A94" s="40" t="s">
        <v>277</v>
      </c>
      <c r="B94" s="39"/>
      <c r="C94" s="39"/>
      <c r="D94" s="39"/>
      <c r="E94" s="39"/>
    </row>
    <row r="95" spans="1:5" ht="15" customHeight="1">
      <c r="A95" s="13" t="s">
        <v>60</v>
      </c>
      <c r="B95" s="13" t="s">
        <v>278</v>
      </c>
      <c r="C95" s="13" t="s">
        <v>97</v>
      </c>
      <c r="D95" s="2"/>
      <c r="E95" s="2"/>
    </row>
    <row r="96" spans="1:5" ht="36" customHeight="1">
      <c r="A96" s="7" t="s">
        <v>279</v>
      </c>
      <c r="B96" s="7" t="s">
        <v>280</v>
      </c>
      <c r="C96" s="7" t="s">
        <v>281</v>
      </c>
      <c r="D96" s="2"/>
      <c r="E96" s="2"/>
    </row>
    <row r="97" spans="1:5" ht="36" customHeight="1">
      <c r="A97" s="7" t="s">
        <v>282</v>
      </c>
      <c r="B97" s="7" t="s">
        <v>283</v>
      </c>
      <c r="C97" s="7" t="s">
        <v>284</v>
      </c>
      <c r="D97" s="2"/>
      <c r="E97" s="2"/>
    </row>
    <row r="98" spans="1:5" ht="24" customHeight="1">
      <c r="A98" s="7" t="s">
        <v>285</v>
      </c>
      <c r="B98" s="7" t="s">
        <v>286</v>
      </c>
      <c r="C98" s="7" t="s">
        <v>287</v>
      </c>
      <c r="D98" s="2"/>
      <c r="E98" s="2"/>
    </row>
    <row r="99" spans="1:5" ht="24" customHeight="1">
      <c r="A99" s="7" t="s">
        <v>288</v>
      </c>
      <c r="B99" s="7" t="s">
        <v>289</v>
      </c>
      <c r="C99" s="7" t="s">
        <v>290</v>
      </c>
      <c r="D99" s="2"/>
      <c r="E99" s="2"/>
    </row>
    <row r="100" spans="1:5" ht="24" customHeight="1">
      <c r="A100" s="7" t="s">
        <v>291</v>
      </c>
      <c r="B100" s="7" t="s">
        <v>292</v>
      </c>
      <c r="C100" s="7" t="s">
        <v>293</v>
      </c>
      <c r="D100" s="2"/>
      <c r="E100" s="2"/>
    </row>
    <row r="101" spans="1:5" ht="36" customHeight="1">
      <c r="A101" s="7" t="s">
        <v>294</v>
      </c>
      <c r="B101" s="7" t="s">
        <v>295</v>
      </c>
      <c r="C101" s="7" t="s">
        <v>296</v>
      </c>
      <c r="D101" s="2"/>
      <c r="E101" s="2"/>
    </row>
    <row r="102" spans="1:5" ht="24" customHeight="1">
      <c r="A102" s="7" t="s">
        <v>297</v>
      </c>
      <c r="B102" s="7" t="s">
        <v>298</v>
      </c>
      <c r="C102" s="7" t="s">
        <v>299</v>
      </c>
      <c r="D102" s="2"/>
      <c r="E102" s="2"/>
    </row>
    <row r="103" spans="1:5" ht="24" customHeight="1">
      <c r="A103" s="7" t="s">
        <v>300</v>
      </c>
      <c r="B103" s="7" t="s">
        <v>301</v>
      </c>
      <c r="C103" s="7" t="s">
        <v>302</v>
      </c>
      <c r="D103" s="2"/>
      <c r="E103" s="2"/>
    </row>
    <row r="104" spans="1:5" ht="24" customHeight="1">
      <c r="A104" s="7" t="s">
        <v>303</v>
      </c>
      <c r="B104" s="7" t="s">
        <v>304</v>
      </c>
      <c r="C104" s="7" t="s">
        <v>305</v>
      </c>
      <c r="D104" s="2"/>
      <c r="E104" s="2"/>
    </row>
    <row r="105" spans="1:5" ht="24" customHeight="1">
      <c r="A105" s="7" t="s">
        <v>306</v>
      </c>
      <c r="B105" s="7" t="s">
        <v>307</v>
      </c>
      <c r="C105" s="7" t="s">
        <v>308</v>
      </c>
      <c r="D105" s="2"/>
      <c r="E105" s="2"/>
    </row>
    <row r="106" spans="1:5" ht="24" customHeight="1">
      <c r="A106" s="7" t="s">
        <v>309</v>
      </c>
      <c r="B106" s="7" t="s">
        <v>275</v>
      </c>
      <c r="C106" s="7" t="s">
        <v>310</v>
      </c>
      <c r="D106" s="2"/>
      <c r="E106" s="2"/>
    </row>
    <row r="107" spans="1:5" ht="15.75" customHeight="1">
      <c r="B107" s="2"/>
      <c r="C107" s="2"/>
      <c r="D107" s="2"/>
      <c r="E107" s="2"/>
    </row>
    <row r="108" spans="1:5" ht="15.75" customHeight="1">
      <c r="B108" s="2"/>
      <c r="C108" s="2"/>
      <c r="D108" s="2"/>
      <c r="E108" s="2"/>
    </row>
    <row r="109" spans="1:5" ht="15" customHeight="1">
      <c r="A109" s="40" t="s">
        <v>311</v>
      </c>
      <c r="B109" s="39"/>
      <c r="C109" s="39"/>
      <c r="D109" s="39"/>
      <c r="E109" s="39"/>
    </row>
    <row r="110" spans="1:5" ht="15" customHeight="1">
      <c r="A110" s="13" t="s">
        <v>60</v>
      </c>
      <c r="B110" s="13" t="s">
        <v>246</v>
      </c>
      <c r="C110" s="13" t="s">
        <v>97</v>
      </c>
      <c r="D110" s="2"/>
      <c r="E110" s="2"/>
    </row>
    <row r="111" spans="1:5" ht="24" customHeight="1">
      <c r="A111" s="7" t="s">
        <v>312</v>
      </c>
      <c r="B111" s="7" t="s">
        <v>313</v>
      </c>
      <c r="C111" s="7" t="s">
        <v>314</v>
      </c>
      <c r="D111" s="2"/>
      <c r="E111" s="2"/>
    </row>
    <row r="112" spans="1:5" ht="24" customHeight="1">
      <c r="A112" s="7" t="s">
        <v>315</v>
      </c>
      <c r="B112" s="7" t="s">
        <v>316</v>
      </c>
      <c r="C112" s="7" t="s">
        <v>317</v>
      </c>
      <c r="D112" s="2"/>
      <c r="E112" s="2"/>
    </row>
    <row r="113" spans="1:5" ht="36" customHeight="1">
      <c r="A113" s="7" t="s">
        <v>318</v>
      </c>
      <c r="B113" s="7" t="s">
        <v>319</v>
      </c>
      <c r="C113" s="7" t="s">
        <v>320</v>
      </c>
      <c r="D113" s="2"/>
      <c r="E113" s="2"/>
    </row>
    <row r="114" spans="1:5" ht="24" customHeight="1">
      <c r="A114" s="7" t="s">
        <v>321</v>
      </c>
      <c r="B114" s="7" t="s">
        <v>322</v>
      </c>
      <c r="C114" s="7" t="s">
        <v>323</v>
      </c>
      <c r="D114" s="2"/>
      <c r="E114" s="2"/>
    </row>
    <row r="115" spans="1:5" ht="36" customHeight="1">
      <c r="A115" s="7" t="s">
        <v>324</v>
      </c>
      <c r="B115" s="7" t="s">
        <v>325</v>
      </c>
      <c r="C115" s="7" t="s">
        <v>326</v>
      </c>
      <c r="D115" s="2"/>
      <c r="E115" s="2"/>
    </row>
    <row r="116" spans="1:5" ht="24" customHeight="1">
      <c r="A116" s="7" t="s">
        <v>327</v>
      </c>
      <c r="B116" s="7" t="s">
        <v>328</v>
      </c>
      <c r="C116" s="7" t="s">
        <v>329</v>
      </c>
      <c r="D116" s="2"/>
      <c r="E116" s="2"/>
    </row>
    <row r="117" spans="1:5" ht="36" customHeight="1">
      <c r="A117" s="7" t="s">
        <v>330</v>
      </c>
      <c r="B117" s="7" t="s">
        <v>331</v>
      </c>
      <c r="C117" s="7" t="s">
        <v>332</v>
      </c>
      <c r="D117" s="2"/>
      <c r="E117" s="2"/>
    </row>
    <row r="118" spans="1:5" ht="24" customHeight="1">
      <c r="A118" s="7" t="s">
        <v>333</v>
      </c>
      <c r="B118" s="7" t="s">
        <v>334</v>
      </c>
      <c r="C118" s="7" t="s">
        <v>335</v>
      </c>
      <c r="D118" s="2"/>
      <c r="E118" s="2"/>
    </row>
    <row r="119" spans="1:5" ht="24" customHeight="1">
      <c r="A119" s="7" t="s">
        <v>336</v>
      </c>
      <c r="B119" s="7" t="s">
        <v>337</v>
      </c>
      <c r="C119" s="7" t="s">
        <v>338</v>
      </c>
      <c r="D119" s="2"/>
      <c r="E119" s="2"/>
    </row>
    <row r="120" spans="1:5" ht="15.75" customHeight="1">
      <c r="B120" s="2"/>
      <c r="C120" s="2"/>
      <c r="D120" s="2"/>
      <c r="E120" s="2"/>
    </row>
    <row r="121" spans="1:5" ht="15.75" customHeight="1">
      <c r="B121" s="2"/>
      <c r="C121" s="2"/>
      <c r="D121" s="2"/>
      <c r="E121" s="2"/>
    </row>
    <row r="122" spans="1:5" ht="15" customHeight="1">
      <c r="A122" s="40" t="s">
        <v>339</v>
      </c>
      <c r="B122" s="39"/>
      <c r="C122" s="39"/>
      <c r="D122" s="39"/>
      <c r="E122" s="39"/>
    </row>
    <row r="123" spans="1:5" ht="28.5" customHeight="1">
      <c r="A123" s="13" t="s">
        <v>60</v>
      </c>
      <c r="B123" s="13" t="s">
        <v>340</v>
      </c>
      <c r="C123" s="13" t="s">
        <v>97</v>
      </c>
      <c r="D123" s="2"/>
      <c r="E123" s="2"/>
    </row>
    <row r="124" spans="1:5" ht="15" customHeight="1">
      <c r="A124" s="7" t="s">
        <v>341</v>
      </c>
      <c r="B124" s="7" t="s">
        <v>342</v>
      </c>
      <c r="C124" s="7" t="s">
        <v>343</v>
      </c>
      <c r="D124" s="2"/>
      <c r="E124" s="2"/>
    </row>
    <row r="125" spans="1:5" ht="15" customHeight="1">
      <c r="A125" s="7" t="s">
        <v>344</v>
      </c>
      <c r="B125" s="7" t="s">
        <v>345</v>
      </c>
      <c r="C125" s="7" t="s">
        <v>346</v>
      </c>
      <c r="D125" s="2"/>
      <c r="E125" s="2"/>
    </row>
    <row r="126" spans="1:5" ht="24" customHeight="1">
      <c r="A126" s="7" t="s">
        <v>347</v>
      </c>
      <c r="B126" s="7" t="s">
        <v>348</v>
      </c>
      <c r="C126" s="7" t="s">
        <v>349</v>
      </c>
      <c r="D126" s="2"/>
      <c r="E126" s="2"/>
    </row>
    <row r="127" spans="1:5" ht="24" customHeight="1">
      <c r="A127" s="7" t="s">
        <v>350</v>
      </c>
      <c r="B127" s="7" t="s">
        <v>351</v>
      </c>
      <c r="C127" s="7" t="s">
        <v>352</v>
      </c>
      <c r="D127" s="2"/>
      <c r="E127" s="2"/>
    </row>
    <row r="128" spans="1:5" ht="24" customHeight="1">
      <c r="A128" s="7" t="s">
        <v>353</v>
      </c>
      <c r="B128" s="7" t="s">
        <v>354</v>
      </c>
      <c r="C128" s="7" t="s">
        <v>355</v>
      </c>
      <c r="D128" s="2"/>
      <c r="E128" s="2"/>
    </row>
    <row r="129" spans="1:5" ht="24" customHeight="1">
      <c r="A129" s="7" t="s">
        <v>356</v>
      </c>
      <c r="B129" s="7" t="s">
        <v>357</v>
      </c>
      <c r="C129" s="7" t="s">
        <v>358</v>
      </c>
      <c r="D129" s="2"/>
      <c r="E129" s="2"/>
    </row>
    <row r="130" spans="1:5" ht="24" customHeight="1">
      <c r="A130" s="7" t="s">
        <v>359</v>
      </c>
      <c r="B130" s="7" t="s">
        <v>337</v>
      </c>
      <c r="C130" s="7" t="s">
        <v>360</v>
      </c>
      <c r="D130" s="2"/>
      <c r="E130" s="2"/>
    </row>
    <row r="131" spans="1:5" ht="15.75" customHeight="1">
      <c r="B131" s="2"/>
      <c r="C131" s="2"/>
      <c r="D131" s="2"/>
      <c r="E131" s="2"/>
    </row>
    <row r="132" spans="1:5" ht="15.75" customHeight="1">
      <c r="B132" s="2"/>
      <c r="C132" s="2"/>
      <c r="D132" s="2"/>
      <c r="E132" s="2"/>
    </row>
    <row r="133" spans="1:5" ht="15" customHeight="1">
      <c r="A133" s="40" t="s">
        <v>361</v>
      </c>
      <c r="B133" s="39"/>
      <c r="C133" s="39"/>
      <c r="D133" s="39"/>
      <c r="E133" s="39"/>
    </row>
    <row r="134" spans="1:5" ht="15" customHeight="1">
      <c r="A134" s="13" t="s">
        <v>60</v>
      </c>
      <c r="B134" s="13" t="s">
        <v>246</v>
      </c>
      <c r="C134" s="13" t="s">
        <v>97</v>
      </c>
      <c r="D134" s="2"/>
      <c r="E134" s="2"/>
    </row>
    <row r="135" spans="1:5" ht="36" customHeight="1">
      <c r="A135" s="7" t="s">
        <v>362</v>
      </c>
      <c r="B135" s="7" t="s">
        <v>363</v>
      </c>
      <c r="C135" s="7" t="s">
        <v>364</v>
      </c>
      <c r="D135" s="2"/>
      <c r="E135" s="2"/>
    </row>
    <row r="136" spans="1:5" ht="24" customHeight="1">
      <c r="A136" s="7" t="s">
        <v>365</v>
      </c>
      <c r="B136" s="7" t="s">
        <v>366</v>
      </c>
      <c r="C136" s="7" t="s">
        <v>367</v>
      </c>
      <c r="D136" s="2"/>
      <c r="E136" s="2"/>
    </row>
    <row r="137" spans="1:5" ht="36" customHeight="1">
      <c r="A137" s="7" t="s">
        <v>368</v>
      </c>
      <c r="B137" s="7" t="s">
        <v>369</v>
      </c>
      <c r="C137" s="7" t="s">
        <v>370</v>
      </c>
      <c r="D137" s="2"/>
      <c r="E137" s="2"/>
    </row>
    <row r="138" spans="1:5" ht="24" customHeight="1">
      <c r="A138" s="7" t="s">
        <v>371</v>
      </c>
      <c r="B138" s="7" t="s">
        <v>372</v>
      </c>
      <c r="C138" s="7" t="s">
        <v>373</v>
      </c>
      <c r="D138" s="2"/>
      <c r="E138" s="2"/>
    </row>
    <row r="139" spans="1:5" ht="24" customHeight="1">
      <c r="A139" s="7" t="s">
        <v>374</v>
      </c>
      <c r="B139" s="7" t="s">
        <v>375</v>
      </c>
      <c r="C139" s="7" t="s">
        <v>376</v>
      </c>
      <c r="D139" s="2"/>
      <c r="E139" s="2"/>
    </row>
    <row r="140" spans="1:5" ht="36" customHeight="1">
      <c r="A140" s="7" t="s">
        <v>377</v>
      </c>
      <c r="B140" s="7" t="s">
        <v>378</v>
      </c>
      <c r="C140" s="7" t="s">
        <v>379</v>
      </c>
      <c r="D140" s="2"/>
      <c r="E140" s="2"/>
    </row>
    <row r="141" spans="1:5" ht="24" customHeight="1">
      <c r="A141" s="7" t="s">
        <v>380</v>
      </c>
      <c r="B141" s="7" t="s">
        <v>381</v>
      </c>
      <c r="C141" s="7" t="s">
        <v>382</v>
      </c>
      <c r="D141" s="2"/>
      <c r="E141" s="2"/>
    </row>
    <row r="142" spans="1:5" ht="24" customHeight="1">
      <c r="A142" s="7" t="s">
        <v>383</v>
      </c>
      <c r="B142" s="7" t="s">
        <v>384</v>
      </c>
      <c r="C142" s="7" t="s">
        <v>385</v>
      </c>
      <c r="D142" s="2"/>
      <c r="E142" s="2"/>
    </row>
    <row r="143" spans="1:5" ht="36" customHeight="1">
      <c r="A143" s="7" t="s">
        <v>386</v>
      </c>
      <c r="B143" s="7" t="s">
        <v>387</v>
      </c>
      <c r="C143" s="7" t="s">
        <v>388</v>
      </c>
      <c r="D143" s="2"/>
      <c r="E143" s="2"/>
    </row>
    <row r="144" spans="1:5" ht="24" customHeight="1">
      <c r="A144" s="7" t="s">
        <v>389</v>
      </c>
      <c r="B144" s="7" t="s">
        <v>275</v>
      </c>
      <c r="C144" s="7" t="s">
        <v>390</v>
      </c>
      <c r="D144" s="2"/>
      <c r="E144" s="2"/>
    </row>
    <row r="145" spans="1:5" ht="15.75" customHeight="1">
      <c r="B145" s="2"/>
      <c r="C145" s="2"/>
      <c r="D145" s="2"/>
      <c r="E145" s="2"/>
    </row>
    <row r="146" spans="1:5" ht="15.75" customHeight="1">
      <c r="B146" s="2"/>
      <c r="C146" s="2"/>
      <c r="D146" s="2"/>
      <c r="E146" s="2"/>
    </row>
    <row r="147" spans="1:5" ht="15" customHeight="1">
      <c r="A147" s="38" t="s">
        <v>391</v>
      </c>
      <c r="B147" s="39"/>
      <c r="C147" s="39"/>
      <c r="D147" s="39"/>
      <c r="E147" s="39"/>
    </row>
    <row r="148" spans="1:5" ht="15" customHeight="1">
      <c r="A148" s="6" t="s">
        <v>392</v>
      </c>
      <c r="B148" s="6" t="s">
        <v>393</v>
      </c>
      <c r="C148" s="6" t="s">
        <v>96</v>
      </c>
      <c r="D148" s="6" t="s">
        <v>394</v>
      </c>
      <c r="E148" s="6" t="s">
        <v>395</v>
      </c>
    </row>
    <row r="149" spans="1:5" ht="192" customHeight="1">
      <c r="A149" s="7" t="s">
        <v>396</v>
      </c>
      <c r="B149" s="7" t="s">
        <v>136</v>
      </c>
      <c r="C149" s="7" t="s">
        <v>137</v>
      </c>
      <c r="D149" s="7" t="s">
        <v>397</v>
      </c>
      <c r="E149" s="7" t="s">
        <v>398</v>
      </c>
    </row>
    <row r="150" spans="1:5" ht="15" customHeight="1">
      <c r="A150" s="7" t="s">
        <v>399</v>
      </c>
      <c r="B150" s="7" t="s">
        <v>400</v>
      </c>
      <c r="C150" s="7" t="s">
        <v>401</v>
      </c>
      <c r="D150" s="7" t="s">
        <v>402</v>
      </c>
      <c r="E150" s="7" t="s">
        <v>403</v>
      </c>
    </row>
    <row r="151" spans="1:5" ht="15.75" customHeight="1">
      <c r="B151" s="2"/>
      <c r="C151" s="2"/>
      <c r="D151" s="2"/>
      <c r="E151" s="2"/>
    </row>
    <row r="152" spans="1:5" ht="15.75" customHeight="1">
      <c r="B152" s="2"/>
      <c r="C152" s="2"/>
      <c r="D152" s="2"/>
      <c r="E152" s="2"/>
    </row>
    <row r="153" spans="1:5" ht="15.75" customHeight="1">
      <c r="B153" s="2"/>
      <c r="C153" s="2"/>
      <c r="D153" s="2"/>
      <c r="E153" s="2"/>
    </row>
    <row r="154" spans="1:5" ht="15.75" customHeight="1">
      <c r="B154" s="2"/>
      <c r="C154" s="2"/>
      <c r="D154" s="2"/>
      <c r="E154" s="2"/>
    </row>
    <row r="155" spans="1:5" ht="15.75" customHeight="1">
      <c r="B155" s="2"/>
      <c r="C155" s="2"/>
      <c r="D155" s="2"/>
      <c r="E155" s="2"/>
    </row>
    <row r="156" spans="1:5" ht="15.75" customHeight="1">
      <c r="B156" s="2"/>
      <c r="C156" s="2"/>
      <c r="D156" s="2"/>
      <c r="E156" s="2"/>
    </row>
    <row r="157" spans="1:5" ht="15.75" customHeight="1">
      <c r="B157" s="2"/>
      <c r="C157" s="2"/>
      <c r="D157" s="2"/>
      <c r="E157" s="2"/>
    </row>
    <row r="158" spans="1:5" ht="15.75" customHeight="1">
      <c r="B158" s="2"/>
      <c r="C158" s="2"/>
      <c r="D158" s="2"/>
      <c r="E158" s="2"/>
    </row>
    <row r="159" spans="1:5" ht="15.75" customHeight="1">
      <c r="B159" s="2"/>
      <c r="C159" s="2"/>
      <c r="D159" s="2"/>
      <c r="E159" s="2"/>
    </row>
    <row r="160" spans="1:5" ht="15.75" customHeight="1">
      <c r="B160" s="2"/>
      <c r="C160" s="2"/>
      <c r="D160" s="2"/>
      <c r="E160" s="2"/>
    </row>
    <row r="161" spans="2:5" ht="15.75" customHeight="1">
      <c r="B161" s="2"/>
      <c r="C161" s="2"/>
      <c r="D161" s="2"/>
      <c r="E161" s="2"/>
    </row>
    <row r="162" spans="2:5" ht="15.75" customHeight="1">
      <c r="B162" s="2"/>
      <c r="C162" s="2"/>
      <c r="D162" s="2"/>
      <c r="E162" s="2"/>
    </row>
    <row r="163" spans="2:5" ht="15.75" customHeight="1">
      <c r="B163" s="2"/>
      <c r="C163" s="2"/>
      <c r="D163" s="2"/>
      <c r="E163" s="2"/>
    </row>
    <row r="164" spans="2:5" ht="15.75" customHeight="1">
      <c r="B164" s="2"/>
      <c r="C164" s="2"/>
      <c r="D164" s="2"/>
      <c r="E164" s="2"/>
    </row>
    <row r="165" spans="2:5" ht="15.75" customHeight="1">
      <c r="B165" s="2"/>
      <c r="C165" s="2"/>
      <c r="D165" s="2"/>
      <c r="E165" s="2"/>
    </row>
    <row r="166" spans="2:5" ht="15.75" customHeight="1">
      <c r="B166" s="2"/>
      <c r="C166" s="2"/>
      <c r="D166" s="2"/>
      <c r="E166" s="2"/>
    </row>
    <row r="167" spans="2:5" ht="15.75" customHeight="1">
      <c r="B167" s="2"/>
      <c r="C167" s="2"/>
      <c r="D167" s="2"/>
      <c r="E167" s="2"/>
    </row>
    <row r="168" spans="2:5" ht="15.75" customHeight="1">
      <c r="B168" s="2"/>
      <c r="C168" s="2"/>
      <c r="D168" s="2"/>
      <c r="E168" s="2"/>
    </row>
    <row r="169" spans="2:5" ht="15.75" customHeight="1">
      <c r="B169" s="2"/>
      <c r="C169" s="2"/>
      <c r="D169" s="2"/>
      <c r="E169" s="2"/>
    </row>
    <row r="170" spans="2:5" ht="15.75" customHeight="1">
      <c r="B170" s="2"/>
      <c r="C170" s="2"/>
      <c r="D170" s="2"/>
      <c r="E170" s="2"/>
    </row>
    <row r="171" spans="2:5" ht="15.75" customHeight="1">
      <c r="B171" s="2"/>
      <c r="C171" s="2"/>
      <c r="D171" s="2"/>
      <c r="E171" s="2"/>
    </row>
    <row r="172" spans="2:5" ht="15.75" customHeight="1">
      <c r="B172" s="2"/>
      <c r="C172" s="2"/>
      <c r="D172" s="2"/>
      <c r="E172" s="2"/>
    </row>
    <row r="173" spans="2:5" ht="15.75" customHeight="1">
      <c r="B173" s="2"/>
      <c r="C173" s="2"/>
      <c r="D173" s="2"/>
      <c r="E173" s="2"/>
    </row>
    <row r="174" spans="2:5" ht="15.75" customHeight="1">
      <c r="B174" s="2"/>
      <c r="C174" s="2"/>
      <c r="D174" s="2"/>
      <c r="E174" s="2"/>
    </row>
    <row r="175" spans="2:5" ht="15.75" customHeight="1">
      <c r="B175" s="2"/>
      <c r="C175" s="2"/>
      <c r="D175" s="2"/>
      <c r="E175" s="2"/>
    </row>
    <row r="176" spans="2:5" ht="15.75" customHeight="1">
      <c r="B176" s="2"/>
      <c r="C176" s="2"/>
      <c r="D176" s="2"/>
      <c r="E176" s="2"/>
    </row>
    <row r="177" spans="2:5" ht="15.75" customHeight="1">
      <c r="B177" s="2"/>
      <c r="C177" s="2"/>
      <c r="D177" s="2"/>
      <c r="E177" s="2"/>
    </row>
    <row r="178" spans="2:5" ht="15.75" customHeight="1">
      <c r="B178" s="2"/>
      <c r="C178" s="2"/>
      <c r="D178" s="2"/>
      <c r="E178" s="2"/>
    </row>
    <row r="179" spans="2:5" ht="15.75" customHeight="1">
      <c r="B179" s="2"/>
      <c r="C179" s="2"/>
      <c r="D179" s="2"/>
      <c r="E179" s="2"/>
    </row>
    <row r="180" spans="2:5" ht="15.75" customHeight="1">
      <c r="B180" s="2"/>
      <c r="C180" s="2"/>
      <c r="D180" s="2"/>
      <c r="E180" s="2"/>
    </row>
    <row r="181" spans="2:5" ht="15.75" customHeight="1">
      <c r="B181" s="2"/>
      <c r="C181" s="2"/>
      <c r="D181" s="2"/>
      <c r="E181" s="2"/>
    </row>
    <row r="182" spans="2:5" ht="15.75" customHeight="1">
      <c r="B182" s="2"/>
      <c r="C182" s="2"/>
      <c r="D182" s="2"/>
      <c r="E182" s="2"/>
    </row>
    <row r="183" spans="2:5" ht="15.75" customHeight="1">
      <c r="B183" s="2"/>
      <c r="C183" s="2"/>
      <c r="D183" s="2"/>
      <c r="E183" s="2"/>
    </row>
    <row r="184" spans="2:5" ht="15.75" customHeight="1">
      <c r="B184" s="2"/>
      <c r="C184" s="2"/>
      <c r="D184" s="2"/>
      <c r="E184" s="2"/>
    </row>
    <row r="185" spans="2:5" ht="15.75" customHeight="1">
      <c r="B185" s="2"/>
      <c r="C185" s="2"/>
      <c r="D185" s="2"/>
      <c r="E185" s="2"/>
    </row>
    <row r="186" spans="2:5" ht="15.75" customHeight="1">
      <c r="B186" s="2"/>
      <c r="C186" s="2"/>
      <c r="D186" s="2"/>
      <c r="E186" s="2"/>
    </row>
    <row r="187" spans="2:5" ht="15.75" customHeight="1">
      <c r="B187" s="2"/>
      <c r="C187" s="2"/>
      <c r="D187" s="2"/>
      <c r="E187" s="2"/>
    </row>
    <row r="188" spans="2:5" ht="15.75" customHeight="1">
      <c r="B188" s="2"/>
      <c r="C188" s="2"/>
      <c r="D188" s="2"/>
      <c r="E188" s="2"/>
    </row>
    <row r="189" spans="2:5" ht="15.75" customHeight="1">
      <c r="B189" s="2"/>
      <c r="C189" s="2"/>
      <c r="D189" s="2"/>
      <c r="E189" s="2"/>
    </row>
    <row r="190" spans="2:5" ht="15.75" customHeight="1">
      <c r="B190" s="2"/>
      <c r="C190" s="2"/>
      <c r="D190" s="2"/>
      <c r="E190" s="2"/>
    </row>
    <row r="191" spans="2:5" ht="15.75" customHeight="1">
      <c r="B191" s="2"/>
      <c r="C191" s="2"/>
      <c r="D191" s="2"/>
      <c r="E191" s="2"/>
    </row>
    <row r="192" spans="2:5" ht="15.75" customHeight="1">
      <c r="B192" s="2"/>
      <c r="C192" s="2"/>
      <c r="D192" s="2"/>
      <c r="E192" s="2"/>
    </row>
    <row r="193" spans="2:5" ht="15.75" customHeight="1">
      <c r="B193" s="2"/>
      <c r="C193" s="2"/>
      <c r="D193" s="2"/>
      <c r="E193" s="2"/>
    </row>
    <row r="194" spans="2:5" ht="15.75" customHeight="1">
      <c r="B194" s="2"/>
      <c r="C194" s="2"/>
      <c r="D194" s="2"/>
      <c r="E194" s="2"/>
    </row>
    <row r="195" spans="2:5" ht="15.75" customHeight="1">
      <c r="B195" s="2"/>
      <c r="C195" s="2"/>
      <c r="D195" s="2"/>
      <c r="E195" s="2"/>
    </row>
    <row r="196" spans="2:5" ht="15.75" customHeight="1">
      <c r="B196" s="2"/>
      <c r="C196" s="2"/>
      <c r="D196" s="2"/>
      <c r="E196" s="2"/>
    </row>
    <row r="197" spans="2:5" ht="15.75" customHeight="1">
      <c r="B197" s="2"/>
      <c r="C197" s="2"/>
      <c r="D197" s="2"/>
      <c r="E197" s="2"/>
    </row>
    <row r="198" spans="2:5" ht="15.75" customHeight="1">
      <c r="B198" s="2"/>
      <c r="C198" s="2"/>
      <c r="D198" s="2"/>
      <c r="E198" s="2"/>
    </row>
    <row r="199" spans="2:5" ht="15.75" customHeight="1">
      <c r="B199" s="2"/>
      <c r="C199" s="2"/>
      <c r="D199" s="2"/>
      <c r="E199" s="2"/>
    </row>
    <row r="200" spans="2:5" ht="15.75" customHeight="1">
      <c r="B200" s="2"/>
      <c r="C200" s="2"/>
      <c r="D200" s="2"/>
      <c r="E200" s="2"/>
    </row>
    <row r="201" spans="2:5" ht="15.75" customHeight="1">
      <c r="B201" s="2"/>
      <c r="C201" s="2"/>
      <c r="D201" s="2"/>
      <c r="E201" s="2"/>
    </row>
    <row r="202" spans="2:5" ht="15.75" customHeight="1">
      <c r="B202" s="2"/>
      <c r="C202" s="2"/>
      <c r="D202" s="2"/>
      <c r="E202" s="2"/>
    </row>
    <row r="203" spans="2:5" ht="15.75" customHeight="1">
      <c r="B203" s="2"/>
      <c r="C203" s="2"/>
      <c r="D203" s="2"/>
      <c r="E203" s="2"/>
    </row>
    <row r="204" spans="2:5" ht="15.75" customHeight="1">
      <c r="B204" s="2"/>
      <c r="C204" s="2"/>
      <c r="D204" s="2"/>
      <c r="E204" s="2"/>
    </row>
    <row r="205" spans="2:5" ht="15.75" customHeight="1">
      <c r="B205" s="2"/>
      <c r="C205" s="2"/>
      <c r="D205" s="2"/>
      <c r="E205" s="2"/>
    </row>
    <row r="206" spans="2:5" ht="15.75" customHeight="1">
      <c r="B206" s="2"/>
      <c r="C206" s="2"/>
      <c r="D206" s="2"/>
      <c r="E206" s="2"/>
    </row>
    <row r="207" spans="2:5" ht="15.75" customHeight="1">
      <c r="B207" s="2"/>
      <c r="C207" s="2"/>
      <c r="D207" s="2"/>
      <c r="E207" s="2"/>
    </row>
    <row r="208" spans="2:5" ht="15.75" customHeight="1">
      <c r="B208" s="2"/>
      <c r="C208" s="2"/>
      <c r="D208" s="2"/>
      <c r="E208" s="2"/>
    </row>
    <row r="209" spans="2:5" ht="15.75" customHeight="1">
      <c r="B209" s="2"/>
      <c r="C209" s="2"/>
      <c r="D209" s="2"/>
      <c r="E209" s="2"/>
    </row>
    <row r="210" spans="2:5" ht="15.75" customHeight="1">
      <c r="B210" s="2"/>
      <c r="C210" s="2"/>
      <c r="D210" s="2"/>
      <c r="E210" s="2"/>
    </row>
    <row r="211" spans="2:5" ht="15.75" customHeight="1">
      <c r="B211" s="2"/>
      <c r="C211" s="2"/>
      <c r="D211" s="2"/>
      <c r="E211" s="2"/>
    </row>
    <row r="212" spans="2:5" ht="15.75" customHeight="1">
      <c r="B212" s="2"/>
      <c r="C212" s="2"/>
      <c r="D212" s="2"/>
      <c r="E212" s="2"/>
    </row>
    <row r="213" spans="2:5" ht="15.75" customHeight="1">
      <c r="B213" s="2"/>
      <c r="C213" s="2"/>
      <c r="D213" s="2"/>
      <c r="E213" s="2"/>
    </row>
    <row r="214" spans="2:5" ht="15.75" customHeight="1">
      <c r="B214" s="2"/>
      <c r="C214" s="2"/>
      <c r="D214" s="2"/>
      <c r="E214" s="2"/>
    </row>
    <row r="215" spans="2:5" ht="15.75" customHeight="1">
      <c r="B215" s="2"/>
      <c r="C215" s="2"/>
      <c r="D215" s="2"/>
      <c r="E215" s="2"/>
    </row>
    <row r="216" spans="2:5" ht="15.75" customHeight="1">
      <c r="B216" s="2"/>
      <c r="C216" s="2"/>
      <c r="D216" s="2"/>
      <c r="E216" s="2"/>
    </row>
    <row r="217" spans="2:5" ht="15.75" customHeight="1">
      <c r="B217" s="2"/>
      <c r="C217" s="2"/>
      <c r="D217" s="2"/>
      <c r="E217" s="2"/>
    </row>
    <row r="218" spans="2:5" ht="15.75" customHeight="1">
      <c r="B218" s="2"/>
      <c r="C218" s="2"/>
      <c r="D218" s="2"/>
      <c r="E218" s="2"/>
    </row>
    <row r="219" spans="2:5" ht="15.75" customHeight="1">
      <c r="B219" s="2"/>
      <c r="C219" s="2"/>
      <c r="D219" s="2"/>
      <c r="E219" s="2"/>
    </row>
    <row r="220" spans="2:5" ht="15.75" customHeight="1">
      <c r="B220" s="2"/>
      <c r="C220" s="2"/>
      <c r="D220" s="2"/>
      <c r="E220" s="2"/>
    </row>
    <row r="221" spans="2:5" ht="15.75" customHeight="1">
      <c r="B221" s="2"/>
      <c r="C221" s="2"/>
      <c r="D221" s="2"/>
      <c r="E221" s="2"/>
    </row>
    <row r="222" spans="2:5" ht="15.75" customHeight="1">
      <c r="B222" s="2"/>
      <c r="C222" s="2"/>
      <c r="D222" s="2"/>
      <c r="E222" s="2"/>
    </row>
    <row r="223" spans="2:5" ht="15.75" customHeight="1">
      <c r="B223" s="2"/>
      <c r="C223" s="2"/>
      <c r="D223" s="2"/>
      <c r="E223" s="2"/>
    </row>
    <row r="224" spans="2:5" ht="15.75" customHeight="1">
      <c r="B224" s="2"/>
      <c r="C224" s="2"/>
      <c r="D224" s="2"/>
      <c r="E224" s="2"/>
    </row>
    <row r="225" spans="2:5" ht="15.75" customHeight="1">
      <c r="B225" s="2"/>
      <c r="C225" s="2"/>
      <c r="D225" s="2"/>
      <c r="E225" s="2"/>
    </row>
    <row r="226" spans="2:5" ht="15.75" customHeight="1">
      <c r="B226" s="2"/>
      <c r="C226" s="2"/>
      <c r="D226" s="2"/>
      <c r="E226" s="2"/>
    </row>
    <row r="227" spans="2:5" ht="15.75" customHeight="1">
      <c r="B227" s="2"/>
      <c r="C227" s="2"/>
      <c r="D227" s="2"/>
      <c r="E227" s="2"/>
    </row>
    <row r="228" spans="2:5" ht="15.75" customHeight="1">
      <c r="B228" s="2"/>
      <c r="C228" s="2"/>
      <c r="D228" s="2"/>
      <c r="E228" s="2"/>
    </row>
    <row r="229" spans="2:5" ht="15.75" customHeight="1">
      <c r="B229" s="2"/>
      <c r="C229" s="2"/>
      <c r="D229" s="2"/>
      <c r="E229" s="2"/>
    </row>
    <row r="230" spans="2:5" ht="15.75" customHeight="1">
      <c r="B230" s="2"/>
      <c r="C230" s="2"/>
      <c r="D230" s="2"/>
      <c r="E230" s="2"/>
    </row>
    <row r="231" spans="2:5" ht="15.75" customHeight="1">
      <c r="B231" s="2"/>
      <c r="C231" s="2"/>
      <c r="D231" s="2"/>
      <c r="E231" s="2"/>
    </row>
    <row r="232" spans="2:5" ht="15.75" customHeight="1">
      <c r="B232" s="2"/>
      <c r="C232" s="2"/>
      <c r="D232" s="2"/>
      <c r="E232" s="2"/>
    </row>
    <row r="233" spans="2:5" ht="15.75" customHeight="1">
      <c r="B233" s="2"/>
      <c r="C233" s="2"/>
      <c r="D233" s="2"/>
      <c r="E233" s="2"/>
    </row>
    <row r="234" spans="2:5" ht="15.75" customHeight="1">
      <c r="B234" s="2"/>
      <c r="C234" s="2"/>
      <c r="D234" s="2"/>
      <c r="E234" s="2"/>
    </row>
    <row r="235" spans="2:5" ht="15.75" customHeight="1">
      <c r="B235" s="2"/>
      <c r="C235" s="2"/>
      <c r="D235" s="2"/>
      <c r="E235" s="2"/>
    </row>
    <row r="236" spans="2:5" ht="15.75" customHeight="1">
      <c r="B236" s="2"/>
      <c r="C236" s="2"/>
      <c r="D236" s="2"/>
      <c r="E236" s="2"/>
    </row>
    <row r="237" spans="2:5" ht="15.75" customHeight="1">
      <c r="B237" s="2"/>
      <c r="C237" s="2"/>
      <c r="D237" s="2"/>
      <c r="E237" s="2"/>
    </row>
    <row r="238" spans="2:5" ht="15.75" customHeight="1">
      <c r="B238" s="2"/>
      <c r="C238" s="2"/>
      <c r="D238" s="2"/>
      <c r="E238" s="2"/>
    </row>
    <row r="239" spans="2:5" ht="15.75" customHeight="1">
      <c r="B239" s="2"/>
      <c r="C239" s="2"/>
      <c r="D239" s="2"/>
      <c r="E239" s="2"/>
    </row>
    <row r="240" spans="2:5" ht="15.75" customHeight="1">
      <c r="B240" s="2"/>
      <c r="C240" s="2"/>
      <c r="D240" s="2"/>
      <c r="E240" s="2"/>
    </row>
    <row r="241" spans="2:5" ht="15.75" customHeight="1">
      <c r="B241" s="2"/>
      <c r="C241" s="2"/>
      <c r="D241" s="2"/>
      <c r="E241" s="2"/>
    </row>
    <row r="242" spans="2:5" ht="15.75" customHeight="1">
      <c r="B242" s="2"/>
      <c r="C242" s="2"/>
      <c r="D242" s="2"/>
      <c r="E242" s="2"/>
    </row>
    <row r="243" spans="2:5" ht="15.75" customHeight="1">
      <c r="B243" s="2"/>
      <c r="C243" s="2"/>
      <c r="D243" s="2"/>
      <c r="E243" s="2"/>
    </row>
    <row r="244" spans="2:5" ht="15.75" customHeight="1">
      <c r="B244" s="2"/>
      <c r="C244" s="2"/>
      <c r="D244" s="2"/>
      <c r="E244" s="2"/>
    </row>
    <row r="245" spans="2:5" ht="15.75" customHeight="1">
      <c r="B245" s="2"/>
      <c r="C245" s="2"/>
      <c r="D245" s="2"/>
      <c r="E245" s="2"/>
    </row>
    <row r="246" spans="2:5" ht="15.75" customHeight="1">
      <c r="B246" s="2"/>
      <c r="C246" s="2"/>
      <c r="D246" s="2"/>
      <c r="E246" s="2"/>
    </row>
    <row r="247" spans="2:5" ht="15.75" customHeight="1">
      <c r="B247" s="2"/>
      <c r="C247" s="2"/>
      <c r="D247" s="2"/>
      <c r="E247" s="2"/>
    </row>
    <row r="248" spans="2:5" ht="15.75" customHeight="1">
      <c r="B248" s="2"/>
      <c r="C248" s="2"/>
      <c r="D248" s="2"/>
      <c r="E248" s="2"/>
    </row>
    <row r="249" spans="2:5" ht="15.75" customHeight="1">
      <c r="B249" s="2"/>
      <c r="C249" s="2"/>
      <c r="D249" s="2"/>
      <c r="E249" s="2"/>
    </row>
    <row r="250" spans="2:5" ht="15.75" customHeight="1">
      <c r="B250" s="2"/>
      <c r="C250" s="2"/>
      <c r="D250" s="2"/>
      <c r="E250" s="2"/>
    </row>
    <row r="251" spans="2:5" ht="15.75" customHeight="1">
      <c r="B251" s="2"/>
      <c r="C251" s="2"/>
      <c r="D251" s="2"/>
      <c r="E251" s="2"/>
    </row>
    <row r="252" spans="2:5" ht="15.75" customHeight="1">
      <c r="B252" s="2"/>
      <c r="C252" s="2"/>
      <c r="D252" s="2"/>
      <c r="E252" s="2"/>
    </row>
    <row r="253" spans="2:5" ht="15.75" customHeight="1">
      <c r="B253" s="2"/>
      <c r="C253" s="2"/>
      <c r="D253" s="2"/>
      <c r="E253" s="2"/>
    </row>
    <row r="254" spans="2:5" ht="15.75" customHeight="1">
      <c r="B254" s="2"/>
      <c r="C254" s="2"/>
      <c r="D254" s="2"/>
      <c r="E254" s="2"/>
    </row>
    <row r="255" spans="2:5" ht="15.75" customHeight="1">
      <c r="B255" s="2"/>
      <c r="C255" s="2"/>
      <c r="D255" s="2"/>
      <c r="E255" s="2"/>
    </row>
    <row r="256" spans="2:5" ht="15.75" customHeight="1">
      <c r="B256" s="2"/>
      <c r="C256" s="2"/>
      <c r="D256" s="2"/>
      <c r="E256" s="2"/>
    </row>
    <row r="257" spans="2:5" ht="15.75" customHeight="1">
      <c r="B257" s="2"/>
      <c r="C257" s="2"/>
      <c r="D257" s="2"/>
      <c r="E257" s="2"/>
    </row>
    <row r="258" spans="2:5" ht="15.75" customHeight="1">
      <c r="B258" s="2"/>
      <c r="C258" s="2"/>
      <c r="D258" s="2"/>
      <c r="E258" s="2"/>
    </row>
    <row r="259" spans="2:5" ht="15.75" customHeight="1">
      <c r="B259" s="2"/>
      <c r="C259" s="2"/>
      <c r="D259" s="2"/>
      <c r="E259" s="2"/>
    </row>
    <row r="260" spans="2:5" ht="15.75" customHeight="1">
      <c r="B260" s="2"/>
      <c r="C260" s="2"/>
      <c r="D260" s="2"/>
      <c r="E260" s="2"/>
    </row>
    <row r="261" spans="2:5" ht="15.75" customHeight="1">
      <c r="B261" s="2"/>
      <c r="C261" s="2"/>
      <c r="D261" s="2"/>
      <c r="E261" s="2"/>
    </row>
    <row r="262" spans="2:5" ht="15.75" customHeight="1">
      <c r="B262" s="2"/>
      <c r="C262" s="2"/>
      <c r="D262" s="2"/>
      <c r="E262" s="2"/>
    </row>
    <row r="263" spans="2:5" ht="15.75" customHeight="1">
      <c r="B263" s="2"/>
      <c r="C263" s="2"/>
      <c r="D263" s="2"/>
      <c r="E263" s="2"/>
    </row>
    <row r="264" spans="2:5" ht="15.75" customHeight="1">
      <c r="B264" s="2"/>
      <c r="C264" s="2"/>
      <c r="D264" s="2"/>
      <c r="E264" s="2"/>
    </row>
    <row r="265" spans="2:5" ht="15.75" customHeight="1">
      <c r="B265" s="2"/>
      <c r="C265" s="2"/>
      <c r="D265" s="2"/>
      <c r="E265" s="2"/>
    </row>
    <row r="266" spans="2:5" ht="15.75" customHeight="1">
      <c r="B266" s="2"/>
      <c r="C266" s="2"/>
      <c r="D266" s="2"/>
      <c r="E266" s="2"/>
    </row>
    <row r="267" spans="2:5" ht="15.75" customHeight="1">
      <c r="B267" s="2"/>
      <c r="C267" s="2"/>
      <c r="D267" s="2"/>
      <c r="E267" s="2"/>
    </row>
    <row r="268" spans="2:5" ht="15.75" customHeight="1">
      <c r="B268" s="2"/>
      <c r="C268" s="2"/>
      <c r="D268" s="2"/>
      <c r="E268" s="2"/>
    </row>
    <row r="269" spans="2:5" ht="15.75" customHeight="1">
      <c r="B269" s="2"/>
      <c r="C269" s="2"/>
      <c r="D269" s="2"/>
      <c r="E269" s="2"/>
    </row>
    <row r="270" spans="2:5" ht="15.75" customHeight="1">
      <c r="B270" s="2"/>
      <c r="C270" s="2"/>
      <c r="D270" s="2"/>
      <c r="E270" s="2"/>
    </row>
    <row r="271" spans="2:5" ht="15.75" customHeight="1">
      <c r="B271" s="2"/>
      <c r="C271" s="2"/>
      <c r="D271" s="2"/>
      <c r="E271" s="2"/>
    </row>
    <row r="272" spans="2:5" ht="15.75" customHeight="1">
      <c r="B272" s="2"/>
      <c r="C272" s="2"/>
      <c r="D272" s="2"/>
      <c r="E272" s="2"/>
    </row>
    <row r="273" spans="2:5" ht="15.75" customHeight="1">
      <c r="B273" s="2"/>
      <c r="C273" s="2"/>
      <c r="D273" s="2"/>
      <c r="E273" s="2"/>
    </row>
    <row r="274" spans="2:5" ht="15.75" customHeight="1">
      <c r="B274" s="2"/>
      <c r="C274" s="2"/>
      <c r="D274" s="2"/>
      <c r="E274" s="2"/>
    </row>
    <row r="275" spans="2:5" ht="15.75" customHeight="1">
      <c r="B275" s="2"/>
      <c r="C275" s="2"/>
      <c r="D275" s="2"/>
      <c r="E275" s="2"/>
    </row>
    <row r="276" spans="2:5" ht="15.75" customHeight="1">
      <c r="B276" s="2"/>
      <c r="C276" s="2"/>
      <c r="D276" s="2"/>
      <c r="E276" s="2"/>
    </row>
    <row r="277" spans="2:5" ht="15.75" customHeight="1">
      <c r="B277" s="2"/>
      <c r="C277" s="2"/>
      <c r="D277" s="2"/>
      <c r="E277" s="2"/>
    </row>
    <row r="278" spans="2:5" ht="15.75" customHeight="1">
      <c r="B278" s="2"/>
      <c r="C278" s="2"/>
      <c r="D278" s="2"/>
      <c r="E278" s="2"/>
    </row>
    <row r="279" spans="2:5" ht="15.75" customHeight="1">
      <c r="B279" s="2"/>
      <c r="C279" s="2"/>
      <c r="D279" s="2"/>
      <c r="E279" s="2"/>
    </row>
    <row r="280" spans="2:5" ht="15.75" customHeight="1">
      <c r="B280" s="2"/>
      <c r="C280" s="2"/>
      <c r="D280" s="2"/>
      <c r="E280" s="2"/>
    </row>
    <row r="281" spans="2:5" ht="15.75" customHeight="1">
      <c r="B281" s="2"/>
      <c r="C281" s="2"/>
      <c r="D281" s="2"/>
      <c r="E281" s="2"/>
    </row>
    <row r="282" spans="2:5" ht="15.75" customHeight="1">
      <c r="B282" s="2"/>
      <c r="C282" s="2"/>
      <c r="D282" s="2"/>
      <c r="E282" s="2"/>
    </row>
    <row r="283" spans="2:5" ht="15.75" customHeight="1">
      <c r="B283" s="2"/>
      <c r="C283" s="2"/>
      <c r="D283" s="2"/>
      <c r="E283" s="2"/>
    </row>
    <row r="284" spans="2:5" ht="15.75" customHeight="1">
      <c r="B284" s="2"/>
      <c r="C284" s="2"/>
      <c r="D284" s="2"/>
      <c r="E284" s="2"/>
    </row>
    <row r="285" spans="2:5" ht="15.75" customHeight="1">
      <c r="B285" s="2"/>
      <c r="C285" s="2"/>
      <c r="D285" s="2"/>
      <c r="E285" s="2"/>
    </row>
    <row r="286" spans="2:5" ht="15.75" customHeight="1">
      <c r="B286" s="2"/>
      <c r="C286" s="2"/>
      <c r="D286" s="2"/>
      <c r="E286" s="2"/>
    </row>
    <row r="287" spans="2:5" ht="15.75" customHeight="1">
      <c r="B287" s="2"/>
      <c r="C287" s="2"/>
      <c r="D287" s="2"/>
      <c r="E287" s="2"/>
    </row>
    <row r="288" spans="2:5" ht="15.75" customHeight="1">
      <c r="B288" s="2"/>
      <c r="C288" s="2"/>
      <c r="D288" s="2"/>
      <c r="E288" s="2"/>
    </row>
    <row r="289" spans="2:5" ht="15.75" customHeight="1">
      <c r="B289" s="2"/>
      <c r="C289" s="2"/>
      <c r="D289" s="2"/>
      <c r="E289" s="2"/>
    </row>
    <row r="290" spans="2:5" ht="15.75" customHeight="1">
      <c r="B290" s="2"/>
      <c r="C290" s="2"/>
      <c r="D290" s="2"/>
      <c r="E290" s="2"/>
    </row>
    <row r="291" spans="2:5" ht="15.75" customHeight="1">
      <c r="B291" s="2"/>
      <c r="C291" s="2"/>
      <c r="D291" s="2"/>
      <c r="E291" s="2"/>
    </row>
    <row r="292" spans="2:5" ht="15.75" customHeight="1">
      <c r="B292" s="2"/>
      <c r="C292" s="2"/>
      <c r="D292" s="2"/>
      <c r="E292" s="2"/>
    </row>
    <row r="293" spans="2:5" ht="15.75" customHeight="1">
      <c r="B293" s="2"/>
      <c r="C293" s="2"/>
      <c r="D293" s="2"/>
      <c r="E293" s="2"/>
    </row>
    <row r="294" spans="2:5" ht="15.75" customHeight="1">
      <c r="B294" s="2"/>
      <c r="C294" s="2"/>
      <c r="D294" s="2"/>
      <c r="E294" s="2"/>
    </row>
    <row r="295" spans="2:5" ht="15.75" customHeight="1">
      <c r="B295" s="2"/>
      <c r="C295" s="2"/>
      <c r="D295" s="2"/>
      <c r="E295" s="2"/>
    </row>
    <row r="296" spans="2:5" ht="15.75" customHeight="1">
      <c r="B296" s="2"/>
      <c r="C296" s="2"/>
      <c r="D296" s="2"/>
      <c r="E296" s="2"/>
    </row>
    <row r="297" spans="2:5" ht="15.75" customHeight="1">
      <c r="B297" s="2"/>
      <c r="C297" s="2"/>
      <c r="D297" s="2"/>
      <c r="E297" s="2"/>
    </row>
    <row r="298" spans="2:5" ht="15.75" customHeight="1">
      <c r="B298" s="2"/>
      <c r="C298" s="2"/>
      <c r="D298" s="2"/>
      <c r="E298" s="2"/>
    </row>
    <row r="299" spans="2:5" ht="15.75" customHeight="1">
      <c r="B299" s="2"/>
      <c r="C299" s="2"/>
      <c r="D299" s="2"/>
      <c r="E299" s="2"/>
    </row>
    <row r="300" spans="2:5" ht="15.75" customHeight="1">
      <c r="B300" s="2"/>
      <c r="C300" s="2"/>
      <c r="D300" s="2"/>
      <c r="E300" s="2"/>
    </row>
    <row r="301" spans="2:5" ht="15.75" customHeight="1">
      <c r="B301" s="2"/>
      <c r="C301" s="2"/>
      <c r="D301" s="2"/>
      <c r="E301" s="2"/>
    </row>
    <row r="302" spans="2:5" ht="15.75" customHeight="1">
      <c r="B302" s="2"/>
      <c r="C302" s="2"/>
      <c r="D302" s="2"/>
      <c r="E302" s="2"/>
    </row>
    <row r="303" spans="2:5" ht="15.75" customHeight="1">
      <c r="B303" s="2"/>
      <c r="C303" s="2"/>
      <c r="D303" s="2"/>
      <c r="E303" s="2"/>
    </row>
    <row r="304" spans="2:5" ht="15.75" customHeight="1">
      <c r="B304" s="2"/>
      <c r="C304" s="2"/>
      <c r="D304" s="2"/>
      <c r="E304" s="2"/>
    </row>
    <row r="305" spans="2:5" ht="15.75" customHeight="1">
      <c r="B305" s="2"/>
      <c r="C305" s="2"/>
      <c r="D305" s="2"/>
      <c r="E305" s="2"/>
    </row>
    <row r="306" spans="2:5" ht="15.75" customHeight="1">
      <c r="B306" s="2"/>
      <c r="C306" s="2"/>
      <c r="D306" s="2"/>
      <c r="E306" s="2"/>
    </row>
    <row r="307" spans="2:5" ht="15.75" customHeight="1">
      <c r="B307" s="2"/>
      <c r="C307" s="2"/>
      <c r="D307" s="2"/>
      <c r="E307" s="2"/>
    </row>
    <row r="308" spans="2:5" ht="15.75" customHeight="1">
      <c r="B308" s="2"/>
      <c r="C308" s="2"/>
      <c r="D308" s="2"/>
      <c r="E308" s="2"/>
    </row>
    <row r="309" spans="2:5" ht="15.75" customHeight="1">
      <c r="B309" s="2"/>
      <c r="C309" s="2"/>
      <c r="D309" s="2"/>
      <c r="E309" s="2"/>
    </row>
    <row r="310" spans="2:5" ht="15.75" customHeight="1">
      <c r="B310" s="2"/>
      <c r="C310" s="2"/>
      <c r="D310" s="2"/>
      <c r="E310" s="2"/>
    </row>
    <row r="311" spans="2:5" ht="15.75" customHeight="1">
      <c r="B311" s="2"/>
      <c r="C311" s="2"/>
      <c r="D311" s="2"/>
      <c r="E311" s="2"/>
    </row>
    <row r="312" spans="2:5" ht="15.75" customHeight="1">
      <c r="B312" s="2"/>
      <c r="C312" s="2"/>
      <c r="D312" s="2"/>
      <c r="E312" s="2"/>
    </row>
    <row r="313" spans="2:5" ht="15.75" customHeight="1">
      <c r="B313" s="2"/>
      <c r="C313" s="2"/>
      <c r="D313" s="2"/>
      <c r="E313" s="2"/>
    </row>
    <row r="314" spans="2:5" ht="15.75" customHeight="1">
      <c r="B314" s="2"/>
      <c r="C314" s="2"/>
      <c r="D314" s="2"/>
      <c r="E314" s="2"/>
    </row>
    <row r="315" spans="2:5" ht="15.75" customHeight="1">
      <c r="B315" s="2"/>
      <c r="C315" s="2"/>
      <c r="D315" s="2"/>
      <c r="E315" s="2"/>
    </row>
    <row r="316" spans="2:5" ht="15.75" customHeight="1">
      <c r="B316" s="2"/>
      <c r="C316" s="2"/>
      <c r="D316" s="2"/>
      <c r="E316" s="2"/>
    </row>
    <row r="317" spans="2:5" ht="15.75" customHeight="1">
      <c r="B317" s="2"/>
      <c r="C317" s="2"/>
      <c r="D317" s="2"/>
      <c r="E317" s="2"/>
    </row>
    <row r="318" spans="2:5" ht="15.75" customHeight="1">
      <c r="B318" s="2"/>
      <c r="C318" s="2"/>
      <c r="D318" s="2"/>
      <c r="E318" s="2"/>
    </row>
    <row r="319" spans="2:5" ht="15.75" customHeight="1">
      <c r="B319" s="2"/>
      <c r="C319" s="2"/>
      <c r="D319" s="2"/>
      <c r="E319" s="2"/>
    </row>
    <row r="320" spans="2:5" ht="15.75" customHeight="1">
      <c r="B320" s="2"/>
      <c r="C320" s="2"/>
      <c r="D320" s="2"/>
      <c r="E320" s="2"/>
    </row>
    <row r="321" spans="2:5" ht="15.75" customHeight="1">
      <c r="B321" s="2"/>
      <c r="C321" s="2"/>
      <c r="D321" s="2"/>
      <c r="E321" s="2"/>
    </row>
    <row r="322" spans="2:5" ht="15.75" customHeight="1">
      <c r="B322" s="2"/>
      <c r="C322" s="2"/>
      <c r="D322" s="2"/>
      <c r="E322" s="2"/>
    </row>
    <row r="323" spans="2:5" ht="15.75" customHeight="1">
      <c r="B323" s="2"/>
      <c r="C323" s="2"/>
      <c r="D323" s="2"/>
      <c r="E323" s="2"/>
    </row>
    <row r="324" spans="2:5" ht="15.75" customHeight="1">
      <c r="B324" s="2"/>
      <c r="C324" s="2"/>
      <c r="D324" s="2"/>
      <c r="E324" s="2"/>
    </row>
    <row r="325" spans="2:5" ht="15.75" customHeight="1">
      <c r="B325" s="2"/>
      <c r="C325" s="2"/>
      <c r="D325" s="2"/>
      <c r="E325" s="2"/>
    </row>
    <row r="326" spans="2:5" ht="15.75" customHeight="1">
      <c r="B326" s="2"/>
      <c r="C326" s="2"/>
      <c r="D326" s="2"/>
      <c r="E326" s="2"/>
    </row>
    <row r="327" spans="2:5" ht="15.75" customHeight="1">
      <c r="B327" s="2"/>
      <c r="C327" s="2"/>
      <c r="D327" s="2"/>
      <c r="E327" s="2"/>
    </row>
    <row r="328" spans="2:5" ht="15.75" customHeight="1">
      <c r="B328" s="2"/>
      <c r="C328" s="2"/>
      <c r="D328" s="2"/>
      <c r="E328" s="2"/>
    </row>
    <row r="329" spans="2:5" ht="15.75" customHeight="1">
      <c r="B329" s="2"/>
      <c r="C329" s="2"/>
      <c r="D329" s="2"/>
      <c r="E329" s="2"/>
    </row>
    <row r="330" spans="2:5" ht="15.75" customHeight="1">
      <c r="B330" s="2"/>
      <c r="C330" s="2"/>
      <c r="D330" s="2"/>
      <c r="E330" s="2"/>
    </row>
    <row r="331" spans="2:5" ht="15.75" customHeight="1">
      <c r="B331" s="2"/>
      <c r="C331" s="2"/>
      <c r="D331" s="2"/>
      <c r="E331" s="2"/>
    </row>
    <row r="332" spans="2:5" ht="15.75" customHeight="1">
      <c r="B332" s="2"/>
      <c r="C332" s="2"/>
      <c r="D332" s="2"/>
      <c r="E332" s="2"/>
    </row>
    <row r="333" spans="2:5" ht="15.75" customHeight="1">
      <c r="B333" s="2"/>
      <c r="C333" s="2"/>
      <c r="D333" s="2"/>
      <c r="E333" s="2"/>
    </row>
    <row r="334" spans="2:5" ht="15.75" customHeight="1">
      <c r="B334" s="2"/>
      <c r="C334" s="2"/>
      <c r="D334" s="2"/>
      <c r="E334" s="2"/>
    </row>
    <row r="335" spans="2:5" ht="15.75" customHeight="1">
      <c r="B335" s="2"/>
      <c r="C335" s="2"/>
      <c r="D335" s="2"/>
      <c r="E335" s="2"/>
    </row>
    <row r="336" spans="2:5" ht="15.75" customHeight="1">
      <c r="B336" s="2"/>
      <c r="C336" s="2"/>
      <c r="D336" s="2"/>
      <c r="E336" s="2"/>
    </row>
    <row r="337" spans="2:5" ht="15.75" customHeight="1">
      <c r="B337" s="2"/>
      <c r="C337" s="2"/>
      <c r="D337" s="2"/>
      <c r="E337" s="2"/>
    </row>
    <row r="338" spans="2:5" ht="15.75" customHeight="1">
      <c r="B338" s="2"/>
      <c r="C338" s="2"/>
      <c r="D338" s="2"/>
      <c r="E338" s="2"/>
    </row>
    <row r="339" spans="2:5" ht="15.75" customHeight="1">
      <c r="B339" s="2"/>
      <c r="C339" s="2"/>
      <c r="D339" s="2"/>
      <c r="E339" s="2"/>
    </row>
    <row r="340" spans="2:5" ht="15.75" customHeight="1">
      <c r="B340" s="2"/>
      <c r="C340" s="2"/>
      <c r="D340" s="2"/>
      <c r="E340" s="2"/>
    </row>
    <row r="341" spans="2:5" ht="15.75" customHeight="1">
      <c r="B341" s="2"/>
      <c r="C341" s="2"/>
      <c r="D341" s="2"/>
      <c r="E341" s="2"/>
    </row>
    <row r="342" spans="2:5" ht="15.75" customHeight="1">
      <c r="B342" s="2"/>
      <c r="C342" s="2"/>
      <c r="D342" s="2"/>
      <c r="E342" s="2"/>
    </row>
    <row r="343" spans="2:5" ht="15.75" customHeight="1">
      <c r="B343" s="2"/>
      <c r="C343" s="2"/>
      <c r="D343" s="2"/>
      <c r="E343" s="2"/>
    </row>
    <row r="344" spans="2:5" ht="15.75" customHeight="1">
      <c r="B344" s="2"/>
      <c r="C344" s="2"/>
      <c r="D344" s="2"/>
      <c r="E344" s="2"/>
    </row>
    <row r="345" spans="2:5" ht="15.75" customHeight="1">
      <c r="B345" s="2"/>
      <c r="C345" s="2"/>
      <c r="D345" s="2"/>
      <c r="E345" s="2"/>
    </row>
    <row r="346" spans="2:5" ht="15.75" customHeight="1">
      <c r="B346" s="2"/>
      <c r="C346" s="2"/>
      <c r="D346" s="2"/>
      <c r="E346" s="2"/>
    </row>
    <row r="347" spans="2:5" ht="15.75" customHeight="1">
      <c r="B347" s="2"/>
      <c r="C347" s="2"/>
      <c r="D347" s="2"/>
      <c r="E347" s="2"/>
    </row>
    <row r="348" spans="2:5" ht="15.75" customHeight="1">
      <c r="B348" s="2"/>
      <c r="C348" s="2"/>
      <c r="D348" s="2"/>
      <c r="E348" s="2"/>
    </row>
    <row r="349" spans="2:5" ht="15.75" customHeight="1">
      <c r="B349" s="2"/>
      <c r="C349" s="2"/>
      <c r="D349" s="2"/>
      <c r="E349" s="2"/>
    </row>
    <row r="350" spans="2:5" ht="15.75" customHeight="1">
      <c r="B350" s="2"/>
      <c r="C350" s="2"/>
      <c r="D350" s="2"/>
      <c r="E350" s="2"/>
    </row>
    <row r="351" spans="2:5" ht="15.75" customHeight="1">
      <c r="B351" s="2"/>
      <c r="C351" s="2"/>
      <c r="D351" s="2"/>
      <c r="E351" s="2"/>
    </row>
    <row r="352" spans="2:5" ht="15.75" customHeight="1">
      <c r="B352" s="2"/>
      <c r="C352" s="2"/>
      <c r="D352" s="2"/>
      <c r="E352" s="2"/>
    </row>
    <row r="353" spans="2:5" ht="15.75" customHeight="1">
      <c r="B353" s="2"/>
      <c r="C353" s="2"/>
      <c r="D353" s="2"/>
      <c r="E353" s="2"/>
    </row>
    <row r="354" spans="2:5" ht="15.75" customHeight="1">
      <c r="B354" s="2"/>
      <c r="C354" s="2"/>
      <c r="D354" s="2"/>
      <c r="E354" s="2"/>
    </row>
    <row r="355" spans="2:5" ht="15.75" customHeight="1">
      <c r="B355" s="2"/>
      <c r="C355" s="2"/>
      <c r="D355" s="2"/>
      <c r="E355" s="2"/>
    </row>
    <row r="356" spans="2:5" ht="15.75" customHeight="1">
      <c r="B356" s="2"/>
      <c r="C356" s="2"/>
      <c r="D356" s="2"/>
      <c r="E356" s="2"/>
    </row>
    <row r="357" spans="2:5" ht="15.75" customHeight="1">
      <c r="B357" s="2"/>
      <c r="C357" s="2"/>
      <c r="D357" s="2"/>
      <c r="E357" s="2"/>
    </row>
    <row r="358" spans="2:5" ht="15.75" customHeight="1">
      <c r="B358" s="2"/>
      <c r="C358" s="2"/>
      <c r="D358" s="2"/>
      <c r="E358" s="2"/>
    </row>
    <row r="359" spans="2:5" ht="15.75" customHeight="1">
      <c r="B359" s="2"/>
      <c r="C359" s="2"/>
      <c r="D359" s="2"/>
      <c r="E359" s="2"/>
    </row>
    <row r="360" spans="2:5" ht="15.75" customHeight="1">
      <c r="B360" s="2"/>
      <c r="C360" s="2"/>
      <c r="D360" s="2"/>
      <c r="E360" s="2"/>
    </row>
    <row r="361" spans="2:5" ht="15.75" customHeight="1">
      <c r="B361" s="2"/>
      <c r="C361" s="2"/>
      <c r="D361" s="2"/>
      <c r="E361" s="2"/>
    </row>
    <row r="362" spans="2:5" ht="15.75" customHeight="1">
      <c r="B362" s="2"/>
      <c r="C362" s="2"/>
      <c r="D362" s="2"/>
      <c r="E362" s="2"/>
    </row>
    <row r="363" spans="2:5" ht="15.75" customHeight="1">
      <c r="B363" s="2"/>
      <c r="C363" s="2"/>
      <c r="D363" s="2"/>
      <c r="E363" s="2"/>
    </row>
    <row r="364" spans="2:5" ht="15.75" customHeight="1">
      <c r="B364" s="2"/>
      <c r="C364" s="2"/>
      <c r="D364" s="2"/>
      <c r="E364" s="2"/>
    </row>
    <row r="365" spans="2:5" ht="15.75" customHeight="1">
      <c r="B365" s="2"/>
      <c r="C365" s="2"/>
      <c r="D365" s="2"/>
      <c r="E365" s="2"/>
    </row>
    <row r="366" spans="2:5" ht="15.75" customHeight="1">
      <c r="B366" s="2"/>
      <c r="C366" s="2"/>
      <c r="D366" s="2"/>
      <c r="E366" s="2"/>
    </row>
    <row r="367" spans="2:5" ht="15.75" customHeight="1">
      <c r="B367" s="2"/>
      <c r="C367" s="2"/>
      <c r="D367" s="2"/>
      <c r="E367" s="2"/>
    </row>
    <row r="368" spans="2:5" ht="15.75" customHeight="1">
      <c r="B368" s="2"/>
      <c r="C368" s="2"/>
      <c r="D368" s="2"/>
      <c r="E368" s="2"/>
    </row>
    <row r="369" spans="2:5" ht="15.75" customHeight="1">
      <c r="B369" s="2"/>
      <c r="C369" s="2"/>
      <c r="D369" s="2"/>
      <c r="E369" s="2"/>
    </row>
    <row r="370" spans="2:5" ht="15.75" customHeight="1">
      <c r="B370" s="2"/>
      <c r="C370" s="2"/>
      <c r="D370" s="2"/>
      <c r="E370" s="2"/>
    </row>
    <row r="371" spans="2:5" ht="15.75" customHeight="1">
      <c r="B371" s="2"/>
      <c r="C371" s="2"/>
      <c r="D371" s="2"/>
      <c r="E371" s="2"/>
    </row>
    <row r="372" spans="2:5" ht="15.75" customHeight="1">
      <c r="B372" s="2"/>
      <c r="C372" s="2"/>
      <c r="D372" s="2"/>
      <c r="E372" s="2"/>
    </row>
    <row r="373" spans="2:5" ht="15.75" customHeight="1">
      <c r="B373" s="2"/>
      <c r="C373" s="2"/>
      <c r="D373" s="2"/>
      <c r="E373" s="2"/>
    </row>
    <row r="374" spans="2:5" ht="15.75" customHeight="1">
      <c r="B374" s="2"/>
      <c r="C374" s="2"/>
      <c r="D374" s="2"/>
      <c r="E374" s="2"/>
    </row>
    <row r="375" spans="2:5" ht="15.75" customHeight="1">
      <c r="B375" s="2"/>
      <c r="C375" s="2"/>
      <c r="D375" s="2"/>
      <c r="E375" s="2"/>
    </row>
    <row r="376" spans="2:5" ht="15.75" customHeight="1">
      <c r="B376" s="2"/>
      <c r="C376" s="2"/>
      <c r="D376" s="2"/>
      <c r="E376" s="2"/>
    </row>
    <row r="377" spans="2:5" ht="15.75" customHeight="1">
      <c r="B377" s="2"/>
      <c r="C377" s="2"/>
      <c r="D377" s="2"/>
      <c r="E377" s="2"/>
    </row>
    <row r="378" spans="2:5" ht="15.75" customHeight="1">
      <c r="B378" s="2"/>
      <c r="C378" s="2"/>
      <c r="D378" s="2"/>
      <c r="E378" s="2"/>
    </row>
    <row r="379" spans="2:5" ht="15.75" customHeight="1">
      <c r="B379" s="2"/>
      <c r="C379" s="2"/>
      <c r="D379" s="2"/>
      <c r="E379" s="2"/>
    </row>
    <row r="380" spans="2:5" ht="15.75" customHeight="1">
      <c r="B380" s="2"/>
      <c r="C380" s="2"/>
      <c r="D380" s="2"/>
      <c r="E380" s="2"/>
    </row>
    <row r="381" spans="2:5" ht="15.75" customHeight="1">
      <c r="B381" s="2"/>
      <c r="C381" s="2"/>
      <c r="D381" s="2"/>
      <c r="E381" s="2"/>
    </row>
    <row r="382" spans="2:5" ht="15.75" customHeight="1">
      <c r="B382" s="2"/>
      <c r="C382" s="2"/>
      <c r="D382" s="2"/>
      <c r="E382" s="2"/>
    </row>
    <row r="383" spans="2:5" ht="15.75" customHeight="1">
      <c r="B383" s="2"/>
      <c r="C383" s="2"/>
      <c r="D383" s="2"/>
      <c r="E383" s="2"/>
    </row>
    <row r="384" spans="2:5" ht="15.75" customHeight="1">
      <c r="B384" s="2"/>
      <c r="C384" s="2"/>
      <c r="D384" s="2"/>
      <c r="E384" s="2"/>
    </row>
    <row r="385" spans="2:5" ht="15.75" customHeight="1">
      <c r="B385" s="2"/>
      <c r="C385" s="2"/>
      <c r="D385" s="2"/>
      <c r="E385" s="2"/>
    </row>
    <row r="386" spans="2:5" ht="15.75" customHeight="1">
      <c r="B386" s="2"/>
      <c r="C386" s="2"/>
      <c r="D386" s="2"/>
      <c r="E386" s="2"/>
    </row>
    <row r="387" spans="2:5" ht="15.75" customHeight="1">
      <c r="B387" s="2"/>
      <c r="C387" s="2"/>
      <c r="D387" s="2"/>
      <c r="E387" s="2"/>
    </row>
    <row r="388" spans="2:5" ht="15.75" customHeight="1">
      <c r="B388" s="2"/>
      <c r="C388" s="2"/>
      <c r="D388" s="2"/>
      <c r="E388" s="2"/>
    </row>
    <row r="389" spans="2:5" ht="15.75" customHeight="1">
      <c r="B389" s="2"/>
      <c r="C389" s="2"/>
      <c r="D389" s="2"/>
      <c r="E389" s="2"/>
    </row>
    <row r="390" spans="2:5" ht="15.75" customHeight="1">
      <c r="B390" s="2"/>
      <c r="C390" s="2"/>
      <c r="D390" s="2"/>
      <c r="E390" s="2"/>
    </row>
    <row r="391" spans="2:5" ht="15.75" customHeight="1">
      <c r="B391" s="2"/>
      <c r="C391" s="2"/>
      <c r="D391" s="2"/>
      <c r="E391" s="2"/>
    </row>
    <row r="392" spans="2:5" ht="15.75" customHeight="1">
      <c r="B392" s="2"/>
      <c r="C392" s="2"/>
      <c r="D392" s="2"/>
      <c r="E392" s="2"/>
    </row>
    <row r="393" spans="2:5" ht="15.75" customHeight="1">
      <c r="B393" s="2"/>
      <c r="C393" s="2"/>
      <c r="D393" s="2"/>
      <c r="E393" s="2"/>
    </row>
    <row r="394" spans="2:5" ht="15.75" customHeight="1">
      <c r="B394" s="2"/>
      <c r="C394" s="2"/>
      <c r="D394" s="2"/>
      <c r="E394" s="2"/>
    </row>
    <row r="395" spans="2:5" ht="15.75" customHeight="1">
      <c r="B395" s="2"/>
      <c r="C395" s="2"/>
      <c r="D395" s="2"/>
      <c r="E395" s="2"/>
    </row>
    <row r="396" spans="2:5" ht="15.75" customHeight="1">
      <c r="B396" s="2"/>
      <c r="C396" s="2"/>
      <c r="D396" s="2"/>
      <c r="E396" s="2"/>
    </row>
    <row r="397" spans="2:5" ht="15.75" customHeight="1">
      <c r="B397" s="2"/>
      <c r="C397" s="2"/>
      <c r="D397" s="2"/>
      <c r="E397" s="2"/>
    </row>
    <row r="398" spans="2:5" ht="15.75" customHeight="1">
      <c r="B398" s="2"/>
      <c r="C398" s="2"/>
      <c r="D398" s="2"/>
      <c r="E398" s="2"/>
    </row>
    <row r="399" spans="2:5" ht="15.75" customHeight="1">
      <c r="B399" s="2"/>
      <c r="C399" s="2"/>
      <c r="D399" s="2"/>
      <c r="E399" s="2"/>
    </row>
    <row r="400" spans="2:5" ht="15.75" customHeight="1">
      <c r="B400" s="2"/>
      <c r="C400" s="2"/>
      <c r="D400" s="2"/>
      <c r="E400" s="2"/>
    </row>
    <row r="401" spans="2:5" ht="15.75" customHeight="1">
      <c r="B401" s="2"/>
      <c r="C401" s="2"/>
      <c r="D401" s="2"/>
      <c r="E401" s="2"/>
    </row>
    <row r="402" spans="2:5" ht="15.75" customHeight="1">
      <c r="B402" s="2"/>
      <c r="C402" s="2"/>
      <c r="D402" s="2"/>
      <c r="E402" s="2"/>
    </row>
    <row r="403" spans="2:5" ht="15.75" customHeight="1">
      <c r="B403" s="2"/>
      <c r="C403" s="2"/>
      <c r="D403" s="2"/>
      <c r="E403" s="2"/>
    </row>
    <row r="404" spans="2:5" ht="15.75" customHeight="1">
      <c r="B404" s="2"/>
      <c r="C404" s="2"/>
      <c r="D404" s="2"/>
      <c r="E404" s="2"/>
    </row>
    <row r="405" spans="2:5" ht="15.75" customHeight="1">
      <c r="B405" s="2"/>
      <c r="C405" s="2"/>
      <c r="D405" s="2"/>
      <c r="E405" s="2"/>
    </row>
    <row r="406" spans="2:5" ht="15.75" customHeight="1">
      <c r="B406" s="2"/>
      <c r="C406" s="2"/>
      <c r="D406" s="2"/>
      <c r="E406" s="2"/>
    </row>
    <row r="407" spans="2:5" ht="15.75" customHeight="1">
      <c r="B407" s="2"/>
      <c r="C407" s="2"/>
      <c r="D407" s="2"/>
      <c r="E407" s="2"/>
    </row>
    <row r="408" spans="2:5" ht="15.75" customHeight="1">
      <c r="B408" s="2"/>
      <c r="C408" s="2"/>
      <c r="D408" s="2"/>
      <c r="E408" s="2"/>
    </row>
    <row r="409" spans="2:5" ht="15.75" customHeight="1">
      <c r="B409" s="2"/>
      <c r="C409" s="2"/>
      <c r="D409" s="2"/>
      <c r="E409" s="2"/>
    </row>
    <row r="410" spans="2:5" ht="15.75" customHeight="1">
      <c r="B410" s="2"/>
      <c r="C410" s="2"/>
      <c r="D410" s="2"/>
      <c r="E410" s="2"/>
    </row>
    <row r="411" spans="2:5" ht="15.75" customHeight="1">
      <c r="B411" s="2"/>
      <c r="C411" s="2"/>
      <c r="D411" s="2"/>
      <c r="E411" s="2"/>
    </row>
    <row r="412" spans="2:5" ht="15.75" customHeight="1">
      <c r="B412" s="2"/>
      <c r="C412" s="2"/>
      <c r="D412" s="2"/>
      <c r="E412" s="2"/>
    </row>
    <row r="413" spans="2:5" ht="15.75" customHeight="1">
      <c r="B413" s="2"/>
      <c r="C413" s="2"/>
      <c r="D413" s="2"/>
      <c r="E413" s="2"/>
    </row>
    <row r="414" spans="2:5" ht="15.75" customHeight="1">
      <c r="B414" s="2"/>
      <c r="C414" s="2"/>
      <c r="D414" s="2"/>
      <c r="E414" s="2"/>
    </row>
    <row r="415" spans="2:5" ht="15.75" customHeight="1">
      <c r="B415" s="2"/>
      <c r="C415" s="2"/>
      <c r="D415" s="2"/>
      <c r="E415" s="2"/>
    </row>
    <row r="416" spans="2:5" ht="15.75" customHeight="1">
      <c r="B416" s="2"/>
      <c r="C416" s="2"/>
      <c r="D416" s="2"/>
      <c r="E416" s="2"/>
    </row>
    <row r="417" spans="2:5" ht="15.75" customHeight="1">
      <c r="B417" s="2"/>
      <c r="C417" s="2"/>
      <c r="D417" s="2"/>
      <c r="E417" s="2"/>
    </row>
    <row r="418" spans="2:5" ht="15.75" customHeight="1">
      <c r="B418" s="2"/>
      <c r="C418" s="2"/>
      <c r="D418" s="2"/>
      <c r="E418" s="2"/>
    </row>
    <row r="419" spans="2:5" ht="15.75" customHeight="1">
      <c r="B419" s="2"/>
      <c r="C419" s="2"/>
      <c r="D419" s="2"/>
      <c r="E419" s="2"/>
    </row>
    <row r="420" spans="2:5" ht="15.75" customHeight="1">
      <c r="B420" s="2"/>
      <c r="C420" s="2"/>
      <c r="D420" s="2"/>
      <c r="E420" s="2"/>
    </row>
    <row r="421" spans="2:5" ht="15.75" customHeight="1">
      <c r="B421" s="2"/>
      <c r="C421" s="2"/>
      <c r="D421" s="2"/>
      <c r="E421" s="2"/>
    </row>
    <row r="422" spans="2:5" ht="15.75" customHeight="1">
      <c r="B422" s="2"/>
      <c r="C422" s="2"/>
      <c r="D422" s="2"/>
      <c r="E422" s="2"/>
    </row>
    <row r="423" spans="2:5" ht="15.75" customHeight="1">
      <c r="B423" s="2"/>
      <c r="C423" s="2"/>
      <c r="D423" s="2"/>
      <c r="E423" s="2"/>
    </row>
    <row r="424" spans="2:5" ht="15.75" customHeight="1">
      <c r="B424" s="2"/>
      <c r="C424" s="2"/>
      <c r="D424" s="2"/>
      <c r="E424" s="2"/>
    </row>
    <row r="425" spans="2:5" ht="15.75" customHeight="1">
      <c r="B425" s="2"/>
      <c r="C425" s="2"/>
      <c r="D425" s="2"/>
      <c r="E425" s="2"/>
    </row>
    <row r="426" spans="2:5" ht="15.75" customHeight="1">
      <c r="B426" s="2"/>
      <c r="C426" s="2"/>
      <c r="D426" s="2"/>
      <c r="E426" s="2"/>
    </row>
    <row r="427" spans="2:5" ht="15.75" customHeight="1">
      <c r="B427" s="2"/>
      <c r="C427" s="2"/>
      <c r="D427" s="2"/>
      <c r="E427" s="2"/>
    </row>
    <row r="428" spans="2:5" ht="15.75" customHeight="1">
      <c r="B428" s="2"/>
      <c r="C428" s="2"/>
      <c r="D428" s="2"/>
      <c r="E428" s="2"/>
    </row>
    <row r="429" spans="2:5" ht="15.75" customHeight="1">
      <c r="B429" s="2"/>
      <c r="C429" s="2"/>
      <c r="D429" s="2"/>
      <c r="E429" s="2"/>
    </row>
    <row r="430" spans="2:5" ht="15.75" customHeight="1">
      <c r="B430" s="2"/>
      <c r="C430" s="2"/>
      <c r="D430" s="2"/>
      <c r="E430" s="2"/>
    </row>
    <row r="431" spans="2:5" ht="15.75" customHeight="1">
      <c r="B431" s="2"/>
      <c r="C431" s="2"/>
      <c r="D431" s="2"/>
      <c r="E431" s="2"/>
    </row>
    <row r="432" spans="2:5" ht="15.75" customHeight="1">
      <c r="B432" s="2"/>
      <c r="C432" s="2"/>
      <c r="D432" s="2"/>
      <c r="E432" s="2"/>
    </row>
    <row r="433" spans="2:5" ht="15.75" customHeight="1">
      <c r="B433" s="2"/>
      <c r="C433" s="2"/>
      <c r="D433" s="2"/>
      <c r="E433" s="2"/>
    </row>
    <row r="434" spans="2:5" ht="15.75" customHeight="1">
      <c r="B434" s="2"/>
      <c r="C434" s="2"/>
      <c r="D434" s="2"/>
      <c r="E434" s="2"/>
    </row>
    <row r="435" spans="2:5" ht="15.75" customHeight="1">
      <c r="B435" s="2"/>
      <c r="C435" s="2"/>
      <c r="D435" s="2"/>
      <c r="E435" s="2"/>
    </row>
    <row r="436" spans="2:5" ht="15.75" customHeight="1">
      <c r="B436" s="2"/>
      <c r="C436" s="2"/>
      <c r="D436" s="2"/>
      <c r="E436" s="2"/>
    </row>
    <row r="437" spans="2:5" ht="15.75" customHeight="1">
      <c r="B437" s="2"/>
      <c r="C437" s="2"/>
      <c r="D437" s="2"/>
      <c r="E437" s="2"/>
    </row>
    <row r="438" spans="2:5" ht="15.75" customHeight="1">
      <c r="B438" s="2"/>
      <c r="C438" s="2"/>
      <c r="D438" s="2"/>
      <c r="E438" s="2"/>
    </row>
    <row r="439" spans="2:5" ht="15.75" customHeight="1">
      <c r="B439" s="2"/>
      <c r="C439" s="2"/>
      <c r="D439" s="2"/>
      <c r="E439" s="2"/>
    </row>
    <row r="440" spans="2:5" ht="15.75" customHeight="1">
      <c r="B440" s="2"/>
      <c r="C440" s="2"/>
      <c r="D440" s="2"/>
      <c r="E440" s="2"/>
    </row>
    <row r="441" spans="2:5" ht="15.75" customHeight="1">
      <c r="B441" s="2"/>
      <c r="C441" s="2"/>
      <c r="D441" s="2"/>
      <c r="E441" s="2"/>
    </row>
    <row r="442" spans="2:5" ht="15.75" customHeight="1">
      <c r="B442" s="2"/>
      <c r="C442" s="2"/>
      <c r="D442" s="2"/>
      <c r="E442" s="2"/>
    </row>
    <row r="443" spans="2:5" ht="15.75" customHeight="1">
      <c r="B443" s="2"/>
      <c r="C443" s="2"/>
      <c r="D443" s="2"/>
      <c r="E443" s="2"/>
    </row>
    <row r="444" spans="2:5" ht="15.75" customHeight="1">
      <c r="B444" s="2"/>
      <c r="C444" s="2"/>
      <c r="D444" s="2"/>
      <c r="E444" s="2"/>
    </row>
    <row r="445" spans="2:5" ht="15.75" customHeight="1">
      <c r="B445" s="2"/>
      <c r="C445" s="2"/>
      <c r="D445" s="2"/>
      <c r="E445" s="2"/>
    </row>
    <row r="446" spans="2:5" ht="15.75" customHeight="1">
      <c r="B446" s="2"/>
      <c r="C446" s="2"/>
      <c r="D446" s="2"/>
      <c r="E446" s="2"/>
    </row>
    <row r="447" spans="2:5" ht="15.75" customHeight="1">
      <c r="B447" s="2"/>
      <c r="C447" s="2"/>
      <c r="D447" s="2"/>
      <c r="E447" s="2"/>
    </row>
    <row r="448" spans="2:5" ht="15.75" customHeight="1">
      <c r="B448" s="2"/>
      <c r="C448" s="2"/>
      <c r="D448" s="2"/>
      <c r="E448" s="2"/>
    </row>
    <row r="449" spans="2:5" ht="15.75" customHeight="1">
      <c r="B449" s="2"/>
      <c r="C449" s="2"/>
      <c r="D449" s="2"/>
      <c r="E449" s="2"/>
    </row>
    <row r="450" spans="2:5" ht="15.75" customHeight="1">
      <c r="B450" s="2"/>
      <c r="C450" s="2"/>
      <c r="D450" s="2"/>
      <c r="E450" s="2"/>
    </row>
    <row r="451" spans="2:5" ht="15.75" customHeight="1">
      <c r="B451" s="2"/>
      <c r="C451" s="2"/>
      <c r="D451" s="2"/>
      <c r="E451" s="2"/>
    </row>
    <row r="452" spans="2:5" ht="15.75" customHeight="1">
      <c r="B452" s="2"/>
      <c r="C452" s="2"/>
      <c r="D452" s="2"/>
      <c r="E452" s="2"/>
    </row>
    <row r="453" spans="2:5" ht="15.75" customHeight="1">
      <c r="B453" s="2"/>
      <c r="C453" s="2"/>
      <c r="D453" s="2"/>
      <c r="E453" s="2"/>
    </row>
    <row r="454" spans="2:5" ht="15.75" customHeight="1">
      <c r="B454" s="2"/>
      <c r="C454" s="2"/>
      <c r="D454" s="2"/>
      <c r="E454" s="2"/>
    </row>
    <row r="455" spans="2:5" ht="15.75" customHeight="1">
      <c r="B455" s="2"/>
      <c r="C455" s="2"/>
      <c r="D455" s="2"/>
      <c r="E455" s="2"/>
    </row>
    <row r="456" spans="2:5" ht="15.75" customHeight="1">
      <c r="B456" s="2"/>
      <c r="C456" s="2"/>
      <c r="D456" s="2"/>
      <c r="E456" s="2"/>
    </row>
    <row r="457" spans="2:5" ht="15.75" customHeight="1">
      <c r="B457" s="2"/>
      <c r="C457" s="2"/>
      <c r="D457" s="2"/>
      <c r="E457" s="2"/>
    </row>
    <row r="458" spans="2:5" ht="15.75" customHeight="1">
      <c r="B458" s="2"/>
      <c r="C458" s="2"/>
      <c r="D458" s="2"/>
      <c r="E458" s="2"/>
    </row>
    <row r="459" spans="2:5" ht="15.75" customHeight="1">
      <c r="B459" s="2"/>
      <c r="C459" s="2"/>
      <c r="D459" s="2"/>
      <c r="E459" s="2"/>
    </row>
    <row r="460" spans="2:5" ht="15.75" customHeight="1">
      <c r="B460" s="2"/>
      <c r="C460" s="2"/>
      <c r="D460" s="2"/>
      <c r="E460" s="2"/>
    </row>
    <row r="461" spans="2:5" ht="15.75" customHeight="1">
      <c r="B461" s="2"/>
      <c r="C461" s="2"/>
      <c r="D461" s="2"/>
      <c r="E461" s="2"/>
    </row>
    <row r="462" spans="2:5" ht="15.75" customHeight="1">
      <c r="B462" s="2"/>
      <c r="C462" s="2"/>
      <c r="D462" s="2"/>
      <c r="E462" s="2"/>
    </row>
    <row r="463" spans="2:5" ht="15.75" customHeight="1">
      <c r="B463" s="2"/>
      <c r="C463" s="2"/>
      <c r="D463" s="2"/>
      <c r="E463" s="2"/>
    </row>
    <row r="464" spans="2:5" ht="15.75" customHeight="1">
      <c r="B464" s="2"/>
      <c r="C464" s="2"/>
      <c r="D464" s="2"/>
      <c r="E464" s="2"/>
    </row>
    <row r="465" spans="2:5" ht="15.75" customHeight="1">
      <c r="B465" s="2"/>
      <c r="C465" s="2"/>
      <c r="D465" s="2"/>
      <c r="E465" s="2"/>
    </row>
    <row r="466" spans="2:5" ht="15.75" customHeight="1">
      <c r="B466" s="2"/>
      <c r="C466" s="2"/>
      <c r="D466" s="2"/>
      <c r="E466" s="2"/>
    </row>
    <row r="467" spans="2:5" ht="15.75" customHeight="1">
      <c r="B467" s="2"/>
      <c r="C467" s="2"/>
      <c r="D467" s="2"/>
      <c r="E467" s="2"/>
    </row>
    <row r="468" spans="2:5" ht="15.75" customHeight="1">
      <c r="B468" s="2"/>
      <c r="C468" s="2"/>
      <c r="D468" s="2"/>
      <c r="E468" s="2"/>
    </row>
    <row r="469" spans="2:5" ht="15.75" customHeight="1">
      <c r="B469" s="2"/>
      <c r="C469" s="2"/>
      <c r="D469" s="2"/>
      <c r="E469" s="2"/>
    </row>
    <row r="470" spans="2:5" ht="15.75" customHeight="1">
      <c r="B470" s="2"/>
      <c r="C470" s="2"/>
      <c r="D470" s="2"/>
      <c r="E470" s="2"/>
    </row>
    <row r="471" spans="2:5" ht="15.75" customHeight="1">
      <c r="B471" s="2"/>
      <c r="C471" s="2"/>
      <c r="D471" s="2"/>
      <c r="E471" s="2"/>
    </row>
    <row r="472" spans="2:5" ht="15.75" customHeight="1">
      <c r="B472" s="2"/>
      <c r="C472" s="2"/>
      <c r="D472" s="2"/>
      <c r="E472" s="2"/>
    </row>
    <row r="473" spans="2:5" ht="15.75" customHeight="1">
      <c r="B473" s="2"/>
      <c r="C473" s="2"/>
      <c r="D473" s="2"/>
      <c r="E473" s="2"/>
    </row>
    <row r="474" spans="2:5" ht="15.75" customHeight="1">
      <c r="B474" s="2"/>
      <c r="C474" s="2"/>
      <c r="D474" s="2"/>
      <c r="E474" s="2"/>
    </row>
    <row r="475" spans="2:5" ht="15.75" customHeight="1">
      <c r="B475" s="2"/>
      <c r="C475" s="2"/>
      <c r="D475" s="2"/>
      <c r="E475" s="2"/>
    </row>
    <row r="476" spans="2:5" ht="15.75" customHeight="1">
      <c r="B476" s="2"/>
      <c r="C476" s="2"/>
      <c r="D476" s="2"/>
      <c r="E476" s="2"/>
    </row>
    <row r="477" spans="2:5" ht="15.75" customHeight="1">
      <c r="B477" s="2"/>
      <c r="C477" s="2"/>
      <c r="D477" s="2"/>
      <c r="E477" s="2"/>
    </row>
    <row r="478" spans="2:5" ht="15.75" customHeight="1">
      <c r="B478" s="2"/>
      <c r="C478" s="2"/>
      <c r="D478" s="2"/>
      <c r="E478" s="2"/>
    </row>
    <row r="479" spans="2:5" ht="15.75" customHeight="1">
      <c r="B479" s="2"/>
      <c r="C479" s="2"/>
      <c r="D479" s="2"/>
      <c r="E479" s="2"/>
    </row>
    <row r="480" spans="2:5" ht="15.75" customHeight="1">
      <c r="B480" s="2"/>
      <c r="C480" s="2"/>
      <c r="D480" s="2"/>
      <c r="E480" s="2"/>
    </row>
    <row r="481" spans="2:5" ht="15.75" customHeight="1">
      <c r="B481" s="2"/>
      <c r="C481" s="2"/>
      <c r="D481" s="2"/>
      <c r="E481" s="2"/>
    </row>
    <row r="482" spans="2:5" ht="15.75" customHeight="1">
      <c r="B482" s="2"/>
      <c r="C482" s="2"/>
      <c r="D482" s="2"/>
      <c r="E482" s="2"/>
    </row>
    <row r="483" spans="2:5" ht="15.75" customHeight="1">
      <c r="B483" s="2"/>
      <c r="C483" s="2"/>
      <c r="D483" s="2"/>
      <c r="E483" s="2"/>
    </row>
    <row r="484" spans="2:5" ht="15.75" customHeight="1">
      <c r="B484" s="2"/>
      <c r="C484" s="2"/>
      <c r="D484" s="2"/>
      <c r="E484" s="2"/>
    </row>
    <row r="485" spans="2:5" ht="15.75" customHeight="1">
      <c r="B485" s="2"/>
      <c r="C485" s="2"/>
      <c r="D485" s="2"/>
      <c r="E485" s="2"/>
    </row>
    <row r="486" spans="2:5" ht="15.75" customHeight="1">
      <c r="B486" s="2"/>
      <c r="C486" s="2"/>
      <c r="D486" s="2"/>
      <c r="E486" s="2"/>
    </row>
    <row r="487" spans="2:5" ht="15.75" customHeight="1">
      <c r="B487" s="2"/>
      <c r="C487" s="2"/>
      <c r="D487" s="2"/>
      <c r="E487" s="2"/>
    </row>
    <row r="488" spans="2:5" ht="15.75" customHeight="1">
      <c r="B488" s="2"/>
      <c r="C488" s="2"/>
      <c r="D488" s="2"/>
      <c r="E488" s="2"/>
    </row>
    <row r="489" spans="2:5" ht="15.75" customHeight="1">
      <c r="B489" s="2"/>
      <c r="C489" s="2"/>
      <c r="D489" s="2"/>
      <c r="E489" s="2"/>
    </row>
    <row r="490" spans="2:5" ht="15.75" customHeight="1">
      <c r="B490" s="2"/>
      <c r="C490" s="2"/>
      <c r="D490" s="2"/>
      <c r="E490" s="2"/>
    </row>
    <row r="491" spans="2:5" ht="15.75" customHeight="1">
      <c r="B491" s="2"/>
      <c r="C491" s="2"/>
      <c r="D491" s="2"/>
      <c r="E491" s="2"/>
    </row>
    <row r="492" spans="2:5" ht="15.75" customHeight="1">
      <c r="B492" s="2"/>
      <c r="C492" s="2"/>
      <c r="D492" s="2"/>
      <c r="E492" s="2"/>
    </row>
    <row r="493" spans="2:5" ht="15.75" customHeight="1">
      <c r="B493" s="2"/>
      <c r="C493" s="2"/>
      <c r="D493" s="2"/>
      <c r="E493" s="2"/>
    </row>
    <row r="494" spans="2:5" ht="15.75" customHeight="1">
      <c r="B494" s="2"/>
      <c r="C494" s="2"/>
      <c r="D494" s="2"/>
      <c r="E494" s="2"/>
    </row>
    <row r="495" spans="2:5" ht="15.75" customHeight="1">
      <c r="B495" s="2"/>
      <c r="C495" s="2"/>
      <c r="D495" s="2"/>
      <c r="E495" s="2"/>
    </row>
    <row r="496" spans="2:5" ht="15.75" customHeight="1">
      <c r="B496" s="2"/>
      <c r="C496" s="2"/>
      <c r="D496" s="2"/>
      <c r="E496" s="2"/>
    </row>
    <row r="497" spans="2:5" ht="15.75" customHeight="1">
      <c r="B497" s="2"/>
      <c r="C497" s="2"/>
      <c r="D497" s="2"/>
      <c r="E497" s="2"/>
    </row>
    <row r="498" spans="2:5" ht="15.75" customHeight="1">
      <c r="B498" s="2"/>
      <c r="C498" s="2"/>
      <c r="D498" s="2"/>
      <c r="E498" s="2"/>
    </row>
    <row r="499" spans="2:5" ht="15.75" customHeight="1">
      <c r="B499" s="2"/>
      <c r="C499" s="2"/>
      <c r="D499" s="2"/>
      <c r="E499" s="2"/>
    </row>
    <row r="500" spans="2:5" ht="15.75" customHeight="1">
      <c r="B500" s="2"/>
      <c r="C500" s="2"/>
      <c r="D500" s="2"/>
      <c r="E500" s="2"/>
    </row>
    <row r="501" spans="2:5" ht="15.75" customHeight="1">
      <c r="B501" s="2"/>
      <c r="C501" s="2"/>
      <c r="D501" s="2"/>
      <c r="E501" s="2"/>
    </row>
    <row r="502" spans="2:5" ht="15.75" customHeight="1">
      <c r="B502" s="2"/>
      <c r="C502" s="2"/>
      <c r="D502" s="2"/>
      <c r="E502" s="2"/>
    </row>
    <row r="503" spans="2:5" ht="15.75" customHeight="1">
      <c r="B503" s="2"/>
      <c r="C503" s="2"/>
      <c r="D503" s="2"/>
      <c r="E503" s="2"/>
    </row>
    <row r="504" spans="2:5" ht="15.75" customHeight="1">
      <c r="B504" s="2"/>
      <c r="C504" s="2"/>
      <c r="D504" s="2"/>
      <c r="E504" s="2"/>
    </row>
    <row r="505" spans="2:5" ht="15.75" customHeight="1">
      <c r="B505" s="2"/>
      <c r="C505" s="2"/>
      <c r="D505" s="2"/>
      <c r="E505" s="2"/>
    </row>
    <row r="506" spans="2:5" ht="15.75" customHeight="1">
      <c r="B506" s="2"/>
      <c r="C506" s="2"/>
      <c r="D506" s="2"/>
      <c r="E506" s="2"/>
    </row>
    <row r="507" spans="2:5" ht="15.75" customHeight="1">
      <c r="B507" s="2"/>
      <c r="C507" s="2"/>
      <c r="D507" s="2"/>
      <c r="E507" s="2"/>
    </row>
    <row r="508" spans="2:5" ht="15.75" customHeight="1">
      <c r="B508" s="2"/>
      <c r="C508" s="2"/>
      <c r="D508" s="2"/>
      <c r="E508" s="2"/>
    </row>
    <row r="509" spans="2:5" ht="15.75" customHeight="1">
      <c r="B509" s="2"/>
      <c r="C509" s="2"/>
      <c r="D509" s="2"/>
      <c r="E509" s="2"/>
    </row>
    <row r="510" spans="2:5" ht="15.75" customHeight="1">
      <c r="B510" s="2"/>
      <c r="C510" s="2"/>
      <c r="D510" s="2"/>
      <c r="E510" s="2"/>
    </row>
    <row r="511" spans="2:5" ht="15.75" customHeight="1">
      <c r="B511" s="2"/>
      <c r="C511" s="2"/>
      <c r="D511" s="2"/>
      <c r="E511" s="2"/>
    </row>
    <row r="512" spans="2:5" ht="15.75" customHeight="1">
      <c r="B512" s="2"/>
      <c r="C512" s="2"/>
      <c r="D512" s="2"/>
      <c r="E512" s="2"/>
    </row>
    <row r="513" spans="2:5" ht="15.75" customHeight="1">
      <c r="B513" s="2"/>
      <c r="C513" s="2"/>
      <c r="D513" s="2"/>
      <c r="E513" s="2"/>
    </row>
    <row r="514" spans="2:5" ht="15.75" customHeight="1">
      <c r="B514" s="2"/>
      <c r="C514" s="2"/>
      <c r="D514" s="2"/>
      <c r="E514" s="2"/>
    </row>
    <row r="515" spans="2:5" ht="15.75" customHeight="1">
      <c r="B515" s="2"/>
      <c r="C515" s="2"/>
      <c r="D515" s="2"/>
      <c r="E515" s="2"/>
    </row>
    <row r="516" spans="2:5" ht="15.75" customHeight="1">
      <c r="B516" s="2"/>
      <c r="C516" s="2"/>
      <c r="D516" s="2"/>
      <c r="E516" s="2"/>
    </row>
    <row r="517" spans="2:5" ht="15.75" customHeight="1">
      <c r="B517" s="2"/>
      <c r="C517" s="2"/>
      <c r="D517" s="2"/>
      <c r="E517" s="2"/>
    </row>
    <row r="518" spans="2:5" ht="15.75" customHeight="1">
      <c r="B518" s="2"/>
      <c r="C518" s="2"/>
      <c r="D518" s="2"/>
      <c r="E518" s="2"/>
    </row>
    <row r="519" spans="2:5" ht="15.75" customHeight="1">
      <c r="B519" s="2"/>
      <c r="C519" s="2"/>
      <c r="D519" s="2"/>
      <c r="E519" s="2"/>
    </row>
    <row r="520" spans="2:5" ht="15.75" customHeight="1">
      <c r="B520" s="2"/>
      <c r="C520" s="2"/>
      <c r="D520" s="2"/>
      <c r="E520" s="2"/>
    </row>
    <row r="521" spans="2:5" ht="15.75" customHeight="1">
      <c r="B521" s="2"/>
      <c r="C521" s="2"/>
      <c r="D521" s="2"/>
      <c r="E521" s="2"/>
    </row>
    <row r="522" spans="2:5" ht="15.75" customHeight="1">
      <c r="B522" s="2"/>
      <c r="C522" s="2"/>
      <c r="D522" s="2"/>
      <c r="E522" s="2"/>
    </row>
    <row r="523" spans="2:5" ht="15.75" customHeight="1">
      <c r="B523" s="2"/>
      <c r="C523" s="2"/>
      <c r="D523" s="2"/>
      <c r="E523" s="2"/>
    </row>
    <row r="524" spans="2:5" ht="15.75" customHeight="1">
      <c r="B524" s="2"/>
      <c r="C524" s="2"/>
      <c r="D524" s="2"/>
      <c r="E524" s="2"/>
    </row>
    <row r="525" spans="2:5" ht="15.75" customHeight="1">
      <c r="B525" s="2"/>
      <c r="C525" s="2"/>
      <c r="D525" s="2"/>
      <c r="E525" s="2"/>
    </row>
    <row r="526" spans="2:5" ht="15.75" customHeight="1">
      <c r="B526" s="2"/>
      <c r="C526" s="2"/>
      <c r="D526" s="2"/>
      <c r="E526" s="2"/>
    </row>
    <row r="527" spans="2:5" ht="15.75" customHeight="1">
      <c r="B527" s="2"/>
      <c r="C527" s="2"/>
      <c r="D527" s="2"/>
      <c r="E527" s="2"/>
    </row>
    <row r="528" spans="2:5" ht="15.75" customHeight="1">
      <c r="B528" s="2"/>
      <c r="C528" s="2"/>
      <c r="D528" s="2"/>
      <c r="E528" s="2"/>
    </row>
    <row r="529" spans="2:5" ht="15.75" customHeight="1">
      <c r="B529" s="2"/>
      <c r="C529" s="2"/>
      <c r="D529" s="2"/>
      <c r="E529" s="2"/>
    </row>
    <row r="530" spans="2:5" ht="15.75" customHeight="1">
      <c r="B530" s="2"/>
      <c r="C530" s="2"/>
      <c r="D530" s="2"/>
      <c r="E530" s="2"/>
    </row>
    <row r="531" spans="2:5" ht="15.75" customHeight="1">
      <c r="B531" s="2"/>
      <c r="C531" s="2"/>
      <c r="D531" s="2"/>
      <c r="E531" s="2"/>
    </row>
    <row r="532" spans="2:5" ht="15.75" customHeight="1">
      <c r="B532" s="2"/>
      <c r="C532" s="2"/>
      <c r="D532" s="2"/>
      <c r="E532" s="2"/>
    </row>
    <row r="533" spans="2:5" ht="15.75" customHeight="1">
      <c r="B533" s="2"/>
      <c r="C533" s="2"/>
      <c r="D533" s="2"/>
      <c r="E533" s="2"/>
    </row>
    <row r="534" spans="2:5" ht="15.75" customHeight="1">
      <c r="B534" s="2"/>
      <c r="C534" s="2"/>
      <c r="D534" s="2"/>
      <c r="E534" s="2"/>
    </row>
    <row r="535" spans="2:5" ht="15.75" customHeight="1">
      <c r="B535" s="2"/>
      <c r="C535" s="2"/>
      <c r="D535" s="2"/>
      <c r="E535" s="2"/>
    </row>
    <row r="536" spans="2:5" ht="15.75" customHeight="1">
      <c r="B536" s="2"/>
      <c r="C536" s="2"/>
      <c r="D536" s="2"/>
      <c r="E536" s="2"/>
    </row>
    <row r="537" spans="2:5" ht="15.75" customHeight="1">
      <c r="B537" s="2"/>
      <c r="C537" s="2"/>
      <c r="D537" s="2"/>
      <c r="E537" s="2"/>
    </row>
    <row r="538" spans="2:5" ht="15.75" customHeight="1">
      <c r="B538" s="2"/>
      <c r="C538" s="2"/>
      <c r="D538" s="2"/>
      <c r="E538" s="2"/>
    </row>
    <row r="539" spans="2:5" ht="15.75" customHeight="1">
      <c r="B539" s="2"/>
      <c r="C539" s="2"/>
      <c r="D539" s="2"/>
      <c r="E539" s="2"/>
    </row>
    <row r="540" spans="2:5" ht="15.75" customHeight="1">
      <c r="B540" s="2"/>
      <c r="C540" s="2"/>
      <c r="D540" s="2"/>
      <c r="E540" s="2"/>
    </row>
    <row r="541" spans="2:5" ht="15.75" customHeight="1">
      <c r="B541" s="2"/>
      <c r="C541" s="2"/>
      <c r="D541" s="2"/>
      <c r="E541" s="2"/>
    </row>
    <row r="542" spans="2:5" ht="15.75" customHeight="1">
      <c r="B542" s="2"/>
      <c r="C542" s="2"/>
      <c r="D542" s="2"/>
      <c r="E542" s="2"/>
    </row>
    <row r="543" spans="2:5" ht="15.75" customHeight="1">
      <c r="B543" s="2"/>
      <c r="C543" s="2"/>
      <c r="D543" s="2"/>
      <c r="E543" s="2"/>
    </row>
    <row r="544" spans="2:5" ht="15.75" customHeight="1">
      <c r="B544" s="2"/>
      <c r="C544" s="2"/>
      <c r="D544" s="2"/>
      <c r="E544" s="2"/>
    </row>
    <row r="545" spans="2:5" ht="15.75" customHeight="1">
      <c r="B545" s="2"/>
      <c r="C545" s="2"/>
      <c r="D545" s="2"/>
      <c r="E545" s="2"/>
    </row>
    <row r="546" spans="2:5" ht="15.75" customHeight="1">
      <c r="B546" s="2"/>
      <c r="C546" s="2"/>
      <c r="D546" s="2"/>
      <c r="E546" s="2"/>
    </row>
    <row r="547" spans="2:5" ht="15.75" customHeight="1">
      <c r="B547" s="2"/>
      <c r="C547" s="2"/>
      <c r="D547" s="2"/>
      <c r="E547" s="2"/>
    </row>
    <row r="548" spans="2:5" ht="15.75" customHeight="1">
      <c r="B548" s="2"/>
      <c r="C548" s="2"/>
      <c r="D548" s="2"/>
      <c r="E548" s="2"/>
    </row>
    <row r="549" spans="2:5" ht="15.75" customHeight="1">
      <c r="B549" s="2"/>
      <c r="C549" s="2"/>
      <c r="D549" s="2"/>
      <c r="E549" s="2"/>
    </row>
    <row r="550" spans="2:5" ht="15.75" customHeight="1">
      <c r="B550" s="2"/>
      <c r="C550" s="2"/>
      <c r="D550" s="2"/>
      <c r="E550" s="2"/>
    </row>
    <row r="551" spans="2:5" ht="15.75" customHeight="1">
      <c r="B551" s="2"/>
      <c r="C551" s="2"/>
      <c r="D551" s="2"/>
      <c r="E551" s="2"/>
    </row>
    <row r="552" spans="2:5" ht="15.75" customHeight="1">
      <c r="B552" s="2"/>
      <c r="C552" s="2"/>
      <c r="D552" s="2"/>
      <c r="E552" s="2"/>
    </row>
    <row r="553" spans="2:5" ht="15.75" customHeight="1">
      <c r="B553" s="2"/>
      <c r="C553" s="2"/>
      <c r="D553" s="2"/>
      <c r="E553" s="2"/>
    </row>
    <row r="554" spans="2:5" ht="15.75" customHeight="1">
      <c r="B554" s="2"/>
      <c r="C554" s="2"/>
      <c r="D554" s="2"/>
      <c r="E554" s="2"/>
    </row>
    <row r="555" spans="2:5" ht="15.75" customHeight="1">
      <c r="B555" s="2"/>
      <c r="C555" s="2"/>
      <c r="D555" s="2"/>
      <c r="E555" s="2"/>
    </row>
    <row r="556" spans="2:5" ht="15.75" customHeight="1">
      <c r="B556" s="2"/>
      <c r="C556" s="2"/>
      <c r="D556" s="2"/>
      <c r="E556" s="2"/>
    </row>
    <row r="557" spans="2:5" ht="15.75" customHeight="1">
      <c r="B557" s="2"/>
      <c r="C557" s="2"/>
      <c r="D557" s="2"/>
      <c r="E557" s="2"/>
    </row>
    <row r="558" spans="2:5" ht="15.75" customHeight="1">
      <c r="B558" s="2"/>
      <c r="C558" s="2"/>
      <c r="D558" s="2"/>
      <c r="E558" s="2"/>
    </row>
    <row r="559" spans="2:5" ht="15.75" customHeight="1">
      <c r="B559" s="2"/>
      <c r="C559" s="2"/>
      <c r="D559" s="2"/>
      <c r="E559" s="2"/>
    </row>
    <row r="560" spans="2:5" ht="15.75" customHeight="1">
      <c r="B560" s="2"/>
      <c r="C560" s="2"/>
      <c r="D560" s="2"/>
      <c r="E560" s="2"/>
    </row>
    <row r="561" spans="2:5" ht="15.75" customHeight="1">
      <c r="B561" s="2"/>
      <c r="C561" s="2"/>
      <c r="D561" s="2"/>
      <c r="E561" s="2"/>
    </row>
    <row r="562" spans="2:5" ht="15.75" customHeight="1">
      <c r="B562" s="2"/>
      <c r="C562" s="2"/>
      <c r="D562" s="2"/>
      <c r="E562" s="2"/>
    </row>
    <row r="563" spans="2:5" ht="15.75" customHeight="1">
      <c r="B563" s="2"/>
      <c r="C563" s="2"/>
      <c r="D563" s="2"/>
      <c r="E563" s="2"/>
    </row>
    <row r="564" spans="2:5" ht="15.75" customHeight="1">
      <c r="B564" s="2"/>
      <c r="C564" s="2"/>
      <c r="D564" s="2"/>
      <c r="E564" s="2"/>
    </row>
    <row r="565" spans="2:5" ht="15.75" customHeight="1">
      <c r="B565" s="2"/>
      <c r="C565" s="2"/>
      <c r="D565" s="2"/>
      <c r="E565" s="2"/>
    </row>
    <row r="566" spans="2:5" ht="15.75" customHeight="1">
      <c r="B566" s="2"/>
      <c r="C566" s="2"/>
      <c r="D566" s="2"/>
      <c r="E566" s="2"/>
    </row>
    <row r="567" spans="2:5" ht="15.75" customHeight="1">
      <c r="B567" s="2"/>
      <c r="C567" s="2"/>
      <c r="D567" s="2"/>
      <c r="E567" s="2"/>
    </row>
    <row r="568" spans="2:5" ht="15.75" customHeight="1">
      <c r="B568" s="2"/>
      <c r="C568" s="2"/>
      <c r="D568" s="2"/>
      <c r="E568" s="2"/>
    </row>
    <row r="569" spans="2:5" ht="15.75" customHeight="1">
      <c r="B569" s="2"/>
      <c r="C569" s="2"/>
      <c r="D569" s="2"/>
      <c r="E569" s="2"/>
    </row>
    <row r="570" spans="2:5" ht="15.75" customHeight="1">
      <c r="B570" s="2"/>
      <c r="C570" s="2"/>
      <c r="D570" s="2"/>
      <c r="E570" s="2"/>
    </row>
    <row r="571" spans="2:5" ht="15.75" customHeight="1">
      <c r="B571" s="2"/>
      <c r="C571" s="2"/>
      <c r="D571" s="2"/>
      <c r="E571" s="2"/>
    </row>
    <row r="572" spans="2:5" ht="15.75" customHeight="1">
      <c r="B572" s="2"/>
      <c r="C572" s="2"/>
      <c r="D572" s="2"/>
      <c r="E572" s="2"/>
    </row>
    <row r="573" spans="2:5" ht="15.75" customHeight="1">
      <c r="B573" s="2"/>
      <c r="C573" s="2"/>
      <c r="D573" s="2"/>
      <c r="E573" s="2"/>
    </row>
    <row r="574" spans="2:5" ht="15.75" customHeight="1">
      <c r="B574" s="2"/>
      <c r="C574" s="2"/>
      <c r="D574" s="2"/>
      <c r="E574" s="2"/>
    </row>
    <row r="575" spans="2:5" ht="15.75" customHeight="1">
      <c r="B575" s="2"/>
      <c r="C575" s="2"/>
      <c r="D575" s="2"/>
      <c r="E575" s="2"/>
    </row>
    <row r="576" spans="2:5" ht="15.75" customHeight="1">
      <c r="B576" s="2"/>
      <c r="C576" s="2"/>
      <c r="D576" s="2"/>
      <c r="E576" s="2"/>
    </row>
    <row r="577" spans="2:5" ht="15.75" customHeight="1">
      <c r="B577" s="2"/>
      <c r="C577" s="2"/>
      <c r="D577" s="2"/>
      <c r="E577" s="2"/>
    </row>
    <row r="578" spans="2:5" ht="15.75" customHeight="1">
      <c r="B578" s="2"/>
      <c r="C578" s="2"/>
      <c r="D578" s="2"/>
      <c r="E578" s="2"/>
    </row>
    <row r="579" spans="2:5" ht="15.75" customHeight="1">
      <c r="B579" s="2"/>
      <c r="C579" s="2"/>
      <c r="D579" s="2"/>
      <c r="E579" s="2"/>
    </row>
    <row r="580" spans="2:5" ht="15.75" customHeight="1">
      <c r="B580" s="2"/>
      <c r="C580" s="2"/>
      <c r="D580" s="2"/>
      <c r="E580" s="2"/>
    </row>
    <row r="581" spans="2:5" ht="15.75" customHeight="1">
      <c r="B581" s="2"/>
      <c r="C581" s="2"/>
      <c r="D581" s="2"/>
      <c r="E581" s="2"/>
    </row>
    <row r="582" spans="2:5" ht="15.75" customHeight="1">
      <c r="B582" s="2"/>
      <c r="C582" s="2"/>
      <c r="D582" s="2"/>
      <c r="E582" s="2"/>
    </row>
    <row r="583" spans="2:5" ht="15.75" customHeight="1">
      <c r="B583" s="2"/>
      <c r="C583" s="2"/>
      <c r="D583" s="2"/>
      <c r="E583" s="2"/>
    </row>
    <row r="584" spans="2:5" ht="15.75" customHeight="1">
      <c r="B584" s="2"/>
      <c r="C584" s="2"/>
      <c r="D584" s="2"/>
      <c r="E584" s="2"/>
    </row>
    <row r="585" spans="2:5" ht="15.75" customHeight="1">
      <c r="B585" s="2"/>
      <c r="C585" s="2"/>
      <c r="D585" s="2"/>
      <c r="E585" s="2"/>
    </row>
    <row r="586" spans="2:5" ht="15.75" customHeight="1">
      <c r="B586" s="2"/>
      <c r="C586" s="2"/>
      <c r="D586" s="2"/>
      <c r="E586" s="2"/>
    </row>
    <row r="587" spans="2:5" ht="15.75" customHeight="1">
      <c r="B587" s="2"/>
      <c r="C587" s="2"/>
      <c r="D587" s="2"/>
      <c r="E587" s="2"/>
    </row>
    <row r="588" spans="2:5" ht="15.75" customHeight="1">
      <c r="B588" s="2"/>
      <c r="C588" s="2"/>
      <c r="D588" s="2"/>
      <c r="E588" s="2"/>
    </row>
    <row r="589" spans="2:5" ht="15.75" customHeight="1">
      <c r="B589" s="2"/>
      <c r="C589" s="2"/>
      <c r="D589" s="2"/>
      <c r="E589" s="2"/>
    </row>
    <row r="590" spans="2:5" ht="15.75" customHeight="1">
      <c r="B590" s="2"/>
      <c r="C590" s="2"/>
      <c r="D590" s="2"/>
      <c r="E590" s="2"/>
    </row>
    <row r="591" spans="2:5" ht="15.75" customHeight="1">
      <c r="B591" s="2"/>
      <c r="C591" s="2"/>
      <c r="D591" s="2"/>
      <c r="E591" s="2"/>
    </row>
    <row r="592" spans="2:5" ht="15.75" customHeight="1">
      <c r="B592" s="2"/>
      <c r="C592" s="2"/>
      <c r="D592" s="2"/>
      <c r="E592" s="2"/>
    </row>
    <row r="593" spans="2:5" ht="15.75" customHeight="1">
      <c r="B593" s="2"/>
      <c r="C593" s="2"/>
      <c r="D593" s="2"/>
      <c r="E593" s="2"/>
    </row>
    <row r="594" spans="2:5" ht="15.75" customHeight="1">
      <c r="B594" s="2"/>
      <c r="C594" s="2"/>
      <c r="D594" s="2"/>
      <c r="E594" s="2"/>
    </row>
    <row r="595" spans="2:5" ht="15.75" customHeight="1">
      <c r="B595" s="2"/>
      <c r="C595" s="2"/>
      <c r="D595" s="2"/>
      <c r="E595" s="2"/>
    </row>
    <row r="596" spans="2:5" ht="15.75" customHeight="1">
      <c r="B596" s="2"/>
      <c r="C596" s="2"/>
      <c r="D596" s="2"/>
      <c r="E596" s="2"/>
    </row>
    <row r="597" spans="2:5" ht="15.75" customHeight="1">
      <c r="B597" s="2"/>
      <c r="C597" s="2"/>
      <c r="D597" s="2"/>
      <c r="E597" s="2"/>
    </row>
    <row r="598" spans="2:5" ht="15.75" customHeight="1">
      <c r="B598" s="2"/>
      <c r="C598" s="2"/>
      <c r="D598" s="2"/>
      <c r="E598" s="2"/>
    </row>
    <row r="599" spans="2:5" ht="15.75" customHeight="1">
      <c r="B599" s="2"/>
      <c r="C599" s="2"/>
      <c r="D599" s="2"/>
      <c r="E599" s="2"/>
    </row>
    <row r="600" spans="2:5" ht="15.75" customHeight="1">
      <c r="B600" s="2"/>
      <c r="C600" s="2"/>
      <c r="D600" s="2"/>
      <c r="E600" s="2"/>
    </row>
    <row r="601" spans="2:5" ht="15.75" customHeight="1">
      <c r="B601" s="2"/>
      <c r="C601" s="2"/>
      <c r="D601" s="2"/>
      <c r="E601" s="2"/>
    </row>
    <row r="602" spans="2:5" ht="15.75" customHeight="1">
      <c r="B602" s="2"/>
      <c r="C602" s="2"/>
      <c r="D602" s="2"/>
      <c r="E602" s="2"/>
    </row>
    <row r="603" spans="2:5" ht="15.75" customHeight="1">
      <c r="B603" s="2"/>
      <c r="C603" s="2"/>
      <c r="D603" s="2"/>
      <c r="E603" s="2"/>
    </row>
    <row r="604" spans="2:5" ht="15.75" customHeight="1">
      <c r="B604" s="2"/>
      <c r="C604" s="2"/>
      <c r="D604" s="2"/>
      <c r="E604" s="2"/>
    </row>
    <row r="605" spans="2:5" ht="15.75" customHeight="1">
      <c r="B605" s="2"/>
      <c r="C605" s="2"/>
      <c r="D605" s="2"/>
      <c r="E605" s="2"/>
    </row>
    <row r="606" spans="2:5" ht="15.75" customHeight="1">
      <c r="B606" s="2"/>
      <c r="C606" s="2"/>
      <c r="D606" s="2"/>
      <c r="E606" s="2"/>
    </row>
    <row r="607" spans="2:5" ht="15.75" customHeight="1">
      <c r="B607" s="2"/>
      <c r="C607" s="2"/>
      <c r="D607" s="2"/>
      <c r="E607" s="2"/>
    </row>
    <row r="608" spans="2:5" ht="15.75" customHeight="1">
      <c r="B608" s="2"/>
      <c r="C608" s="2"/>
      <c r="D608" s="2"/>
      <c r="E608" s="2"/>
    </row>
    <row r="609" spans="2:5" ht="15.75" customHeight="1">
      <c r="B609" s="2"/>
      <c r="C609" s="2"/>
      <c r="D609" s="2"/>
      <c r="E609" s="2"/>
    </row>
    <row r="610" spans="2:5" ht="15.75" customHeight="1">
      <c r="B610" s="2"/>
      <c r="C610" s="2"/>
      <c r="D610" s="2"/>
      <c r="E610" s="2"/>
    </row>
    <row r="611" spans="2:5" ht="15.75" customHeight="1">
      <c r="B611" s="2"/>
      <c r="C611" s="2"/>
      <c r="D611" s="2"/>
      <c r="E611" s="2"/>
    </row>
    <row r="612" spans="2:5" ht="15.75" customHeight="1">
      <c r="B612" s="2"/>
      <c r="C612" s="2"/>
      <c r="D612" s="2"/>
      <c r="E612" s="2"/>
    </row>
    <row r="613" spans="2:5" ht="15.75" customHeight="1">
      <c r="B613" s="2"/>
      <c r="C613" s="2"/>
      <c r="D613" s="2"/>
      <c r="E613" s="2"/>
    </row>
    <row r="614" spans="2:5" ht="15.75" customHeight="1">
      <c r="B614" s="2"/>
      <c r="C614" s="2"/>
      <c r="D614" s="2"/>
      <c r="E614" s="2"/>
    </row>
    <row r="615" spans="2:5" ht="15.75" customHeight="1">
      <c r="B615" s="2"/>
      <c r="C615" s="2"/>
      <c r="D615" s="2"/>
      <c r="E615" s="2"/>
    </row>
    <row r="616" spans="2:5" ht="15.75" customHeight="1">
      <c r="B616" s="2"/>
      <c r="C616" s="2"/>
      <c r="D616" s="2"/>
      <c r="E616" s="2"/>
    </row>
    <row r="617" spans="2:5" ht="15.75" customHeight="1">
      <c r="B617" s="2"/>
      <c r="C617" s="2"/>
      <c r="D617" s="2"/>
      <c r="E617" s="2"/>
    </row>
    <row r="618" spans="2:5" ht="15.75" customHeight="1">
      <c r="B618" s="2"/>
      <c r="C618" s="2"/>
      <c r="D618" s="2"/>
      <c r="E618" s="2"/>
    </row>
    <row r="619" spans="2:5" ht="15.75" customHeight="1">
      <c r="B619" s="2"/>
      <c r="C619" s="2"/>
      <c r="D619" s="2"/>
      <c r="E619" s="2"/>
    </row>
    <row r="620" spans="2:5" ht="15.75" customHeight="1">
      <c r="B620" s="2"/>
      <c r="C620" s="2"/>
      <c r="D620" s="2"/>
      <c r="E620" s="2"/>
    </row>
    <row r="621" spans="2:5" ht="15.75" customHeight="1">
      <c r="B621" s="2"/>
      <c r="C621" s="2"/>
      <c r="D621" s="2"/>
      <c r="E621" s="2"/>
    </row>
    <row r="622" spans="2:5" ht="15.75" customHeight="1">
      <c r="B622" s="2"/>
      <c r="C622" s="2"/>
      <c r="D622" s="2"/>
      <c r="E622" s="2"/>
    </row>
    <row r="623" spans="2:5" ht="15.75" customHeight="1">
      <c r="B623" s="2"/>
      <c r="C623" s="2"/>
      <c r="D623" s="2"/>
      <c r="E623" s="2"/>
    </row>
    <row r="624" spans="2:5" ht="15.75" customHeight="1">
      <c r="B624" s="2"/>
      <c r="C624" s="2"/>
      <c r="D624" s="2"/>
      <c r="E624" s="2"/>
    </row>
    <row r="625" spans="2:5" ht="15.75" customHeight="1">
      <c r="B625" s="2"/>
      <c r="C625" s="2"/>
      <c r="D625" s="2"/>
      <c r="E625" s="2"/>
    </row>
    <row r="626" spans="2:5" ht="15.75" customHeight="1">
      <c r="B626" s="2"/>
      <c r="C626" s="2"/>
      <c r="D626" s="2"/>
      <c r="E626" s="2"/>
    </row>
    <row r="627" spans="2:5" ht="15.75" customHeight="1">
      <c r="B627" s="2"/>
      <c r="C627" s="2"/>
      <c r="D627" s="2"/>
      <c r="E627" s="2"/>
    </row>
    <row r="628" spans="2:5" ht="15.75" customHeight="1">
      <c r="B628" s="2"/>
      <c r="C628" s="2"/>
      <c r="D628" s="2"/>
      <c r="E628" s="2"/>
    </row>
    <row r="629" spans="2:5" ht="15.75" customHeight="1">
      <c r="B629" s="2"/>
      <c r="C629" s="2"/>
      <c r="D629" s="2"/>
      <c r="E629" s="2"/>
    </row>
    <row r="630" spans="2:5" ht="15.75" customHeight="1">
      <c r="B630" s="2"/>
      <c r="C630" s="2"/>
      <c r="D630" s="2"/>
      <c r="E630" s="2"/>
    </row>
    <row r="631" spans="2:5" ht="15.75" customHeight="1">
      <c r="B631" s="2"/>
      <c r="C631" s="2"/>
      <c r="D631" s="2"/>
      <c r="E631" s="2"/>
    </row>
    <row r="632" spans="2:5" ht="15.75" customHeight="1">
      <c r="B632" s="2"/>
      <c r="C632" s="2"/>
      <c r="D632" s="2"/>
      <c r="E632" s="2"/>
    </row>
    <row r="633" spans="2:5" ht="15.75" customHeight="1">
      <c r="B633" s="2"/>
      <c r="C633" s="2"/>
      <c r="D633" s="2"/>
      <c r="E633" s="2"/>
    </row>
    <row r="634" spans="2:5" ht="15.75" customHeight="1">
      <c r="B634" s="2"/>
      <c r="C634" s="2"/>
      <c r="D634" s="2"/>
      <c r="E634" s="2"/>
    </row>
    <row r="635" spans="2:5" ht="15.75" customHeight="1">
      <c r="B635" s="2"/>
      <c r="C635" s="2"/>
      <c r="D635" s="2"/>
      <c r="E635" s="2"/>
    </row>
    <row r="636" spans="2:5" ht="15.75" customHeight="1">
      <c r="B636" s="2"/>
      <c r="C636" s="2"/>
      <c r="D636" s="2"/>
      <c r="E636" s="2"/>
    </row>
    <row r="637" spans="2:5" ht="15.75" customHeight="1">
      <c r="B637" s="2"/>
      <c r="C637" s="2"/>
      <c r="D637" s="2"/>
      <c r="E637" s="2"/>
    </row>
    <row r="638" spans="2:5" ht="15.75" customHeight="1">
      <c r="B638" s="2"/>
      <c r="C638" s="2"/>
      <c r="D638" s="2"/>
      <c r="E638" s="2"/>
    </row>
    <row r="639" spans="2:5" ht="15.75" customHeight="1">
      <c r="B639" s="2"/>
      <c r="C639" s="2"/>
      <c r="D639" s="2"/>
      <c r="E639" s="2"/>
    </row>
    <row r="640" spans="2:5" ht="15.75" customHeight="1">
      <c r="B640" s="2"/>
      <c r="C640" s="2"/>
      <c r="D640" s="2"/>
      <c r="E640" s="2"/>
    </row>
    <row r="641" spans="2:5" ht="15.75" customHeight="1">
      <c r="B641" s="2"/>
      <c r="C641" s="2"/>
      <c r="D641" s="2"/>
      <c r="E641" s="2"/>
    </row>
    <row r="642" spans="2:5" ht="15.75" customHeight="1">
      <c r="B642" s="2"/>
      <c r="C642" s="2"/>
      <c r="D642" s="2"/>
      <c r="E642" s="2"/>
    </row>
    <row r="643" spans="2:5" ht="15.75" customHeight="1">
      <c r="B643" s="2"/>
      <c r="C643" s="2"/>
      <c r="D643" s="2"/>
      <c r="E643" s="2"/>
    </row>
    <row r="644" spans="2:5" ht="15.75" customHeight="1">
      <c r="B644" s="2"/>
      <c r="C644" s="2"/>
      <c r="D644" s="2"/>
      <c r="E644" s="2"/>
    </row>
    <row r="645" spans="2:5" ht="15.75" customHeight="1">
      <c r="B645" s="2"/>
      <c r="C645" s="2"/>
      <c r="D645" s="2"/>
      <c r="E645" s="2"/>
    </row>
    <row r="646" spans="2:5" ht="15.75" customHeight="1">
      <c r="B646" s="2"/>
      <c r="C646" s="2"/>
      <c r="D646" s="2"/>
      <c r="E646" s="2"/>
    </row>
    <row r="647" spans="2:5" ht="15.75" customHeight="1">
      <c r="B647" s="2"/>
      <c r="C647" s="2"/>
      <c r="D647" s="2"/>
      <c r="E647" s="2"/>
    </row>
    <row r="648" spans="2:5" ht="15.75" customHeight="1">
      <c r="B648" s="2"/>
      <c r="C648" s="2"/>
      <c r="D648" s="2"/>
      <c r="E648" s="2"/>
    </row>
    <row r="649" spans="2:5" ht="15.75" customHeight="1">
      <c r="B649" s="2"/>
      <c r="C649" s="2"/>
      <c r="D649" s="2"/>
      <c r="E649" s="2"/>
    </row>
    <row r="650" spans="2:5" ht="15.75" customHeight="1">
      <c r="B650" s="2"/>
      <c r="C650" s="2"/>
      <c r="D650" s="2"/>
      <c r="E650" s="2"/>
    </row>
    <row r="651" spans="2:5" ht="15.75" customHeight="1">
      <c r="B651" s="2"/>
      <c r="C651" s="2"/>
      <c r="D651" s="2"/>
      <c r="E651" s="2"/>
    </row>
    <row r="652" spans="2:5" ht="15.75" customHeight="1">
      <c r="B652" s="2"/>
      <c r="C652" s="2"/>
      <c r="D652" s="2"/>
      <c r="E652" s="2"/>
    </row>
    <row r="653" spans="2:5" ht="15.75" customHeight="1">
      <c r="B653" s="2"/>
      <c r="C653" s="2"/>
      <c r="D653" s="2"/>
      <c r="E653" s="2"/>
    </row>
    <row r="654" spans="2:5" ht="15.75" customHeight="1">
      <c r="B654" s="2"/>
      <c r="C654" s="2"/>
      <c r="D654" s="2"/>
      <c r="E654" s="2"/>
    </row>
    <row r="655" spans="2:5" ht="15.75" customHeight="1">
      <c r="B655" s="2"/>
      <c r="C655" s="2"/>
      <c r="D655" s="2"/>
      <c r="E655" s="2"/>
    </row>
    <row r="656" spans="2:5" ht="15.75" customHeight="1">
      <c r="B656" s="2"/>
      <c r="C656" s="2"/>
      <c r="D656" s="2"/>
      <c r="E656" s="2"/>
    </row>
    <row r="657" spans="2:5" ht="15.75" customHeight="1">
      <c r="B657" s="2"/>
      <c r="C657" s="2"/>
      <c r="D657" s="2"/>
      <c r="E657" s="2"/>
    </row>
    <row r="658" spans="2:5" ht="15.75" customHeight="1">
      <c r="B658" s="2"/>
      <c r="C658" s="2"/>
      <c r="D658" s="2"/>
      <c r="E658" s="2"/>
    </row>
    <row r="659" spans="2:5" ht="15.75" customHeight="1">
      <c r="B659" s="2"/>
      <c r="C659" s="2"/>
      <c r="D659" s="2"/>
      <c r="E659" s="2"/>
    </row>
    <row r="660" spans="2:5" ht="15.75" customHeight="1">
      <c r="B660" s="2"/>
      <c r="C660" s="2"/>
      <c r="D660" s="2"/>
      <c r="E660" s="2"/>
    </row>
    <row r="661" spans="2:5" ht="15.75" customHeight="1">
      <c r="B661" s="2"/>
      <c r="C661" s="2"/>
      <c r="D661" s="2"/>
      <c r="E661" s="2"/>
    </row>
    <row r="662" spans="2:5" ht="15.75" customHeight="1">
      <c r="B662" s="2"/>
      <c r="C662" s="2"/>
      <c r="D662" s="2"/>
      <c r="E662" s="2"/>
    </row>
    <row r="663" spans="2:5" ht="15.75" customHeight="1">
      <c r="B663" s="2"/>
      <c r="C663" s="2"/>
      <c r="D663" s="2"/>
      <c r="E663" s="2"/>
    </row>
    <row r="664" spans="2:5" ht="15.75" customHeight="1">
      <c r="B664" s="2"/>
      <c r="C664" s="2"/>
      <c r="D664" s="2"/>
      <c r="E664" s="2"/>
    </row>
    <row r="665" spans="2:5" ht="15.75" customHeight="1">
      <c r="B665" s="2"/>
      <c r="C665" s="2"/>
      <c r="D665" s="2"/>
      <c r="E665" s="2"/>
    </row>
    <row r="666" spans="2:5" ht="15.75" customHeight="1">
      <c r="B666" s="2"/>
      <c r="C666" s="2"/>
      <c r="D666" s="2"/>
      <c r="E666" s="2"/>
    </row>
    <row r="667" spans="2:5" ht="15.75" customHeight="1">
      <c r="B667" s="2"/>
      <c r="C667" s="2"/>
      <c r="D667" s="2"/>
      <c r="E667" s="2"/>
    </row>
    <row r="668" spans="2:5" ht="15.75" customHeight="1">
      <c r="B668" s="2"/>
      <c r="C668" s="2"/>
      <c r="D668" s="2"/>
      <c r="E668" s="2"/>
    </row>
    <row r="669" spans="2:5" ht="15.75" customHeight="1">
      <c r="B669" s="2"/>
      <c r="C669" s="2"/>
      <c r="D669" s="2"/>
      <c r="E669" s="2"/>
    </row>
    <row r="670" spans="2:5" ht="15.75" customHeight="1">
      <c r="B670" s="2"/>
      <c r="C670" s="2"/>
      <c r="D670" s="2"/>
      <c r="E670" s="2"/>
    </row>
    <row r="671" spans="2:5" ht="15.75" customHeight="1">
      <c r="B671" s="2"/>
      <c r="C671" s="2"/>
      <c r="D671" s="2"/>
      <c r="E671" s="2"/>
    </row>
    <row r="672" spans="2:5" ht="15.75" customHeight="1">
      <c r="B672" s="2"/>
      <c r="C672" s="2"/>
      <c r="D672" s="2"/>
      <c r="E672" s="2"/>
    </row>
    <row r="673" spans="2:5" ht="15.75" customHeight="1">
      <c r="B673" s="2"/>
      <c r="C673" s="2"/>
      <c r="D673" s="2"/>
      <c r="E673" s="2"/>
    </row>
    <row r="674" spans="2:5" ht="15.75" customHeight="1">
      <c r="B674" s="2"/>
      <c r="C674" s="2"/>
      <c r="D674" s="2"/>
      <c r="E674" s="2"/>
    </row>
    <row r="675" spans="2:5" ht="15.75" customHeight="1">
      <c r="B675" s="2"/>
      <c r="C675" s="2"/>
      <c r="D675" s="2"/>
      <c r="E675" s="2"/>
    </row>
    <row r="676" spans="2:5" ht="15.75" customHeight="1">
      <c r="B676" s="2"/>
      <c r="C676" s="2"/>
      <c r="D676" s="2"/>
      <c r="E676" s="2"/>
    </row>
    <row r="677" spans="2:5" ht="15.75" customHeight="1">
      <c r="B677" s="2"/>
      <c r="C677" s="2"/>
      <c r="D677" s="2"/>
      <c r="E677" s="2"/>
    </row>
    <row r="678" spans="2:5" ht="15.75" customHeight="1">
      <c r="B678" s="2"/>
      <c r="C678" s="2"/>
      <c r="D678" s="2"/>
      <c r="E678" s="2"/>
    </row>
    <row r="679" spans="2:5" ht="15.75" customHeight="1">
      <c r="B679" s="2"/>
      <c r="C679" s="2"/>
      <c r="D679" s="2"/>
      <c r="E679" s="2"/>
    </row>
    <row r="680" spans="2:5" ht="15.75" customHeight="1">
      <c r="B680" s="2"/>
      <c r="C680" s="2"/>
      <c r="D680" s="2"/>
      <c r="E680" s="2"/>
    </row>
    <row r="681" spans="2:5" ht="15.75" customHeight="1">
      <c r="B681" s="2"/>
      <c r="C681" s="2"/>
      <c r="D681" s="2"/>
      <c r="E681" s="2"/>
    </row>
    <row r="682" spans="2:5" ht="15.75" customHeight="1">
      <c r="B682" s="2"/>
      <c r="C682" s="2"/>
      <c r="D682" s="2"/>
      <c r="E682" s="2"/>
    </row>
    <row r="683" spans="2:5" ht="15.75" customHeight="1">
      <c r="B683" s="2"/>
      <c r="C683" s="2"/>
      <c r="D683" s="2"/>
      <c r="E683" s="2"/>
    </row>
    <row r="684" spans="2:5" ht="15.75" customHeight="1">
      <c r="B684" s="2"/>
      <c r="C684" s="2"/>
      <c r="D684" s="2"/>
      <c r="E684" s="2"/>
    </row>
    <row r="685" spans="2:5" ht="15.75" customHeight="1">
      <c r="B685" s="2"/>
      <c r="C685" s="2"/>
      <c r="D685" s="2"/>
      <c r="E685" s="2"/>
    </row>
    <row r="686" spans="2:5" ht="15.75" customHeight="1">
      <c r="B686" s="2"/>
      <c r="C686" s="2"/>
      <c r="D686" s="2"/>
      <c r="E686" s="2"/>
    </row>
    <row r="687" spans="2:5" ht="15.75" customHeight="1">
      <c r="B687" s="2"/>
      <c r="C687" s="2"/>
      <c r="D687" s="2"/>
      <c r="E687" s="2"/>
    </row>
    <row r="688" spans="2:5" ht="15.75" customHeight="1">
      <c r="B688" s="2"/>
      <c r="C688" s="2"/>
      <c r="D688" s="2"/>
      <c r="E688" s="2"/>
    </row>
    <row r="689" spans="2:5" ht="15.75" customHeight="1">
      <c r="B689" s="2"/>
      <c r="C689" s="2"/>
      <c r="D689" s="2"/>
      <c r="E689" s="2"/>
    </row>
    <row r="690" spans="2:5" ht="15.75" customHeight="1">
      <c r="B690" s="2"/>
      <c r="C690" s="2"/>
      <c r="D690" s="2"/>
      <c r="E690" s="2"/>
    </row>
    <row r="691" spans="2:5" ht="15.75" customHeight="1">
      <c r="B691" s="2"/>
      <c r="C691" s="2"/>
      <c r="D691" s="2"/>
      <c r="E691" s="2"/>
    </row>
    <row r="692" spans="2:5" ht="15.75" customHeight="1">
      <c r="B692" s="2"/>
      <c r="C692" s="2"/>
      <c r="D692" s="2"/>
      <c r="E692" s="2"/>
    </row>
    <row r="693" spans="2:5" ht="15.75" customHeight="1">
      <c r="B693" s="2"/>
      <c r="C693" s="2"/>
      <c r="D693" s="2"/>
      <c r="E693" s="2"/>
    </row>
    <row r="694" spans="2:5" ht="15.75" customHeight="1">
      <c r="B694" s="2"/>
      <c r="C694" s="2"/>
      <c r="D694" s="2"/>
      <c r="E694" s="2"/>
    </row>
    <row r="695" spans="2:5" ht="15.75" customHeight="1">
      <c r="B695" s="2"/>
      <c r="C695" s="2"/>
      <c r="D695" s="2"/>
      <c r="E695" s="2"/>
    </row>
    <row r="696" spans="2:5" ht="15.75" customHeight="1">
      <c r="B696" s="2"/>
      <c r="C696" s="2"/>
      <c r="D696" s="2"/>
      <c r="E696" s="2"/>
    </row>
    <row r="697" spans="2:5" ht="15.75" customHeight="1">
      <c r="B697" s="2"/>
      <c r="C697" s="2"/>
      <c r="D697" s="2"/>
      <c r="E697" s="2"/>
    </row>
    <row r="698" spans="2:5" ht="15.75" customHeight="1">
      <c r="B698" s="2"/>
      <c r="C698" s="2"/>
      <c r="D698" s="2"/>
      <c r="E698" s="2"/>
    </row>
    <row r="699" spans="2:5" ht="15.75" customHeight="1">
      <c r="B699" s="2"/>
      <c r="C699" s="2"/>
      <c r="D699" s="2"/>
      <c r="E699" s="2"/>
    </row>
    <row r="700" spans="2:5" ht="15.75" customHeight="1">
      <c r="B700" s="2"/>
      <c r="C700" s="2"/>
      <c r="D700" s="2"/>
      <c r="E700" s="2"/>
    </row>
    <row r="701" spans="2:5" ht="15.75" customHeight="1">
      <c r="B701" s="2"/>
      <c r="C701" s="2"/>
      <c r="D701" s="2"/>
      <c r="E701" s="2"/>
    </row>
    <row r="702" spans="2:5" ht="15.75" customHeight="1">
      <c r="B702" s="2"/>
      <c r="C702" s="2"/>
      <c r="D702" s="2"/>
      <c r="E702" s="2"/>
    </row>
    <row r="703" spans="2:5" ht="15.75" customHeight="1">
      <c r="B703" s="2"/>
      <c r="C703" s="2"/>
      <c r="D703" s="2"/>
      <c r="E703" s="2"/>
    </row>
    <row r="704" spans="2:5" ht="15.75" customHeight="1">
      <c r="B704" s="2"/>
      <c r="C704" s="2"/>
      <c r="D704" s="2"/>
      <c r="E704" s="2"/>
    </row>
    <row r="705" spans="2:5" ht="15.75" customHeight="1">
      <c r="B705" s="2"/>
      <c r="C705" s="2"/>
      <c r="D705" s="2"/>
      <c r="E705" s="2"/>
    </row>
    <row r="706" spans="2:5" ht="15.75" customHeight="1">
      <c r="B706" s="2"/>
      <c r="C706" s="2"/>
      <c r="D706" s="2"/>
      <c r="E706" s="2"/>
    </row>
    <row r="707" spans="2:5" ht="15.75" customHeight="1">
      <c r="B707" s="2"/>
      <c r="C707" s="2"/>
      <c r="D707" s="2"/>
      <c r="E707" s="2"/>
    </row>
    <row r="708" spans="2:5" ht="15.75" customHeight="1">
      <c r="B708" s="2"/>
      <c r="C708" s="2"/>
      <c r="D708" s="2"/>
      <c r="E708" s="2"/>
    </row>
    <row r="709" spans="2:5" ht="15.75" customHeight="1">
      <c r="B709" s="2"/>
      <c r="C709" s="2"/>
      <c r="D709" s="2"/>
      <c r="E709" s="2"/>
    </row>
    <row r="710" spans="2:5" ht="15.75" customHeight="1">
      <c r="B710" s="2"/>
      <c r="C710" s="2"/>
      <c r="D710" s="2"/>
      <c r="E710" s="2"/>
    </row>
    <row r="711" spans="2:5" ht="15.75" customHeight="1">
      <c r="B711" s="2"/>
      <c r="C711" s="2"/>
      <c r="D711" s="2"/>
      <c r="E711" s="2"/>
    </row>
    <row r="712" spans="2:5" ht="15.75" customHeight="1">
      <c r="B712" s="2"/>
      <c r="C712" s="2"/>
      <c r="D712" s="2"/>
      <c r="E712" s="2"/>
    </row>
    <row r="713" spans="2:5" ht="15.75" customHeight="1">
      <c r="B713" s="2"/>
      <c r="C713" s="2"/>
      <c r="D713" s="2"/>
      <c r="E713" s="2"/>
    </row>
    <row r="714" spans="2:5" ht="15.75" customHeight="1">
      <c r="B714" s="2"/>
      <c r="C714" s="2"/>
      <c r="D714" s="2"/>
      <c r="E714" s="2"/>
    </row>
    <row r="715" spans="2:5" ht="15.75" customHeight="1">
      <c r="B715" s="2"/>
      <c r="C715" s="2"/>
      <c r="D715" s="2"/>
      <c r="E715" s="2"/>
    </row>
    <row r="716" spans="2:5" ht="15.75" customHeight="1">
      <c r="B716" s="2"/>
      <c r="C716" s="2"/>
      <c r="D716" s="2"/>
      <c r="E716" s="2"/>
    </row>
    <row r="717" spans="2:5" ht="15.75" customHeight="1">
      <c r="B717" s="2"/>
      <c r="C717" s="2"/>
      <c r="D717" s="2"/>
      <c r="E717" s="2"/>
    </row>
    <row r="718" spans="2:5" ht="15.75" customHeight="1">
      <c r="B718" s="2"/>
      <c r="C718" s="2"/>
      <c r="D718" s="2"/>
      <c r="E718" s="2"/>
    </row>
    <row r="719" spans="2:5" ht="15.75" customHeight="1">
      <c r="B719" s="2"/>
      <c r="C719" s="2"/>
      <c r="D719" s="2"/>
      <c r="E719" s="2"/>
    </row>
    <row r="720" spans="2:5" ht="15.75" customHeight="1">
      <c r="B720" s="2"/>
      <c r="C720" s="2"/>
      <c r="D720" s="2"/>
      <c r="E720" s="2"/>
    </row>
    <row r="721" spans="2:5" ht="15.75" customHeight="1">
      <c r="B721" s="2"/>
      <c r="C721" s="2"/>
      <c r="D721" s="2"/>
      <c r="E721" s="2"/>
    </row>
    <row r="722" spans="2:5" ht="15.75" customHeight="1">
      <c r="B722" s="2"/>
      <c r="C722" s="2"/>
      <c r="D722" s="2"/>
      <c r="E722" s="2"/>
    </row>
    <row r="723" spans="2:5" ht="15.75" customHeight="1">
      <c r="B723" s="2"/>
      <c r="C723" s="2"/>
      <c r="D723" s="2"/>
      <c r="E723" s="2"/>
    </row>
    <row r="724" spans="2:5" ht="15.75" customHeight="1">
      <c r="B724" s="2"/>
      <c r="C724" s="2"/>
      <c r="D724" s="2"/>
      <c r="E724" s="2"/>
    </row>
    <row r="725" spans="2:5" ht="15.75" customHeight="1">
      <c r="B725" s="2"/>
      <c r="C725" s="2"/>
      <c r="D725" s="2"/>
      <c r="E725" s="2"/>
    </row>
    <row r="726" spans="2:5" ht="15.75" customHeight="1">
      <c r="B726" s="2"/>
      <c r="C726" s="2"/>
      <c r="D726" s="2"/>
      <c r="E726" s="2"/>
    </row>
    <row r="727" spans="2:5" ht="15.75" customHeight="1">
      <c r="B727" s="2"/>
      <c r="C727" s="2"/>
      <c r="D727" s="2"/>
      <c r="E727" s="2"/>
    </row>
    <row r="728" spans="2:5" ht="15.75" customHeight="1">
      <c r="B728" s="2"/>
      <c r="C728" s="2"/>
      <c r="D728" s="2"/>
      <c r="E728" s="2"/>
    </row>
    <row r="729" spans="2:5" ht="15.75" customHeight="1">
      <c r="B729" s="2"/>
      <c r="C729" s="2"/>
      <c r="D729" s="2"/>
      <c r="E729" s="2"/>
    </row>
    <row r="730" spans="2:5" ht="15.75" customHeight="1">
      <c r="B730" s="2"/>
      <c r="C730" s="2"/>
      <c r="D730" s="2"/>
      <c r="E730" s="2"/>
    </row>
    <row r="731" spans="2:5" ht="15.75" customHeight="1">
      <c r="B731" s="2"/>
      <c r="C731" s="2"/>
      <c r="D731" s="2"/>
      <c r="E731" s="2"/>
    </row>
    <row r="732" spans="2:5" ht="15.75" customHeight="1">
      <c r="B732" s="2"/>
      <c r="C732" s="2"/>
      <c r="D732" s="2"/>
      <c r="E732" s="2"/>
    </row>
    <row r="733" spans="2:5" ht="15.75" customHeight="1">
      <c r="B733" s="2"/>
      <c r="C733" s="2"/>
      <c r="D733" s="2"/>
      <c r="E733" s="2"/>
    </row>
    <row r="734" spans="2:5" ht="15.75" customHeight="1">
      <c r="B734" s="2"/>
      <c r="C734" s="2"/>
      <c r="D734" s="2"/>
      <c r="E734" s="2"/>
    </row>
    <row r="735" spans="2:5" ht="15.75" customHeight="1">
      <c r="B735" s="2"/>
      <c r="C735" s="2"/>
      <c r="D735" s="2"/>
      <c r="E735" s="2"/>
    </row>
    <row r="736" spans="2:5" ht="15.75" customHeight="1">
      <c r="B736" s="2"/>
      <c r="C736" s="2"/>
      <c r="D736" s="2"/>
      <c r="E736" s="2"/>
    </row>
    <row r="737" spans="2:5" ht="15.75" customHeight="1">
      <c r="B737" s="2"/>
      <c r="C737" s="2"/>
      <c r="D737" s="2"/>
      <c r="E737" s="2"/>
    </row>
    <row r="738" spans="2:5" ht="15.75" customHeight="1">
      <c r="B738" s="2"/>
      <c r="C738" s="2"/>
      <c r="D738" s="2"/>
      <c r="E738" s="2"/>
    </row>
    <row r="739" spans="2:5" ht="15.75" customHeight="1">
      <c r="B739" s="2"/>
      <c r="C739" s="2"/>
      <c r="D739" s="2"/>
      <c r="E739" s="2"/>
    </row>
    <row r="740" spans="2:5" ht="15.75" customHeight="1">
      <c r="B740" s="2"/>
      <c r="C740" s="2"/>
      <c r="D740" s="2"/>
      <c r="E740" s="2"/>
    </row>
    <row r="741" spans="2:5" ht="15.75" customHeight="1">
      <c r="B741" s="2"/>
      <c r="C741" s="2"/>
      <c r="D741" s="2"/>
      <c r="E741" s="2"/>
    </row>
    <row r="742" spans="2:5" ht="15.75" customHeight="1">
      <c r="B742" s="2"/>
      <c r="C742" s="2"/>
      <c r="D742" s="2"/>
      <c r="E742" s="2"/>
    </row>
    <row r="743" spans="2:5" ht="15.75" customHeight="1">
      <c r="B743" s="2"/>
      <c r="C743" s="2"/>
      <c r="D743" s="2"/>
      <c r="E743" s="2"/>
    </row>
    <row r="744" spans="2:5" ht="15.75" customHeight="1">
      <c r="B744" s="2"/>
      <c r="C744" s="2"/>
      <c r="D744" s="2"/>
      <c r="E744" s="2"/>
    </row>
    <row r="745" spans="2:5" ht="15.75" customHeight="1">
      <c r="B745" s="2"/>
      <c r="C745" s="2"/>
      <c r="D745" s="2"/>
      <c r="E745" s="2"/>
    </row>
    <row r="746" spans="2:5" ht="15.75" customHeight="1">
      <c r="B746" s="2"/>
      <c r="C746" s="2"/>
      <c r="D746" s="2"/>
      <c r="E746" s="2"/>
    </row>
    <row r="747" spans="2:5" ht="15.75" customHeight="1">
      <c r="B747" s="2"/>
      <c r="C747" s="2"/>
      <c r="D747" s="2"/>
      <c r="E747" s="2"/>
    </row>
    <row r="748" spans="2:5" ht="15.75" customHeight="1">
      <c r="B748" s="2"/>
      <c r="C748" s="2"/>
      <c r="D748" s="2"/>
      <c r="E748" s="2"/>
    </row>
    <row r="749" spans="2:5" ht="15.75" customHeight="1">
      <c r="B749" s="2"/>
      <c r="C749" s="2"/>
      <c r="D749" s="2"/>
      <c r="E749" s="2"/>
    </row>
    <row r="750" spans="2:5" ht="15.75" customHeight="1">
      <c r="B750" s="2"/>
      <c r="C750" s="2"/>
      <c r="D750" s="2"/>
      <c r="E750" s="2"/>
    </row>
    <row r="751" spans="2:5" ht="15.75" customHeight="1">
      <c r="B751" s="2"/>
      <c r="C751" s="2"/>
      <c r="D751" s="2"/>
      <c r="E751" s="2"/>
    </row>
    <row r="752" spans="2:5" ht="15.75" customHeight="1">
      <c r="B752" s="2"/>
      <c r="C752" s="2"/>
      <c r="D752" s="2"/>
      <c r="E752" s="2"/>
    </row>
    <row r="753" spans="2:5" ht="15.75" customHeight="1">
      <c r="B753" s="2"/>
      <c r="C753" s="2"/>
      <c r="D753" s="2"/>
      <c r="E753" s="2"/>
    </row>
    <row r="754" spans="2:5" ht="15.75" customHeight="1">
      <c r="B754" s="2"/>
      <c r="C754" s="2"/>
      <c r="D754" s="2"/>
      <c r="E754" s="2"/>
    </row>
    <row r="755" spans="2:5" ht="15.75" customHeight="1">
      <c r="B755" s="2"/>
      <c r="C755" s="2"/>
      <c r="D755" s="2"/>
      <c r="E755" s="2"/>
    </row>
    <row r="756" spans="2:5" ht="15.75" customHeight="1">
      <c r="B756" s="2"/>
      <c r="C756" s="2"/>
      <c r="D756" s="2"/>
      <c r="E756" s="2"/>
    </row>
    <row r="757" spans="2:5" ht="15.75" customHeight="1">
      <c r="B757" s="2"/>
      <c r="C757" s="2"/>
      <c r="D757" s="2"/>
      <c r="E757" s="2"/>
    </row>
    <row r="758" spans="2:5" ht="15.75" customHeight="1">
      <c r="B758" s="2"/>
      <c r="C758" s="2"/>
      <c r="D758" s="2"/>
      <c r="E758" s="2"/>
    </row>
    <row r="759" spans="2:5" ht="15.75" customHeight="1">
      <c r="B759" s="2"/>
      <c r="C759" s="2"/>
      <c r="D759" s="2"/>
      <c r="E759" s="2"/>
    </row>
    <row r="760" spans="2:5" ht="15.75" customHeight="1">
      <c r="B760" s="2"/>
      <c r="C760" s="2"/>
      <c r="D760" s="2"/>
      <c r="E760" s="2"/>
    </row>
    <row r="761" spans="2:5" ht="15.75" customHeight="1">
      <c r="B761" s="2"/>
      <c r="C761" s="2"/>
      <c r="D761" s="2"/>
      <c r="E761" s="2"/>
    </row>
    <row r="762" spans="2:5" ht="15.75" customHeight="1">
      <c r="B762" s="2"/>
      <c r="C762" s="2"/>
      <c r="D762" s="2"/>
      <c r="E762" s="2"/>
    </row>
    <row r="763" spans="2:5" ht="15.75" customHeight="1">
      <c r="B763" s="2"/>
      <c r="C763" s="2"/>
      <c r="D763" s="2"/>
      <c r="E763" s="2"/>
    </row>
    <row r="764" spans="2:5" ht="15.75" customHeight="1">
      <c r="B764" s="2"/>
      <c r="C764" s="2"/>
      <c r="D764" s="2"/>
      <c r="E764" s="2"/>
    </row>
    <row r="765" spans="2:5" ht="15.75" customHeight="1">
      <c r="B765" s="2"/>
      <c r="C765" s="2"/>
      <c r="D765" s="2"/>
      <c r="E765" s="2"/>
    </row>
    <row r="766" spans="2:5" ht="15.75" customHeight="1">
      <c r="B766" s="2"/>
      <c r="C766" s="2"/>
      <c r="D766" s="2"/>
      <c r="E766" s="2"/>
    </row>
    <row r="767" spans="2:5" ht="15.75" customHeight="1">
      <c r="B767" s="2"/>
      <c r="C767" s="2"/>
      <c r="D767" s="2"/>
      <c r="E767" s="2"/>
    </row>
    <row r="768" spans="2:5" ht="15.75" customHeight="1">
      <c r="B768" s="2"/>
      <c r="C768" s="2"/>
      <c r="D768" s="2"/>
      <c r="E768" s="2"/>
    </row>
    <row r="769" spans="2:5" ht="15.75" customHeight="1">
      <c r="B769" s="2"/>
      <c r="C769" s="2"/>
      <c r="D769" s="2"/>
      <c r="E769" s="2"/>
    </row>
    <row r="770" spans="2:5" ht="15.75" customHeight="1">
      <c r="B770" s="2"/>
      <c r="C770" s="2"/>
      <c r="D770" s="2"/>
      <c r="E770" s="2"/>
    </row>
    <row r="771" spans="2:5" ht="15.75" customHeight="1">
      <c r="B771" s="2"/>
      <c r="C771" s="2"/>
      <c r="D771" s="2"/>
      <c r="E771" s="2"/>
    </row>
    <row r="772" spans="2:5" ht="15.75" customHeight="1">
      <c r="B772" s="2"/>
      <c r="C772" s="2"/>
      <c r="D772" s="2"/>
      <c r="E772" s="2"/>
    </row>
    <row r="773" spans="2:5" ht="15.75" customHeight="1">
      <c r="B773" s="2"/>
      <c r="C773" s="2"/>
      <c r="D773" s="2"/>
      <c r="E773" s="2"/>
    </row>
    <row r="774" spans="2:5" ht="15.75" customHeight="1">
      <c r="B774" s="2"/>
      <c r="C774" s="2"/>
      <c r="D774" s="2"/>
      <c r="E774" s="2"/>
    </row>
    <row r="775" spans="2:5" ht="15.75" customHeight="1">
      <c r="B775" s="2"/>
      <c r="C775" s="2"/>
      <c r="D775" s="2"/>
      <c r="E775" s="2"/>
    </row>
    <row r="776" spans="2:5" ht="15.75" customHeight="1">
      <c r="B776" s="2"/>
      <c r="C776" s="2"/>
      <c r="D776" s="2"/>
      <c r="E776" s="2"/>
    </row>
    <row r="777" spans="2:5" ht="15.75" customHeight="1">
      <c r="B777" s="2"/>
      <c r="C777" s="2"/>
      <c r="D777" s="2"/>
      <c r="E777" s="2"/>
    </row>
    <row r="778" spans="2:5" ht="15.75" customHeight="1">
      <c r="B778" s="2"/>
      <c r="C778" s="2"/>
      <c r="D778" s="2"/>
      <c r="E778" s="2"/>
    </row>
    <row r="779" spans="2:5" ht="15.75" customHeight="1">
      <c r="B779" s="2"/>
      <c r="C779" s="2"/>
      <c r="D779" s="2"/>
      <c r="E779" s="2"/>
    </row>
    <row r="780" spans="2:5" ht="15.75" customHeight="1">
      <c r="B780" s="2"/>
      <c r="C780" s="2"/>
      <c r="D780" s="2"/>
      <c r="E780" s="2"/>
    </row>
    <row r="781" spans="2:5" ht="15.75" customHeight="1">
      <c r="B781" s="2"/>
      <c r="C781" s="2"/>
      <c r="D781" s="2"/>
      <c r="E781" s="2"/>
    </row>
    <row r="782" spans="2:5" ht="15.75" customHeight="1">
      <c r="B782" s="2"/>
      <c r="C782" s="2"/>
      <c r="D782" s="2"/>
      <c r="E782" s="2"/>
    </row>
    <row r="783" spans="2:5" ht="15.75" customHeight="1">
      <c r="B783" s="2"/>
      <c r="C783" s="2"/>
      <c r="D783" s="2"/>
      <c r="E783" s="2"/>
    </row>
    <row r="784" spans="2:5" ht="15.75" customHeight="1">
      <c r="B784" s="2"/>
      <c r="C784" s="2"/>
      <c r="D784" s="2"/>
      <c r="E784" s="2"/>
    </row>
    <row r="785" spans="2:5" ht="15.75" customHeight="1">
      <c r="B785" s="2"/>
      <c r="C785" s="2"/>
      <c r="D785" s="2"/>
      <c r="E785" s="2"/>
    </row>
    <row r="786" spans="2:5" ht="15.75" customHeight="1">
      <c r="B786" s="2"/>
      <c r="C786" s="2"/>
      <c r="D786" s="2"/>
      <c r="E786" s="2"/>
    </row>
    <row r="787" spans="2:5" ht="15.75" customHeight="1">
      <c r="B787" s="2"/>
      <c r="C787" s="2"/>
      <c r="D787" s="2"/>
      <c r="E787" s="2"/>
    </row>
    <row r="788" spans="2:5" ht="15.75" customHeight="1">
      <c r="B788" s="2"/>
      <c r="C788" s="2"/>
      <c r="D788" s="2"/>
      <c r="E788" s="2"/>
    </row>
    <row r="789" spans="2:5" ht="15.75" customHeight="1">
      <c r="B789" s="2"/>
      <c r="C789" s="2"/>
      <c r="D789" s="2"/>
      <c r="E789" s="2"/>
    </row>
    <row r="790" spans="2:5" ht="15.75" customHeight="1">
      <c r="B790" s="2"/>
      <c r="C790" s="2"/>
      <c r="D790" s="2"/>
      <c r="E790" s="2"/>
    </row>
    <row r="791" spans="2:5" ht="15.75" customHeight="1">
      <c r="B791" s="2"/>
      <c r="C791" s="2"/>
      <c r="D791" s="2"/>
      <c r="E791" s="2"/>
    </row>
    <row r="792" spans="2:5" ht="15.75" customHeight="1">
      <c r="B792" s="2"/>
      <c r="C792" s="2"/>
      <c r="D792" s="2"/>
      <c r="E792" s="2"/>
    </row>
    <row r="793" spans="2:5" ht="15.75" customHeight="1">
      <c r="B793" s="2"/>
      <c r="C793" s="2"/>
      <c r="D793" s="2"/>
      <c r="E793" s="2"/>
    </row>
    <row r="794" spans="2:5" ht="15.75" customHeight="1">
      <c r="B794" s="2"/>
      <c r="C794" s="2"/>
      <c r="D794" s="2"/>
      <c r="E794" s="2"/>
    </row>
    <row r="795" spans="2:5" ht="15.75" customHeight="1">
      <c r="B795" s="2"/>
      <c r="C795" s="2"/>
      <c r="D795" s="2"/>
      <c r="E795" s="2"/>
    </row>
    <row r="796" spans="2:5" ht="15.75" customHeight="1">
      <c r="B796" s="2"/>
      <c r="C796" s="2"/>
      <c r="D796" s="2"/>
      <c r="E796" s="2"/>
    </row>
    <row r="797" spans="2:5" ht="15.75" customHeight="1">
      <c r="B797" s="2"/>
      <c r="C797" s="2"/>
      <c r="D797" s="2"/>
      <c r="E797" s="2"/>
    </row>
    <row r="798" spans="2:5" ht="15.75" customHeight="1">
      <c r="B798" s="2"/>
      <c r="C798" s="2"/>
      <c r="D798" s="2"/>
      <c r="E798" s="2"/>
    </row>
    <row r="799" spans="2:5" ht="15.75" customHeight="1">
      <c r="B799" s="2"/>
      <c r="C799" s="2"/>
      <c r="D799" s="2"/>
      <c r="E799" s="2"/>
    </row>
    <row r="800" spans="2:5" ht="15.75" customHeight="1">
      <c r="B800" s="2"/>
      <c r="C800" s="2"/>
      <c r="D800" s="2"/>
      <c r="E800" s="2"/>
    </row>
    <row r="801" spans="2:5" ht="15.75" customHeight="1">
      <c r="B801" s="2"/>
      <c r="C801" s="2"/>
      <c r="D801" s="2"/>
      <c r="E801" s="2"/>
    </row>
    <row r="802" spans="2:5" ht="15.75" customHeight="1">
      <c r="B802" s="2"/>
      <c r="C802" s="2"/>
      <c r="D802" s="2"/>
      <c r="E802" s="2"/>
    </row>
    <row r="803" spans="2:5" ht="15.75" customHeight="1">
      <c r="B803" s="2"/>
      <c r="C803" s="2"/>
      <c r="D803" s="2"/>
      <c r="E803" s="2"/>
    </row>
    <row r="804" spans="2:5" ht="15.75" customHeight="1">
      <c r="B804" s="2"/>
      <c r="C804" s="2"/>
      <c r="D804" s="2"/>
      <c r="E804" s="2"/>
    </row>
    <row r="805" spans="2:5" ht="15.75" customHeight="1">
      <c r="B805" s="2"/>
      <c r="C805" s="2"/>
      <c r="D805" s="2"/>
      <c r="E805" s="2"/>
    </row>
    <row r="806" spans="2:5" ht="15.75" customHeight="1">
      <c r="B806" s="2"/>
      <c r="C806" s="2"/>
      <c r="D806" s="2"/>
      <c r="E806" s="2"/>
    </row>
    <row r="807" spans="2:5" ht="15.75" customHeight="1">
      <c r="B807" s="2"/>
      <c r="C807" s="2"/>
      <c r="D807" s="2"/>
      <c r="E807" s="2"/>
    </row>
    <row r="808" spans="2:5" ht="15.75" customHeight="1">
      <c r="B808" s="2"/>
      <c r="C808" s="2"/>
      <c r="D808" s="2"/>
      <c r="E808" s="2"/>
    </row>
    <row r="809" spans="2:5" ht="15.75" customHeight="1">
      <c r="B809" s="2"/>
      <c r="C809" s="2"/>
      <c r="D809" s="2"/>
      <c r="E809" s="2"/>
    </row>
    <row r="810" spans="2:5" ht="15.75" customHeight="1">
      <c r="B810" s="2"/>
      <c r="C810" s="2"/>
      <c r="D810" s="2"/>
      <c r="E810" s="2"/>
    </row>
    <row r="811" spans="2:5" ht="15.75" customHeight="1">
      <c r="B811" s="2"/>
      <c r="C811" s="2"/>
      <c r="D811" s="2"/>
      <c r="E811" s="2"/>
    </row>
    <row r="812" spans="2:5" ht="15.75" customHeight="1">
      <c r="B812" s="2"/>
      <c r="C812" s="2"/>
      <c r="D812" s="2"/>
      <c r="E812" s="2"/>
    </row>
    <row r="813" spans="2:5" ht="15.75" customHeight="1">
      <c r="B813" s="2"/>
      <c r="C813" s="2"/>
      <c r="D813" s="2"/>
      <c r="E813" s="2"/>
    </row>
    <row r="814" spans="2:5" ht="15.75" customHeight="1">
      <c r="B814" s="2"/>
      <c r="C814" s="2"/>
      <c r="D814" s="2"/>
      <c r="E814" s="2"/>
    </row>
    <row r="815" spans="2:5" ht="15.75" customHeight="1">
      <c r="B815" s="2"/>
      <c r="C815" s="2"/>
      <c r="D815" s="2"/>
      <c r="E815" s="2"/>
    </row>
    <row r="816" spans="2:5" ht="15.75" customHeight="1">
      <c r="B816" s="2"/>
      <c r="C816" s="2"/>
      <c r="D816" s="2"/>
      <c r="E816" s="2"/>
    </row>
    <row r="817" spans="2:5" ht="15.75" customHeight="1">
      <c r="B817" s="2"/>
      <c r="C817" s="2"/>
      <c r="D817" s="2"/>
      <c r="E817" s="2"/>
    </row>
    <row r="818" spans="2:5" ht="15.75" customHeight="1">
      <c r="B818" s="2"/>
      <c r="C818" s="2"/>
      <c r="D818" s="2"/>
      <c r="E818" s="2"/>
    </row>
    <row r="819" spans="2:5" ht="15.75" customHeight="1">
      <c r="B819" s="2"/>
      <c r="C819" s="2"/>
      <c r="D819" s="2"/>
      <c r="E819" s="2"/>
    </row>
    <row r="820" spans="2:5" ht="15.75" customHeight="1">
      <c r="B820" s="2"/>
      <c r="C820" s="2"/>
      <c r="D820" s="2"/>
      <c r="E820" s="2"/>
    </row>
    <row r="821" spans="2:5" ht="15.75" customHeight="1">
      <c r="B821" s="2"/>
      <c r="C821" s="2"/>
      <c r="D821" s="2"/>
      <c r="E821" s="2"/>
    </row>
    <row r="822" spans="2:5" ht="15.75" customHeight="1">
      <c r="B822" s="2"/>
      <c r="C822" s="2"/>
      <c r="D822" s="2"/>
      <c r="E822" s="2"/>
    </row>
    <row r="823" spans="2:5" ht="15.75" customHeight="1">
      <c r="B823" s="2"/>
      <c r="C823" s="2"/>
      <c r="D823" s="2"/>
      <c r="E823" s="2"/>
    </row>
    <row r="824" spans="2:5" ht="15.75" customHeight="1">
      <c r="B824" s="2"/>
      <c r="C824" s="2"/>
      <c r="D824" s="2"/>
      <c r="E824" s="2"/>
    </row>
    <row r="825" spans="2:5" ht="15.75" customHeight="1">
      <c r="B825" s="2"/>
      <c r="C825" s="2"/>
      <c r="D825" s="2"/>
      <c r="E825" s="2"/>
    </row>
    <row r="826" spans="2:5" ht="15.75" customHeight="1">
      <c r="B826" s="2"/>
      <c r="C826" s="2"/>
      <c r="D826" s="2"/>
      <c r="E826" s="2"/>
    </row>
    <row r="827" spans="2:5" ht="15.75" customHeight="1">
      <c r="B827" s="2"/>
      <c r="C827" s="2"/>
      <c r="D827" s="2"/>
      <c r="E827" s="2"/>
    </row>
    <row r="828" spans="2:5" ht="15.75" customHeight="1">
      <c r="B828" s="2"/>
      <c r="C828" s="2"/>
      <c r="D828" s="2"/>
      <c r="E828" s="2"/>
    </row>
    <row r="829" spans="2:5" ht="15.75" customHeight="1">
      <c r="B829" s="2"/>
      <c r="C829" s="2"/>
      <c r="D829" s="2"/>
      <c r="E829" s="2"/>
    </row>
    <row r="830" spans="2:5" ht="15.75" customHeight="1">
      <c r="B830" s="2"/>
      <c r="C830" s="2"/>
      <c r="D830" s="2"/>
      <c r="E830" s="2"/>
    </row>
    <row r="831" spans="2:5" ht="15.75" customHeight="1">
      <c r="B831" s="2"/>
      <c r="C831" s="2"/>
      <c r="D831" s="2"/>
      <c r="E831" s="2"/>
    </row>
    <row r="832" spans="2:5" ht="15.75" customHeight="1">
      <c r="B832" s="2"/>
      <c r="C832" s="2"/>
      <c r="D832" s="2"/>
      <c r="E832" s="2"/>
    </row>
    <row r="833" spans="2:5" ht="15.75" customHeight="1">
      <c r="B833" s="2"/>
      <c r="C833" s="2"/>
      <c r="D833" s="2"/>
      <c r="E833" s="2"/>
    </row>
    <row r="834" spans="2:5" ht="15.75" customHeight="1">
      <c r="B834" s="2"/>
      <c r="C834" s="2"/>
      <c r="D834" s="2"/>
      <c r="E834" s="2"/>
    </row>
    <row r="835" spans="2:5" ht="15.75" customHeight="1">
      <c r="B835" s="2"/>
      <c r="C835" s="2"/>
      <c r="D835" s="2"/>
      <c r="E835" s="2"/>
    </row>
    <row r="836" spans="2:5" ht="15.75" customHeight="1">
      <c r="B836" s="2"/>
      <c r="C836" s="2"/>
      <c r="D836" s="2"/>
      <c r="E836" s="2"/>
    </row>
    <row r="837" spans="2:5" ht="15.75" customHeight="1">
      <c r="B837" s="2"/>
      <c r="C837" s="2"/>
      <c r="D837" s="2"/>
      <c r="E837" s="2"/>
    </row>
    <row r="838" spans="2:5" ht="15.75" customHeight="1">
      <c r="B838" s="2"/>
      <c r="C838" s="2"/>
      <c r="D838" s="2"/>
      <c r="E838" s="2"/>
    </row>
    <row r="839" spans="2:5" ht="15.75" customHeight="1">
      <c r="B839" s="2"/>
      <c r="C839" s="2"/>
      <c r="D839" s="2"/>
      <c r="E839" s="2"/>
    </row>
    <row r="840" spans="2:5" ht="15.75" customHeight="1">
      <c r="B840" s="2"/>
      <c r="C840" s="2"/>
      <c r="D840" s="2"/>
      <c r="E840" s="2"/>
    </row>
    <row r="841" spans="2:5" ht="15.75" customHeight="1">
      <c r="B841" s="2"/>
      <c r="C841" s="2"/>
      <c r="D841" s="2"/>
      <c r="E841" s="2"/>
    </row>
    <row r="842" spans="2:5" ht="15.75" customHeight="1">
      <c r="B842" s="2"/>
      <c r="C842" s="2"/>
      <c r="D842" s="2"/>
      <c r="E842" s="2"/>
    </row>
    <row r="843" spans="2:5" ht="15.75" customHeight="1">
      <c r="B843" s="2"/>
      <c r="C843" s="2"/>
      <c r="D843" s="2"/>
      <c r="E843" s="2"/>
    </row>
    <row r="844" spans="2:5" ht="15.75" customHeight="1">
      <c r="B844" s="2"/>
      <c r="C844" s="2"/>
      <c r="D844" s="2"/>
      <c r="E844" s="2"/>
    </row>
    <row r="845" spans="2:5" ht="15.75" customHeight="1">
      <c r="B845" s="2"/>
      <c r="C845" s="2"/>
      <c r="D845" s="2"/>
      <c r="E845" s="2"/>
    </row>
    <row r="846" spans="2:5" ht="15.75" customHeight="1">
      <c r="B846" s="2"/>
      <c r="C846" s="2"/>
      <c r="D846" s="2"/>
      <c r="E846" s="2"/>
    </row>
    <row r="847" spans="2:5" ht="15.75" customHeight="1">
      <c r="B847" s="2"/>
      <c r="C847" s="2"/>
      <c r="D847" s="2"/>
      <c r="E847" s="2"/>
    </row>
    <row r="848" spans="2:5" ht="15.75" customHeight="1">
      <c r="B848" s="2"/>
      <c r="C848" s="2"/>
      <c r="D848" s="2"/>
      <c r="E848" s="2"/>
    </row>
    <row r="849" spans="2:5" ht="15.75" customHeight="1">
      <c r="B849" s="2"/>
      <c r="C849" s="2"/>
      <c r="D849" s="2"/>
      <c r="E849" s="2"/>
    </row>
    <row r="850" spans="2:5" ht="15.75" customHeight="1">
      <c r="B850" s="2"/>
      <c r="C850" s="2"/>
      <c r="D850" s="2"/>
      <c r="E850" s="2"/>
    </row>
    <row r="851" spans="2:5" ht="15.75" customHeight="1">
      <c r="B851" s="2"/>
      <c r="C851" s="2"/>
      <c r="D851" s="2"/>
      <c r="E851" s="2"/>
    </row>
    <row r="852" spans="2:5" ht="15.75" customHeight="1">
      <c r="B852" s="2"/>
      <c r="C852" s="2"/>
      <c r="D852" s="2"/>
      <c r="E852" s="2"/>
    </row>
    <row r="853" spans="2:5" ht="15.75" customHeight="1">
      <c r="B853" s="2"/>
      <c r="C853" s="2"/>
      <c r="D853" s="2"/>
      <c r="E853" s="2"/>
    </row>
    <row r="854" spans="2:5" ht="15.75" customHeight="1">
      <c r="B854" s="2"/>
      <c r="C854" s="2"/>
      <c r="D854" s="2"/>
      <c r="E854" s="2"/>
    </row>
    <row r="855" spans="2:5" ht="15.75" customHeight="1">
      <c r="B855" s="2"/>
      <c r="C855" s="2"/>
      <c r="D855" s="2"/>
      <c r="E855" s="2"/>
    </row>
    <row r="856" spans="2:5" ht="15.75" customHeight="1">
      <c r="B856" s="2"/>
      <c r="C856" s="2"/>
      <c r="D856" s="2"/>
      <c r="E856" s="2"/>
    </row>
    <row r="857" spans="2:5" ht="15.75" customHeight="1">
      <c r="B857" s="2"/>
      <c r="C857" s="2"/>
      <c r="D857" s="2"/>
      <c r="E857" s="2"/>
    </row>
    <row r="858" spans="2:5" ht="15.75" customHeight="1">
      <c r="B858" s="2"/>
      <c r="C858" s="2"/>
      <c r="D858" s="2"/>
      <c r="E858" s="2"/>
    </row>
    <row r="859" spans="2:5" ht="15.75" customHeight="1">
      <c r="B859" s="2"/>
      <c r="C859" s="2"/>
      <c r="D859" s="2"/>
      <c r="E859" s="2"/>
    </row>
    <row r="860" spans="2:5" ht="15.75" customHeight="1">
      <c r="B860" s="2"/>
      <c r="C860" s="2"/>
      <c r="D860" s="2"/>
      <c r="E860" s="2"/>
    </row>
    <row r="861" spans="2:5" ht="15.75" customHeight="1">
      <c r="B861" s="2"/>
      <c r="C861" s="2"/>
      <c r="D861" s="2"/>
      <c r="E861" s="2"/>
    </row>
    <row r="862" spans="2:5" ht="15.75" customHeight="1">
      <c r="B862" s="2"/>
      <c r="C862" s="2"/>
      <c r="D862" s="2"/>
      <c r="E862" s="2"/>
    </row>
    <row r="863" spans="2:5" ht="15.75" customHeight="1">
      <c r="B863" s="2"/>
      <c r="C863" s="2"/>
      <c r="D863" s="2"/>
      <c r="E863" s="2"/>
    </row>
    <row r="864" spans="2:5" ht="15.75" customHeight="1">
      <c r="B864" s="2"/>
      <c r="C864" s="2"/>
      <c r="D864" s="2"/>
      <c r="E864" s="2"/>
    </row>
    <row r="865" spans="2:5" ht="15.75" customHeight="1">
      <c r="B865" s="2"/>
      <c r="C865" s="2"/>
      <c r="D865" s="2"/>
      <c r="E865" s="2"/>
    </row>
    <row r="866" spans="2:5" ht="15.75" customHeight="1">
      <c r="B866" s="2"/>
      <c r="C866" s="2"/>
      <c r="D866" s="2"/>
      <c r="E866" s="2"/>
    </row>
    <row r="867" spans="2:5" ht="15.75" customHeight="1">
      <c r="B867" s="2"/>
      <c r="C867" s="2"/>
      <c r="D867" s="2"/>
      <c r="E867" s="2"/>
    </row>
    <row r="868" spans="2:5" ht="15.75" customHeight="1">
      <c r="B868" s="2"/>
      <c r="C868" s="2"/>
      <c r="D868" s="2"/>
      <c r="E868" s="2"/>
    </row>
    <row r="869" spans="2:5" ht="15.75" customHeight="1">
      <c r="B869" s="2"/>
      <c r="C869" s="2"/>
      <c r="D869" s="2"/>
      <c r="E869" s="2"/>
    </row>
    <row r="870" spans="2:5" ht="15.75" customHeight="1">
      <c r="B870" s="2"/>
      <c r="C870" s="2"/>
      <c r="D870" s="2"/>
      <c r="E870" s="2"/>
    </row>
    <row r="871" spans="2:5" ht="15.75" customHeight="1">
      <c r="B871" s="2"/>
      <c r="C871" s="2"/>
      <c r="D871" s="2"/>
      <c r="E871" s="2"/>
    </row>
    <row r="872" spans="2:5" ht="15.75" customHeight="1">
      <c r="B872" s="2"/>
      <c r="C872" s="2"/>
      <c r="D872" s="2"/>
      <c r="E872" s="2"/>
    </row>
    <row r="873" spans="2:5" ht="15.75" customHeight="1">
      <c r="B873" s="2"/>
      <c r="C873" s="2"/>
      <c r="D873" s="2"/>
      <c r="E873" s="2"/>
    </row>
    <row r="874" spans="2:5" ht="15.75" customHeight="1">
      <c r="B874" s="2"/>
      <c r="C874" s="2"/>
      <c r="D874" s="2"/>
      <c r="E874" s="2"/>
    </row>
    <row r="875" spans="2:5" ht="15.75" customHeight="1">
      <c r="B875" s="2"/>
      <c r="C875" s="2"/>
      <c r="D875" s="2"/>
      <c r="E875" s="2"/>
    </row>
    <row r="876" spans="2:5" ht="15.75" customHeight="1">
      <c r="B876" s="2"/>
      <c r="C876" s="2"/>
      <c r="D876" s="2"/>
      <c r="E876" s="2"/>
    </row>
    <row r="877" spans="2:5" ht="15.75" customHeight="1">
      <c r="B877" s="2"/>
      <c r="C877" s="2"/>
      <c r="D877" s="2"/>
      <c r="E877" s="2"/>
    </row>
    <row r="878" spans="2:5" ht="15.75" customHeight="1">
      <c r="B878" s="2"/>
      <c r="C878" s="2"/>
      <c r="D878" s="2"/>
      <c r="E878" s="2"/>
    </row>
    <row r="879" spans="2:5" ht="15.75" customHeight="1">
      <c r="B879" s="2"/>
      <c r="C879" s="2"/>
      <c r="D879" s="2"/>
      <c r="E879" s="2"/>
    </row>
    <row r="880" spans="2:5" ht="15.75" customHeight="1">
      <c r="B880" s="2"/>
      <c r="C880" s="2"/>
      <c r="D880" s="2"/>
      <c r="E880" s="2"/>
    </row>
    <row r="881" spans="2:5" ht="15.75" customHeight="1">
      <c r="B881" s="2"/>
      <c r="C881" s="2"/>
      <c r="D881" s="2"/>
      <c r="E881" s="2"/>
    </row>
    <row r="882" spans="2:5" ht="15.75" customHeight="1">
      <c r="B882" s="2"/>
      <c r="C882" s="2"/>
      <c r="D882" s="2"/>
      <c r="E882" s="2"/>
    </row>
    <row r="883" spans="2:5" ht="15.75" customHeight="1">
      <c r="B883" s="2"/>
      <c r="C883" s="2"/>
      <c r="D883" s="2"/>
      <c r="E883" s="2"/>
    </row>
    <row r="884" spans="2:5" ht="15.75" customHeight="1">
      <c r="B884" s="2"/>
      <c r="C884" s="2"/>
      <c r="D884" s="2"/>
      <c r="E884" s="2"/>
    </row>
    <row r="885" spans="2:5" ht="15.75" customHeight="1">
      <c r="B885" s="2"/>
      <c r="C885" s="2"/>
      <c r="D885" s="2"/>
      <c r="E885" s="2"/>
    </row>
    <row r="886" spans="2:5" ht="15.75" customHeight="1">
      <c r="B886" s="2"/>
      <c r="C886" s="2"/>
      <c r="D886" s="2"/>
      <c r="E886" s="2"/>
    </row>
    <row r="887" spans="2:5" ht="15.75" customHeight="1">
      <c r="B887" s="2"/>
      <c r="C887" s="2"/>
      <c r="D887" s="2"/>
      <c r="E887" s="2"/>
    </row>
    <row r="888" spans="2:5" ht="15.75" customHeight="1">
      <c r="B888" s="2"/>
      <c r="C888" s="2"/>
      <c r="D888" s="2"/>
      <c r="E888" s="2"/>
    </row>
    <row r="889" spans="2:5" ht="15.75" customHeight="1">
      <c r="B889" s="2"/>
      <c r="C889" s="2"/>
      <c r="D889" s="2"/>
      <c r="E889" s="2"/>
    </row>
    <row r="890" spans="2:5" ht="15.75" customHeight="1">
      <c r="B890" s="2"/>
      <c r="C890" s="2"/>
      <c r="D890" s="2"/>
      <c r="E890" s="2"/>
    </row>
    <row r="891" spans="2:5" ht="15.75" customHeight="1">
      <c r="B891" s="2"/>
      <c r="C891" s="2"/>
      <c r="D891" s="2"/>
      <c r="E891" s="2"/>
    </row>
    <row r="892" spans="2:5" ht="15.75" customHeight="1">
      <c r="B892" s="2"/>
      <c r="C892" s="2"/>
      <c r="D892" s="2"/>
      <c r="E892" s="2"/>
    </row>
    <row r="893" spans="2:5" ht="15.75" customHeight="1">
      <c r="B893" s="2"/>
      <c r="C893" s="2"/>
      <c r="D893" s="2"/>
      <c r="E893" s="2"/>
    </row>
    <row r="894" spans="2:5" ht="15.75" customHeight="1">
      <c r="B894" s="2"/>
      <c r="C894" s="2"/>
      <c r="D894" s="2"/>
      <c r="E894" s="2"/>
    </row>
    <row r="895" spans="2:5" ht="15.75" customHeight="1">
      <c r="B895" s="2"/>
      <c r="C895" s="2"/>
      <c r="D895" s="2"/>
      <c r="E895" s="2"/>
    </row>
    <row r="896" spans="2:5" ht="15.75" customHeight="1">
      <c r="B896" s="2"/>
      <c r="C896" s="2"/>
      <c r="D896" s="2"/>
      <c r="E896" s="2"/>
    </row>
    <row r="897" spans="2:5" ht="15.75" customHeight="1">
      <c r="B897" s="2"/>
      <c r="C897" s="2"/>
      <c r="D897" s="2"/>
      <c r="E897" s="2"/>
    </row>
    <row r="898" spans="2:5" ht="15.75" customHeight="1">
      <c r="B898" s="2"/>
      <c r="C898" s="2"/>
      <c r="D898" s="2"/>
      <c r="E898" s="2"/>
    </row>
    <row r="899" spans="2:5" ht="15.75" customHeight="1">
      <c r="B899" s="2"/>
      <c r="C899" s="2"/>
      <c r="D899" s="2"/>
      <c r="E899" s="2"/>
    </row>
    <row r="900" spans="2:5" ht="15.75" customHeight="1">
      <c r="B900" s="2"/>
      <c r="C900" s="2"/>
      <c r="D900" s="2"/>
      <c r="E900" s="2"/>
    </row>
    <row r="901" spans="2:5" ht="15.75" customHeight="1">
      <c r="B901" s="2"/>
      <c r="C901" s="2"/>
      <c r="D901" s="2"/>
      <c r="E901" s="2"/>
    </row>
    <row r="902" spans="2:5" ht="15.75" customHeight="1">
      <c r="B902" s="2"/>
      <c r="C902" s="2"/>
      <c r="D902" s="2"/>
      <c r="E902" s="2"/>
    </row>
    <row r="903" spans="2:5" ht="15.75" customHeight="1">
      <c r="B903" s="2"/>
      <c r="C903" s="2"/>
      <c r="D903" s="2"/>
      <c r="E903" s="2"/>
    </row>
    <row r="904" spans="2:5" ht="15.75" customHeight="1">
      <c r="B904" s="2"/>
      <c r="C904" s="2"/>
      <c r="D904" s="2"/>
      <c r="E904" s="2"/>
    </row>
    <row r="905" spans="2:5" ht="15.75" customHeight="1">
      <c r="B905" s="2"/>
      <c r="C905" s="2"/>
      <c r="D905" s="2"/>
      <c r="E905" s="2"/>
    </row>
    <row r="906" spans="2:5" ht="15.75" customHeight="1">
      <c r="B906" s="2"/>
      <c r="C906" s="2"/>
      <c r="D906" s="2"/>
      <c r="E906" s="2"/>
    </row>
    <row r="907" spans="2:5" ht="15.75" customHeight="1">
      <c r="B907" s="2"/>
      <c r="C907" s="2"/>
      <c r="D907" s="2"/>
      <c r="E907" s="2"/>
    </row>
    <row r="908" spans="2:5" ht="15.75" customHeight="1">
      <c r="B908" s="2"/>
      <c r="C908" s="2"/>
      <c r="D908" s="2"/>
      <c r="E908" s="2"/>
    </row>
    <row r="909" spans="2:5" ht="15.75" customHeight="1">
      <c r="B909" s="2"/>
      <c r="C909" s="2"/>
      <c r="D909" s="2"/>
      <c r="E909" s="2"/>
    </row>
    <row r="910" spans="2:5" ht="15.75" customHeight="1">
      <c r="B910" s="2"/>
      <c r="C910" s="2"/>
      <c r="D910" s="2"/>
      <c r="E910" s="2"/>
    </row>
    <row r="911" spans="2:5" ht="15.75" customHeight="1">
      <c r="B911" s="2"/>
      <c r="C911" s="2"/>
      <c r="D911" s="2"/>
      <c r="E911" s="2"/>
    </row>
    <row r="912" spans="2:5" ht="15.75" customHeight="1">
      <c r="B912" s="2"/>
      <c r="C912" s="2"/>
      <c r="D912" s="2"/>
      <c r="E912" s="2"/>
    </row>
    <row r="913" spans="2:5" ht="15.75" customHeight="1">
      <c r="B913" s="2"/>
      <c r="C913" s="2"/>
      <c r="D913" s="2"/>
      <c r="E913" s="2"/>
    </row>
    <row r="914" spans="2:5" ht="15.75" customHeight="1">
      <c r="B914" s="2"/>
      <c r="C914" s="2"/>
      <c r="D914" s="2"/>
      <c r="E914" s="2"/>
    </row>
    <row r="915" spans="2:5" ht="15.75" customHeight="1">
      <c r="B915" s="2"/>
      <c r="C915" s="2"/>
      <c r="D915" s="2"/>
      <c r="E915" s="2"/>
    </row>
    <row r="916" spans="2:5" ht="15.75" customHeight="1">
      <c r="B916" s="2"/>
      <c r="C916" s="2"/>
      <c r="D916" s="2"/>
      <c r="E916" s="2"/>
    </row>
    <row r="917" spans="2:5" ht="15.75" customHeight="1">
      <c r="B917" s="2"/>
      <c r="C917" s="2"/>
      <c r="D917" s="2"/>
      <c r="E917" s="2"/>
    </row>
    <row r="918" spans="2:5" ht="15.75" customHeight="1">
      <c r="B918" s="2"/>
      <c r="C918" s="2"/>
      <c r="D918" s="2"/>
      <c r="E918" s="2"/>
    </row>
    <row r="919" spans="2:5" ht="15.75" customHeight="1">
      <c r="B919" s="2"/>
      <c r="C919" s="2"/>
      <c r="D919" s="2"/>
      <c r="E919" s="2"/>
    </row>
    <row r="920" spans="2:5" ht="15.75" customHeight="1">
      <c r="B920" s="2"/>
      <c r="C920" s="2"/>
      <c r="D920" s="2"/>
      <c r="E920" s="2"/>
    </row>
    <row r="921" spans="2:5" ht="15.75" customHeight="1">
      <c r="B921" s="2"/>
      <c r="C921" s="2"/>
      <c r="D921" s="2"/>
      <c r="E921" s="2"/>
    </row>
    <row r="922" spans="2:5" ht="15.75" customHeight="1">
      <c r="B922" s="2"/>
      <c r="C922" s="2"/>
      <c r="D922" s="2"/>
      <c r="E922" s="2"/>
    </row>
    <row r="923" spans="2:5" ht="15.75" customHeight="1">
      <c r="B923" s="2"/>
      <c r="C923" s="2"/>
      <c r="D923" s="2"/>
      <c r="E923" s="2"/>
    </row>
    <row r="924" spans="2:5" ht="15.75" customHeight="1">
      <c r="B924" s="2"/>
      <c r="C924" s="2"/>
      <c r="D924" s="2"/>
      <c r="E924" s="2"/>
    </row>
    <row r="925" spans="2:5" ht="15.75" customHeight="1">
      <c r="B925" s="2"/>
      <c r="C925" s="2"/>
      <c r="D925" s="2"/>
      <c r="E925" s="2"/>
    </row>
    <row r="926" spans="2:5" ht="15.75" customHeight="1">
      <c r="B926" s="2"/>
      <c r="C926" s="2"/>
      <c r="D926" s="2"/>
      <c r="E926" s="2"/>
    </row>
    <row r="927" spans="2:5" ht="15.75" customHeight="1">
      <c r="B927" s="2"/>
      <c r="C927" s="2"/>
      <c r="D927" s="2"/>
      <c r="E927" s="2"/>
    </row>
    <row r="928" spans="2:5" ht="15.75" customHeight="1">
      <c r="B928" s="2"/>
      <c r="C928" s="2"/>
      <c r="D928" s="2"/>
      <c r="E928" s="2"/>
    </row>
    <row r="929" spans="2:5" ht="15.75" customHeight="1">
      <c r="B929" s="2"/>
      <c r="C929" s="2"/>
      <c r="D929" s="2"/>
      <c r="E929" s="2"/>
    </row>
    <row r="930" spans="2:5" ht="15.75" customHeight="1">
      <c r="B930" s="2"/>
      <c r="C930" s="2"/>
      <c r="D930" s="2"/>
      <c r="E930" s="2"/>
    </row>
    <row r="931" spans="2:5" ht="15.75" customHeight="1">
      <c r="B931" s="2"/>
      <c r="C931" s="2"/>
      <c r="D931" s="2"/>
      <c r="E931" s="2"/>
    </row>
    <row r="932" spans="2:5" ht="15.75" customHeight="1">
      <c r="B932" s="2"/>
      <c r="C932" s="2"/>
      <c r="D932" s="2"/>
      <c r="E932" s="2"/>
    </row>
    <row r="933" spans="2:5" ht="15.75" customHeight="1">
      <c r="B933" s="2"/>
      <c r="C933" s="2"/>
      <c r="D933" s="2"/>
      <c r="E933" s="2"/>
    </row>
    <row r="934" spans="2:5" ht="15.75" customHeight="1">
      <c r="B934" s="2"/>
      <c r="C934" s="2"/>
      <c r="D934" s="2"/>
      <c r="E934" s="2"/>
    </row>
    <row r="935" spans="2:5" ht="15.75" customHeight="1">
      <c r="B935" s="2"/>
      <c r="C935" s="2"/>
      <c r="D935" s="2"/>
      <c r="E935" s="2"/>
    </row>
    <row r="936" spans="2:5" ht="15.75" customHeight="1">
      <c r="B936" s="2"/>
      <c r="C936" s="2"/>
      <c r="D936" s="2"/>
      <c r="E936" s="2"/>
    </row>
    <row r="937" spans="2:5" ht="15.75" customHeight="1">
      <c r="B937" s="2"/>
      <c r="C937" s="2"/>
      <c r="D937" s="2"/>
      <c r="E937" s="2"/>
    </row>
    <row r="938" spans="2:5" ht="15.75" customHeight="1">
      <c r="B938" s="2"/>
      <c r="C938" s="2"/>
      <c r="D938" s="2"/>
      <c r="E938" s="2"/>
    </row>
    <row r="939" spans="2:5" ht="15.75" customHeight="1">
      <c r="B939" s="2"/>
      <c r="C939" s="2"/>
      <c r="D939" s="2"/>
      <c r="E939" s="2"/>
    </row>
    <row r="940" spans="2:5" ht="15.75" customHeight="1">
      <c r="B940" s="2"/>
      <c r="C940" s="2"/>
      <c r="D940" s="2"/>
      <c r="E940" s="2"/>
    </row>
    <row r="941" spans="2:5" ht="15.75" customHeight="1">
      <c r="B941" s="2"/>
      <c r="C941" s="2"/>
      <c r="D941" s="2"/>
      <c r="E941" s="2"/>
    </row>
    <row r="942" spans="2:5" ht="15.75" customHeight="1">
      <c r="B942" s="2"/>
      <c r="C942" s="2"/>
      <c r="D942" s="2"/>
      <c r="E942" s="2"/>
    </row>
    <row r="943" spans="2:5" ht="15.75" customHeight="1">
      <c r="B943" s="2"/>
      <c r="C943" s="2"/>
      <c r="D943" s="2"/>
      <c r="E943" s="2"/>
    </row>
    <row r="944" spans="2:5" ht="15.75" customHeight="1">
      <c r="B944" s="2"/>
      <c r="C944" s="2"/>
      <c r="D944" s="2"/>
      <c r="E944" s="2"/>
    </row>
    <row r="945" spans="2:5" ht="15.75" customHeight="1">
      <c r="B945" s="2"/>
      <c r="C945" s="2"/>
      <c r="D945" s="2"/>
      <c r="E945" s="2"/>
    </row>
    <row r="946" spans="2:5" ht="15.75" customHeight="1">
      <c r="B946" s="2"/>
      <c r="C946" s="2"/>
      <c r="D946" s="2"/>
      <c r="E946" s="2"/>
    </row>
    <row r="947" spans="2:5" ht="15.75" customHeight="1">
      <c r="B947" s="2"/>
      <c r="C947" s="2"/>
      <c r="D947" s="2"/>
      <c r="E947" s="2"/>
    </row>
    <row r="948" spans="2:5" ht="15.75" customHeight="1">
      <c r="B948" s="2"/>
      <c r="C948" s="2"/>
      <c r="D948" s="2"/>
      <c r="E948" s="2"/>
    </row>
    <row r="949" spans="2:5" ht="15.75" customHeight="1">
      <c r="B949" s="2"/>
      <c r="C949" s="2"/>
      <c r="D949" s="2"/>
      <c r="E949" s="2"/>
    </row>
    <row r="950" spans="2:5" ht="15.75" customHeight="1">
      <c r="B950" s="2"/>
      <c r="C950" s="2"/>
      <c r="D950" s="2"/>
      <c r="E950" s="2"/>
    </row>
    <row r="951" spans="2:5" ht="15.75" customHeight="1">
      <c r="B951" s="2"/>
      <c r="C951" s="2"/>
      <c r="D951" s="2"/>
      <c r="E951" s="2"/>
    </row>
    <row r="952" spans="2:5" ht="15.75" customHeight="1">
      <c r="B952" s="2"/>
      <c r="C952" s="2"/>
      <c r="D952" s="2"/>
      <c r="E952" s="2"/>
    </row>
    <row r="953" spans="2:5" ht="15.75" customHeight="1">
      <c r="B953" s="2"/>
      <c r="C953" s="2"/>
      <c r="D953" s="2"/>
      <c r="E953" s="2"/>
    </row>
    <row r="954" spans="2:5" ht="15.75" customHeight="1">
      <c r="B954" s="2"/>
      <c r="C954" s="2"/>
      <c r="D954" s="2"/>
      <c r="E954" s="2"/>
    </row>
    <row r="955" spans="2:5" ht="15.75" customHeight="1">
      <c r="B955" s="2"/>
      <c r="C955" s="2"/>
      <c r="D955" s="2"/>
      <c r="E955" s="2"/>
    </row>
    <row r="956" spans="2:5" ht="15.75" customHeight="1">
      <c r="B956" s="2"/>
      <c r="C956" s="2"/>
      <c r="D956" s="2"/>
      <c r="E956" s="2"/>
    </row>
    <row r="957" spans="2:5" ht="15.75" customHeight="1">
      <c r="B957" s="2"/>
      <c r="C957" s="2"/>
      <c r="D957" s="2"/>
      <c r="E957" s="2"/>
    </row>
    <row r="958" spans="2:5" ht="15.75" customHeight="1">
      <c r="B958" s="2"/>
      <c r="C958" s="2"/>
      <c r="D958" s="2"/>
      <c r="E958" s="2"/>
    </row>
    <row r="959" spans="2:5" ht="15.75" customHeight="1">
      <c r="B959" s="2"/>
      <c r="C959" s="2"/>
      <c r="D959" s="2"/>
      <c r="E959" s="2"/>
    </row>
    <row r="960" spans="2:5" ht="15.75" customHeight="1">
      <c r="B960" s="2"/>
      <c r="C960" s="2"/>
      <c r="D960" s="2"/>
      <c r="E960" s="2"/>
    </row>
    <row r="961" spans="2:5" ht="15.75" customHeight="1">
      <c r="B961" s="2"/>
      <c r="C961" s="2"/>
      <c r="D961" s="2"/>
      <c r="E961" s="2"/>
    </row>
    <row r="962" spans="2:5" ht="15.75" customHeight="1">
      <c r="B962" s="2"/>
      <c r="C962" s="2"/>
      <c r="D962" s="2"/>
      <c r="E962" s="2"/>
    </row>
    <row r="963" spans="2:5" ht="15.75" customHeight="1">
      <c r="B963" s="2"/>
      <c r="C963" s="2"/>
      <c r="D963" s="2"/>
      <c r="E963" s="2"/>
    </row>
    <row r="964" spans="2:5" ht="15.75" customHeight="1">
      <c r="B964" s="2"/>
      <c r="C964" s="2"/>
      <c r="D964" s="2"/>
      <c r="E964" s="2"/>
    </row>
    <row r="965" spans="2:5" ht="15.75" customHeight="1">
      <c r="B965" s="2"/>
      <c r="C965" s="2"/>
      <c r="D965" s="2"/>
      <c r="E965" s="2"/>
    </row>
    <row r="966" spans="2:5" ht="15.75" customHeight="1">
      <c r="B966" s="2"/>
      <c r="C966" s="2"/>
      <c r="D966" s="2"/>
      <c r="E966" s="2"/>
    </row>
    <row r="967" spans="2:5" ht="15.75" customHeight="1">
      <c r="B967" s="2"/>
      <c r="C967" s="2"/>
      <c r="D967" s="2"/>
      <c r="E967" s="2"/>
    </row>
    <row r="968" spans="2:5" ht="15.75" customHeight="1">
      <c r="B968" s="2"/>
      <c r="C968" s="2"/>
      <c r="D968" s="2"/>
      <c r="E968" s="2"/>
    </row>
    <row r="969" spans="2:5" ht="15.75" customHeight="1">
      <c r="B969" s="2"/>
      <c r="C969" s="2"/>
      <c r="D969" s="2"/>
      <c r="E969" s="2"/>
    </row>
    <row r="970" spans="2:5" ht="15.75" customHeight="1">
      <c r="B970" s="2"/>
      <c r="C970" s="2"/>
      <c r="D970" s="2"/>
      <c r="E970" s="2"/>
    </row>
    <row r="971" spans="2:5" ht="15.75" customHeight="1">
      <c r="B971" s="2"/>
      <c r="C971" s="2"/>
      <c r="D971" s="2"/>
      <c r="E971" s="2"/>
    </row>
    <row r="972" spans="2:5" ht="15.75" customHeight="1">
      <c r="B972" s="2"/>
      <c r="C972" s="2"/>
      <c r="D972" s="2"/>
      <c r="E972" s="2"/>
    </row>
    <row r="973" spans="2:5" ht="15.75" customHeight="1">
      <c r="B973" s="2"/>
      <c r="C973" s="2"/>
      <c r="D973" s="2"/>
      <c r="E973" s="2"/>
    </row>
    <row r="974" spans="2:5" ht="15.75" customHeight="1">
      <c r="B974" s="2"/>
      <c r="C974" s="2"/>
      <c r="D974" s="2"/>
      <c r="E974" s="2"/>
    </row>
    <row r="975" spans="2:5" ht="15.75" customHeight="1">
      <c r="B975" s="2"/>
      <c r="C975" s="2"/>
      <c r="D975" s="2"/>
      <c r="E975" s="2"/>
    </row>
    <row r="976" spans="2:5" ht="15.75" customHeight="1">
      <c r="B976" s="2"/>
      <c r="C976" s="2"/>
      <c r="D976" s="2"/>
      <c r="E976" s="2"/>
    </row>
    <row r="977" spans="2:5" ht="15.75" customHeight="1">
      <c r="B977" s="2"/>
      <c r="C977" s="2"/>
      <c r="D977" s="2"/>
      <c r="E977" s="2"/>
    </row>
    <row r="978" spans="2:5" ht="15.75" customHeight="1">
      <c r="B978" s="2"/>
      <c r="C978" s="2"/>
      <c r="D978" s="2"/>
      <c r="E978" s="2"/>
    </row>
    <row r="979" spans="2:5" ht="15.75" customHeight="1">
      <c r="B979" s="2"/>
      <c r="C979" s="2"/>
      <c r="D979" s="2"/>
      <c r="E979" s="2"/>
    </row>
    <row r="980" spans="2:5" ht="15.75" customHeight="1">
      <c r="B980" s="2"/>
      <c r="C980" s="2"/>
      <c r="D980" s="2"/>
      <c r="E980" s="2"/>
    </row>
    <row r="981" spans="2:5" ht="15.75" customHeight="1">
      <c r="B981" s="2"/>
      <c r="C981" s="2"/>
      <c r="D981" s="2"/>
      <c r="E981" s="2"/>
    </row>
    <row r="982" spans="2:5" ht="15.75" customHeight="1">
      <c r="B982" s="2"/>
      <c r="C982" s="2"/>
      <c r="D982" s="2"/>
      <c r="E982" s="2"/>
    </row>
    <row r="983" spans="2:5" ht="15.75" customHeight="1">
      <c r="B983" s="2"/>
      <c r="C983" s="2"/>
      <c r="D983" s="2"/>
      <c r="E983" s="2"/>
    </row>
    <row r="984" spans="2:5" ht="15.75" customHeight="1">
      <c r="B984" s="2"/>
      <c r="C984" s="2"/>
      <c r="D984" s="2"/>
      <c r="E984" s="2"/>
    </row>
    <row r="985" spans="2:5" ht="15.75" customHeight="1">
      <c r="B985" s="2"/>
      <c r="C985" s="2"/>
      <c r="D985" s="2"/>
      <c r="E985" s="2"/>
    </row>
    <row r="986" spans="2:5" ht="15.75" customHeight="1">
      <c r="B986" s="2"/>
      <c r="C986" s="2"/>
      <c r="D986" s="2"/>
      <c r="E986" s="2"/>
    </row>
    <row r="987" spans="2:5" ht="15.75" customHeight="1">
      <c r="B987" s="2"/>
      <c r="C987" s="2"/>
      <c r="D987" s="2"/>
      <c r="E987" s="2"/>
    </row>
    <row r="988" spans="2:5" ht="15.75" customHeight="1">
      <c r="B988" s="2"/>
      <c r="C988" s="2"/>
      <c r="D988" s="2"/>
      <c r="E988" s="2"/>
    </row>
    <row r="989" spans="2:5" ht="15.75" customHeight="1">
      <c r="B989" s="2"/>
      <c r="C989" s="2"/>
      <c r="D989" s="2"/>
      <c r="E989" s="2"/>
    </row>
    <row r="990" spans="2:5" ht="15.75" customHeight="1">
      <c r="B990" s="2"/>
      <c r="C990" s="2"/>
      <c r="D990" s="2"/>
      <c r="E990" s="2"/>
    </row>
    <row r="991" spans="2:5" ht="15.75" customHeight="1">
      <c r="B991" s="2"/>
      <c r="C991" s="2"/>
      <c r="D991" s="2"/>
      <c r="E991" s="2"/>
    </row>
    <row r="992" spans="2:5" ht="15.75" customHeight="1">
      <c r="B992" s="2"/>
      <c r="C992" s="2"/>
      <c r="D992" s="2"/>
      <c r="E992" s="2"/>
    </row>
    <row r="993" spans="2:5" ht="15.75" customHeight="1">
      <c r="B993" s="2"/>
      <c r="C993" s="2"/>
      <c r="D993" s="2"/>
      <c r="E993" s="2"/>
    </row>
    <row r="994" spans="2:5" ht="15.75" customHeight="1">
      <c r="B994" s="2"/>
      <c r="C994" s="2"/>
      <c r="D994" s="2"/>
      <c r="E994" s="2"/>
    </row>
    <row r="995" spans="2:5" ht="15.75" customHeight="1">
      <c r="B995" s="2"/>
      <c r="C995" s="2"/>
      <c r="D995" s="2"/>
      <c r="E995" s="2"/>
    </row>
    <row r="996" spans="2:5" ht="15.75" customHeight="1">
      <c r="B996" s="2"/>
      <c r="C996" s="2"/>
      <c r="D996" s="2"/>
      <c r="E996" s="2"/>
    </row>
    <row r="997" spans="2:5" ht="15.75" customHeight="1">
      <c r="B997" s="2"/>
      <c r="C997" s="2"/>
      <c r="D997" s="2"/>
      <c r="E997" s="2"/>
    </row>
    <row r="998" spans="2:5" ht="15.75" customHeight="1">
      <c r="B998" s="2"/>
      <c r="C998" s="2"/>
      <c r="D998" s="2"/>
      <c r="E998" s="2"/>
    </row>
    <row r="999" spans="2:5" ht="15.75" customHeight="1">
      <c r="B999" s="2"/>
      <c r="C999" s="2"/>
      <c r="D999" s="2"/>
      <c r="E999" s="2"/>
    </row>
    <row r="1000" spans="2:5" ht="15.75" customHeight="1">
      <c r="B1000" s="2"/>
      <c r="C1000" s="2"/>
      <c r="D1000" s="2"/>
      <c r="E1000" s="2"/>
    </row>
  </sheetData>
  <mergeCells count="14">
    <mergeCell ref="A133:E133"/>
    <mergeCell ref="A147:E147"/>
    <mergeCell ref="A2:E2"/>
    <mergeCell ref="A4:E4"/>
    <mergeCell ref="A14:E14"/>
    <mergeCell ref="A31:E31"/>
    <mergeCell ref="A48:E48"/>
    <mergeCell ref="A59:E59"/>
    <mergeCell ref="A66:E66"/>
    <mergeCell ref="A73:E73"/>
    <mergeCell ref="A80:E80"/>
    <mergeCell ref="A94:E94"/>
    <mergeCell ref="A109:E109"/>
    <mergeCell ref="A122:E122"/>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abSelected="1" topLeftCell="D175" workbookViewId="0">
      <selection activeCell="K178" sqref="K178"/>
    </sheetView>
  </sheetViews>
  <sheetFormatPr defaultColWidth="14.42578125" defaultRowHeight="15" customHeight="1"/>
  <cols>
    <col min="1" max="1" width="12" customWidth="1"/>
    <col min="2" max="2" width="55" customWidth="1"/>
    <col min="3" max="3" width="8" customWidth="1"/>
    <col min="4" max="4" width="22" customWidth="1"/>
    <col min="5" max="5" width="18" customWidth="1"/>
    <col min="6" max="6" width="14" customWidth="1"/>
    <col min="7" max="7" width="20" customWidth="1"/>
    <col min="8" max="8" width="18" customWidth="1"/>
    <col min="9" max="9" width="18.140625" customWidth="1"/>
    <col min="10" max="10" width="19.85546875" customWidth="1"/>
    <col min="11" max="11" width="83.5703125" customWidth="1"/>
    <col min="12" max="26" width="8.7109375" customWidth="1"/>
  </cols>
  <sheetData>
    <row r="1" spans="1:11" ht="17.25" customHeight="1">
      <c r="A1" s="1" t="s">
        <v>404</v>
      </c>
      <c r="B1" s="2"/>
      <c r="C1" s="2"/>
      <c r="D1" s="2"/>
      <c r="E1" s="2"/>
      <c r="F1" s="2"/>
      <c r="G1" s="2"/>
      <c r="H1" s="2"/>
      <c r="I1" s="2"/>
      <c r="J1" s="2"/>
      <c r="K1" s="2"/>
    </row>
    <row r="2" spans="1:11" ht="15" customHeight="1">
      <c r="A2" s="41" t="s">
        <v>405</v>
      </c>
      <c r="B2" s="37"/>
      <c r="C2" s="37"/>
      <c r="D2" s="37"/>
      <c r="E2" s="37"/>
      <c r="F2" s="37"/>
      <c r="G2" s="37"/>
      <c r="H2" s="37"/>
      <c r="I2" s="37"/>
      <c r="J2" s="37"/>
      <c r="K2" s="37"/>
    </row>
    <row r="3" spans="1:11">
      <c r="A3" s="2"/>
      <c r="B3" s="2"/>
      <c r="C3" s="2"/>
      <c r="D3" s="2"/>
      <c r="E3" s="2"/>
      <c r="F3" s="2"/>
      <c r="G3" s="2"/>
      <c r="H3" s="2"/>
      <c r="I3" s="2"/>
      <c r="J3" s="2"/>
      <c r="K3" s="2"/>
    </row>
    <row r="4" spans="1:11" ht="39.75" customHeight="1">
      <c r="A4" s="5" t="s">
        <v>406</v>
      </c>
      <c r="B4" s="5" t="s">
        <v>407</v>
      </c>
      <c r="C4" s="5" t="s">
        <v>408</v>
      </c>
      <c r="D4" s="5" t="s">
        <v>409</v>
      </c>
      <c r="E4" s="5" t="s">
        <v>410</v>
      </c>
      <c r="F4" s="5" t="s">
        <v>411</v>
      </c>
      <c r="G4" s="5" t="s">
        <v>412</v>
      </c>
      <c r="H4" s="5" t="s">
        <v>413</v>
      </c>
      <c r="I4" s="5" t="s">
        <v>414</v>
      </c>
      <c r="J4" s="5" t="s">
        <v>415</v>
      </c>
      <c r="K4" s="5" t="s">
        <v>416</v>
      </c>
    </row>
    <row r="5" spans="1:11" ht="24" customHeight="1">
      <c r="A5" s="8" t="s">
        <v>417</v>
      </c>
      <c r="B5" s="8" t="s">
        <v>418</v>
      </c>
      <c r="C5" s="8">
        <v>2019</v>
      </c>
      <c r="D5" s="8" t="s">
        <v>205</v>
      </c>
      <c r="E5" s="8" t="s">
        <v>419</v>
      </c>
      <c r="F5" s="29">
        <v>46132</v>
      </c>
      <c r="G5" s="8" t="s">
        <v>420</v>
      </c>
      <c r="H5" s="8" t="s">
        <v>420</v>
      </c>
      <c r="I5" s="8" t="s">
        <v>421</v>
      </c>
      <c r="J5" s="8"/>
      <c r="K5" s="8" t="s">
        <v>422</v>
      </c>
    </row>
    <row r="6" spans="1:11" ht="15" customHeight="1">
      <c r="A6" s="8" t="s">
        <v>423</v>
      </c>
      <c r="B6" s="8" t="s">
        <v>424</v>
      </c>
      <c r="C6" s="8">
        <v>2019</v>
      </c>
      <c r="D6" s="8" t="s">
        <v>199</v>
      </c>
      <c r="E6" s="8" t="s">
        <v>425</v>
      </c>
      <c r="F6" s="29">
        <v>46132</v>
      </c>
      <c r="G6" s="8" t="s">
        <v>420</v>
      </c>
      <c r="H6" s="8" t="s">
        <v>420</v>
      </c>
      <c r="I6" s="8" t="s">
        <v>421</v>
      </c>
      <c r="J6" s="8"/>
      <c r="K6" s="8" t="s">
        <v>426</v>
      </c>
    </row>
    <row r="7" spans="1:11" ht="36" customHeight="1">
      <c r="A7" s="8" t="s">
        <v>427</v>
      </c>
      <c r="B7" s="8" t="s">
        <v>428</v>
      </c>
      <c r="C7" s="8">
        <v>2015</v>
      </c>
      <c r="D7" s="8" t="s">
        <v>205</v>
      </c>
      <c r="E7" s="8" t="s">
        <v>429</v>
      </c>
      <c r="F7" s="29">
        <v>46193</v>
      </c>
      <c r="G7" s="8" t="s">
        <v>420</v>
      </c>
      <c r="H7" s="8" t="s">
        <v>420</v>
      </c>
      <c r="I7" s="8" t="s">
        <v>421</v>
      </c>
      <c r="J7" s="8"/>
      <c r="K7" s="8" t="s">
        <v>430</v>
      </c>
    </row>
    <row r="8" spans="1:11" ht="24" customHeight="1">
      <c r="A8" s="8" t="s">
        <v>431</v>
      </c>
      <c r="B8" s="8" t="s">
        <v>432</v>
      </c>
      <c r="C8" s="8">
        <v>2006</v>
      </c>
      <c r="D8" s="8" t="s">
        <v>205</v>
      </c>
      <c r="E8" s="8" t="s">
        <v>433</v>
      </c>
      <c r="F8" s="29">
        <v>46193</v>
      </c>
      <c r="G8" s="8" t="s">
        <v>420</v>
      </c>
      <c r="H8" s="8" t="s">
        <v>420</v>
      </c>
      <c r="I8" s="8" t="s">
        <v>421</v>
      </c>
      <c r="J8" s="8"/>
      <c r="K8" s="8" t="s">
        <v>434</v>
      </c>
    </row>
    <row r="9" spans="1:11" ht="24" customHeight="1">
      <c r="A9" s="8" t="s">
        <v>435</v>
      </c>
      <c r="B9" s="8" t="s">
        <v>436</v>
      </c>
      <c r="C9" s="8">
        <v>2004</v>
      </c>
      <c r="D9" s="8" t="s">
        <v>205</v>
      </c>
      <c r="E9" s="8" t="s">
        <v>437</v>
      </c>
      <c r="F9" s="29">
        <v>46193</v>
      </c>
      <c r="G9" s="8" t="s">
        <v>420</v>
      </c>
      <c r="H9" s="8" t="s">
        <v>420</v>
      </c>
      <c r="I9" s="8" t="s">
        <v>421</v>
      </c>
      <c r="J9" s="8"/>
      <c r="K9" s="8" t="s">
        <v>438</v>
      </c>
    </row>
    <row r="10" spans="1:11" ht="36" customHeight="1">
      <c r="A10" s="8" t="s">
        <v>439</v>
      </c>
      <c r="B10" s="8" t="s">
        <v>440</v>
      </c>
      <c r="C10" s="8">
        <v>2013</v>
      </c>
      <c r="D10" s="8" t="s">
        <v>193</v>
      </c>
      <c r="E10" s="8" t="s">
        <v>441</v>
      </c>
      <c r="F10" s="29">
        <v>46193</v>
      </c>
      <c r="G10" s="8" t="s">
        <v>420</v>
      </c>
      <c r="H10" s="8" t="s">
        <v>420</v>
      </c>
      <c r="I10" s="8" t="s">
        <v>421</v>
      </c>
      <c r="J10" s="8"/>
      <c r="K10" s="8" t="s">
        <v>442</v>
      </c>
    </row>
    <row r="11" spans="1:11" ht="36" customHeight="1">
      <c r="A11" s="8" t="s">
        <v>443</v>
      </c>
      <c r="B11" s="8" t="s">
        <v>444</v>
      </c>
      <c r="C11" s="8">
        <v>2017</v>
      </c>
      <c r="D11" s="8" t="s">
        <v>193</v>
      </c>
      <c r="E11" s="8" t="s">
        <v>441</v>
      </c>
      <c r="F11" s="29">
        <v>46193</v>
      </c>
      <c r="G11" s="8" t="s">
        <v>420</v>
      </c>
      <c r="H11" s="8" t="s">
        <v>420</v>
      </c>
      <c r="I11" s="8" t="s">
        <v>421</v>
      </c>
      <c r="J11" s="8"/>
      <c r="K11" s="8" t="s">
        <v>445</v>
      </c>
    </row>
    <row r="12" spans="1:11" ht="33.75" customHeight="1">
      <c r="A12" s="8" t="s">
        <v>446</v>
      </c>
      <c r="B12" s="8" t="s">
        <v>447</v>
      </c>
      <c r="C12" s="8">
        <v>2016</v>
      </c>
      <c r="D12" s="8" t="s">
        <v>205</v>
      </c>
      <c r="E12" s="8" t="s">
        <v>448</v>
      </c>
      <c r="F12" s="29">
        <v>46193</v>
      </c>
      <c r="G12" s="8" t="s">
        <v>420</v>
      </c>
      <c r="H12" s="8" t="s">
        <v>420</v>
      </c>
      <c r="I12" s="8" t="s">
        <v>421</v>
      </c>
      <c r="J12" s="8"/>
      <c r="K12" s="8" t="s">
        <v>449</v>
      </c>
    </row>
    <row r="13" spans="1:11" ht="36" customHeight="1">
      <c r="A13" s="8" t="s">
        <v>450</v>
      </c>
      <c r="B13" s="8" t="s">
        <v>451</v>
      </c>
      <c r="C13" s="8">
        <v>2016</v>
      </c>
      <c r="D13" s="8" t="s">
        <v>202</v>
      </c>
      <c r="E13" s="8" t="s">
        <v>452</v>
      </c>
      <c r="F13" s="29">
        <v>46193</v>
      </c>
      <c r="G13" s="8" t="s">
        <v>420</v>
      </c>
      <c r="H13" s="8" t="s">
        <v>420</v>
      </c>
      <c r="I13" s="8" t="s">
        <v>421</v>
      </c>
      <c r="J13" s="8"/>
      <c r="K13" s="8" t="s">
        <v>453</v>
      </c>
    </row>
    <row r="14" spans="1:11" ht="48" customHeight="1">
      <c r="A14" s="8" t="s">
        <v>454</v>
      </c>
      <c r="B14" s="8" t="s">
        <v>455</v>
      </c>
      <c r="C14" s="8">
        <v>2019</v>
      </c>
      <c r="D14" s="8" t="s">
        <v>202</v>
      </c>
      <c r="E14" s="8" t="s">
        <v>452</v>
      </c>
      <c r="F14" s="29">
        <v>46193</v>
      </c>
      <c r="G14" s="8" t="s">
        <v>420</v>
      </c>
      <c r="H14" s="8" t="s">
        <v>420</v>
      </c>
      <c r="I14" s="8" t="s">
        <v>421</v>
      </c>
      <c r="J14" s="8"/>
      <c r="K14" s="8" t="s">
        <v>456</v>
      </c>
    </row>
    <row r="15" spans="1:11" ht="24" customHeight="1">
      <c r="A15" s="8" t="s">
        <v>457</v>
      </c>
      <c r="B15" s="8" t="s">
        <v>458</v>
      </c>
      <c r="C15" s="8">
        <v>2020</v>
      </c>
      <c r="D15" s="8" t="s">
        <v>199</v>
      </c>
      <c r="E15" s="8" t="s">
        <v>459</v>
      </c>
      <c r="F15" s="29">
        <v>46193</v>
      </c>
      <c r="G15" s="8" t="s">
        <v>420</v>
      </c>
      <c r="H15" s="8" t="s">
        <v>420</v>
      </c>
      <c r="I15" s="8" t="s">
        <v>421</v>
      </c>
      <c r="J15" s="8"/>
      <c r="K15" s="8" t="s">
        <v>460</v>
      </c>
    </row>
    <row r="16" spans="1:11" ht="24" customHeight="1">
      <c r="A16" s="8" t="s">
        <v>461</v>
      </c>
      <c r="B16" s="8" t="s">
        <v>462</v>
      </c>
      <c r="C16" s="8">
        <v>2016</v>
      </c>
      <c r="D16" s="8" t="s">
        <v>205</v>
      </c>
      <c r="E16" s="8" t="s">
        <v>463</v>
      </c>
      <c r="F16" s="29">
        <v>46193</v>
      </c>
      <c r="G16" s="8" t="s">
        <v>420</v>
      </c>
      <c r="H16" s="8" t="s">
        <v>420</v>
      </c>
      <c r="I16" s="8" t="s">
        <v>421</v>
      </c>
      <c r="J16" s="8"/>
      <c r="K16" s="8" t="s">
        <v>464</v>
      </c>
    </row>
    <row r="17" spans="1:11" ht="24" customHeight="1">
      <c r="A17" s="8" t="s">
        <v>465</v>
      </c>
      <c r="B17" s="8" t="s">
        <v>466</v>
      </c>
      <c r="C17" s="8">
        <v>2016</v>
      </c>
      <c r="D17" s="8" t="s">
        <v>193</v>
      </c>
      <c r="E17" s="8" t="s">
        <v>467</v>
      </c>
      <c r="F17" s="29">
        <v>46193</v>
      </c>
      <c r="G17" s="8" t="s">
        <v>420</v>
      </c>
      <c r="H17" s="8" t="s">
        <v>420</v>
      </c>
      <c r="I17" s="8" t="s">
        <v>421</v>
      </c>
      <c r="J17" s="8"/>
      <c r="K17" s="8" t="s">
        <v>468</v>
      </c>
    </row>
    <row r="18" spans="1:11" ht="24" customHeight="1">
      <c r="A18" s="8" t="s">
        <v>469</v>
      </c>
      <c r="B18" s="8" t="s">
        <v>470</v>
      </c>
      <c r="C18" s="8">
        <v>2014</v>
      </c>
      <c r="D18" s="8" t="s">
        <v>205</v>
      </c>
      <c r="E18" s="8" t="s">
        <v>471</v>
      </c>
      <c r="F18" s="29">
        <v>46193</v>
      </c>
      <c r="G18" s="8" t="s">
        <v>420</v>
      </c>
      <c r="H18" s="8" t="s">
        <v>420</v>
      </c>
      <c r="I18" s="8" t="s">
        <v>421</v>
      </c>
      <c r="J18" s="8"/>
      <c r="K18" s="8" t="s">
        <v>472</v>
      </c>
    </row>
    <row r="19" spans="1:11" ht="24" customHeight="1">
      <c r="A19" s="8" t="s">
        <v>473</v>
      </c>
      <c r="B19" s="8" t="s">
        <v>474</v>
      </c>
      <c r="C19" s="8">
        <v>2017</v>
      </c>
      <c r="D19" s="8" t="s">
        <v>205</v>
      </c>
      <c r="E19" s="8" t="s">
        <v>475</v>
      </c>
      <c r="F19" s="29">
        <v>46193</v>
      </c>
      <c r="G19" s="8" t="s">
        <v>420</v>
      </c>
      <c r="H19" s="8" t="s">
        <v>420</v>
      </c>
      <c r="I19" s="8" t="s">
        <v>421</v>
      </c>
      <c r="J19" s="8"/>
      <c r="K19" s="8" t="s">
        <v>476</v>
      </c>
    </row>
    <row r="20" spans="1:11" ht="48" customHeight="1">
      <c r="A20" s="8" t="s">
        <v>477</v>
      </c>
      <c r="B20" s="8" t="s">
        <v>478</v>
      </c>
      <c r="C20" s="8">
        <v>2019</v>
      </c>
      <c r="D20" s="8" t="s">
        <v>202</v>
      </c>
      <c r="E20" s="8" t="s">
        <v>479</v>
      </c>
      <c r="F20" s="29">
        <v>46193</v>
      </c>
      <c r="G20" s="8" t="s">
        <v>420</v>
      </c>
      <c r="H20" s="8" t="s">
        <v>420</v>
      </c>
      <c r="I20" s="8" t="s">
        <v>421</v>
      </c>
      <c r="J20" s="8"/>
      <c r="K20" s="8" t="s">
        <v>480</v>
      </c>
    </row>
    <row r="21" spans="1:11" ht="24" customHeight="1">
      <c r="A21" s="8" t="s">
        <v>481</v>
      </c>
      <c r="B21" s="8" t="s">
        <v>482</v>
      </c>
      <c r="C21" s="8">
        <v>2003</v>
      </c>
      <c r="D21" s="8" t="s">
        <v>205</v>
      </c>
      <c r="E21" s="8" t="s">
        <v>483</v>
      </c>
      <c r="F21" s="29">
        <v>46193</v>
      </c>
      <c r="G21" s="8" t="s">
        <v>420</v>
      </c>
      <c r="H21" s="8" t="s">
        <v>420</v>
      </c>
      <c r="I21" s="8" t="s">
        <v>421</v>
      </c>
      <c r="J21" s="8"/>
      <c r="K21" s="8" t="s">
        <v>484</v>
      </c>
    </row>
    <row r="22" spans="1:11" ht="36" customHeight="1">
      <c r="A22" s="8" t="s">
        <v>485</v>
      </c>
      <c r="B22" s="8" t="s">
        <v>486</v>
      </c>
      <c r="C22" s="8">
        <v>2017</v>
      </c>
      <c r="D22" s="8" t="s">
        <v>208</v>
      </c>
      <c r="E22" s="8" t="s">
        <v>487</v>
      </c>
      <c r="F22" s="29">
        <v>46193</v>
      </c>
      <c r="G22" s="8" t="s">
        <v>420</v>
      </c>
      <c r="H22" s="8" t="s">
        <v>420</v>
      </c>
      <c r="I22" s="8" t="s">
        <v>421</v>
      </c>
      <c r="J22" s="8"/>
      <c r="K22" s="8" t="s">
        <v>488</v>
      </c>
    </row>
    <row r="23" spans="1:11" ht="36" customHeight="1">
      <c r="A23" s="8" t="s">
        <v>489</v>
      </c>
      <c r="B23" s="8" t="s">
        <v>490</v>
      </c>
      <c r="C23" s="8">
        <v>2015</v>
      </c>
      <c r="D23" s="8" t="s">
        <v>205</v>
      </c>
      <c r="E23" s="8" t="s">
        <v>491</v>
      </c>
      <c r="F23" s="29">
        <v>46193</v>
      </c>
      <c r="G23" s="8" t="s">
        <v>420</v>
      </c>
      <c r="H23" s="8" t="s">
        <v>420</v>
      </c>
      <c r="I23" s="8" t="s">
        <v>421</v>
      </c>
      <c r="J23" s="8"/>
      <c r="K23" s="8" t="s">
        <v>492</v>
      </c>
    </row>
    <row r="24" spans="1:11" ht="48" customHeight="1">
      <c r="A24" s="8" t="s">
        <v>493</v>
      </c>
      <c r="B24" s="8" t="s">
        <v>494</v>
      </c>
      <c r="C24" s="8">
        <v>2017</v>
      </c>
      <c r="D24" s="8" t="s">
        <v>202</v>
      </c>
      <c r="E24" s="8" t="s">
        <v>495</v>
      </c>
      <c r="F24" s="29">
        <v>46193</v>
      </c>
      <c r="G24" s="8" t="s">
        <v>420</v>
      </c>
      <c r="H24" s="8" t="s">
        <v>420</v>
      </c>
      <c r="I24" s="8" t="s">
        <v>421</v>
      </c>
      <c r="J24" s="8"/>
      <c r="K24" s="8" t="s">
        <v>496</v>
      </c>
    </row>
    <row r="25" spans="1:11" ht="36" customHeight="1">
      <c r="A25" s="8" t="s">
        <v>497</v>
      </c>
      <c r="B25" s="8" t="s">
        <v>498</v>
      </c>
      <c r="C25" s="8">
        <v>2017</v>
      </c>
      <c r="D25" s="8" t="s">
        <v>202</v>
      </c>
      <c r="E25" s="8" t="s">
        <v>499</v>
      </c>
      <c r="F25" s="29">
        <v>46193</v>
      </c>
      <c r="G25" s="8" t="s">
        <v>420</v>
      </c>
      <c r="H25" s="8" t="s">
        <v>420</v>
      </c>
      <c r="I25" s="8" t="s">
        <v>421</v>
      </c>
      <c r="J25" s="8"/>
      <c r="K25" s="8" t="s">
        <v>500</v>
      </c>
    </row>
    <row r="26" spans="1:11" ht="36" customHeight="1">
      <c r="A26" s="8" t="s">
        <v>501</v>
      </c>
      <c r="B26" s="8" t="s">
        <v>502</v>
      </c>
      <c r="C26" s="8">
        <v>2017</v>
      </c>
      <c r="D26" s="8" t="s">
        <v>193</v>
      </c>
      <c r="E26" s="8" t="s">
        <v>503</v>
      </c>
      <c r="F26" s="29">
        <v>46193</v>
      </c>
      <c r="G26" s="8" t="s">
        <v>420</v>
      </c>
      <c r="H26" s="8" t="s">
        <v>420</v>
      </c>
      <c r="I26" s="8" t="s">
        <v>421</v>
      </c>
      <c r="J26" s="8"/>
      <c r="K26" s="8" t="s">
        <v>504</v>
      </c>
    </row>
    <row r="27" spans="1:11" ht="48" customHeight="1">
      <c r="A27" s="8" t="s">
        <v>505</v>
      </c>
      <c r="B27" s="8" t="s">
        <v>506</v>
      </c>
      <c r="C27" s="8">
        <v>2014</v>
      </c>
      <c r="D27" s="8" t="s">
        <v>193</v>
      </c>
      <c r="E27" s="8" t="s">
        <v>452</v>
      </c>
      <c r="F27" s="29">
        <v>46193</v>
      </c>
      <c r="G27" s="8" t="s">
        <v>420</v>
      </c>
      <c r="H27" s="8" t="s">
        <v>420</v>
      </c>
      <c r="I27" s="8" t="s">
        <v>421</v>
      </c>
      <c r="J27" s="8"/>
      <c r="K27" s="8" t="s">
        <v>507</v>
      </c>
    </row>
    <row r="28" spans="1:11" ht="48" customHeight="1">
      <c r="A28" s="8" t="s">
        <v>508</v>
      </c>
      <c r="B28" s="8" t="s">
        <v>509</v>
      </c>
      <c r="C28" s="8">
        <v>2014</v>
      </c>
      <c r="D28" s="8" t="s">
        <v>193</v>
      </c>
      <c r="E28" s="8" t="s">
        <v>441</v>
      </c>
      <c r="F28" s="29">
        <v>46193</v>
      </c>
      <c r="G28" s="8" t="s">
        <v>420</v>
      </c>
      <c r="H28" s="8" t="s">
        <v>420</v>
      </c>
      <c r="I28" s="8" t="s">
        <v>421</v>
      </c>
      <c r="J28" s="8"/>
      <c r="K28" s="8" t="s">
        <v>510</v>
      </c>
    </row>
    <row r="29" spans="1:11" ht="36" customHeight="1">
      <c r="A29" s="8" t="s">
        <v>511</v>
      </c>
      <c r="B29" s="8" t="s">
        <v>512</v>
      </c>
      <c r="C29" s="8">
        <v>2014</v>
      </c>
      <c r="D29" s="8" t="s">
        <v>205</v>
      </c>
      <c r="E29" s="8" t="s">
        <v>513</v>
      </c>
      <c r="F29" s="29">
        <v>46193</v>
      </c>
      <c r="G29" s="8" t="s">
        <v>420</v>
      </c>
      <c r="H29" s="8" t="s">
        <v>420</v>
      </c>
      <c r="I29" s="8" t="s">
        <v>421</v>
      </c>
      <c r="J29" s="8"/>
      <c r="K29" s="8" t="s">
        <v>514</v>
      </c>
    </row>
    <row r="30" spans="1:11" ht="48" customHeight="1">
      <c r="A30" s="8" t="s">
        <v>515</v>
      </c>
      <c r="B30" s="8" t="s">
        <v>516</v>
      </c>
      <c r="C30" s="8">
        <v>2022</v>
      </c>
      <c r="D30" s="8" t="s">
        <v>205</v>
      </c>
      <c r="E30" s="8" t="s">
        <v>517</v>
      </c>
      <c r="F30" s="29">
        <v>46193</v>
      </c>
      <c r="G30" s="8" t="s">
        <v>420</v>
      </c>
      <c r="H30" s="8" t="s">
        <v>420</v>
      </c>
      <c r="I30" s="8" t="s">
        <v>421</v>
      </c>
      <c r="J30" s="8"/>
      <c r="K30" s="8" t="s">
        <v>518</v>
      </c>
    </row>
    <row r="31" spans="1:11" ht="48" customHeight="1">
      <c r="A31" s="8" t="s">
        <v>519</v>
      </c>
      <c r="B31" s="8" t="s">
        <v>520</v>
      </c>
      <c r="C31" s="8">
        <v>2018</v>
      </c>
      <c r="D31" s="8" t="s">
        <v>196</v>
      </c>
      <c r="E31" s="8" t="s">
        <v>521</v>
      </c>
      <c r="F31" s="29">
        <v>46193</v>
      </c>
      <c r="G31" s="8" t="s">
        <v>420</v>
      </c>
      <c r="H31" s="8" t="s">
        <v>420</v>
      </c>
      <c r="I31" s="8" t="s">
        <v>421</v>
      </c>
      <c r="J31" s="8"/>
      <c r="K31" s="8" t="s">
        <v>522</v>
      </c>
    </row>
    <row r="32" spans="1:11" ht="48" customHeight="1">
      <c r="A32" s="8" t="s">
        <v>523</v>
      </c>
      <c r="B32" s="8" t="s">
        <v>524</v>
      </c>
      <c r="C32" s="8">
        <v>2016</v>
      </c>
      <c r="D32" s="8" t="s">
        <v>193</v>
      </c>
      <c r="E32" s="8" t="s">
        <v>525</v>
      </c>
      <c r="F32" s="29">
        <v>46193</v>
      </c>
      <c r="G32" s="8" t="s">
        <v>420</v>
      </c>
      <c r="H32" s="8" t="s">
        <v>420</v>
      </c>
      <c r="I32" s="8" t="s">
        <v>421</v>
      </c>
      <c r="J32" s="8"/>
      <c r="K32" s="8" t="s">
        <v>526</v>
      </c>
    </row>
    <row r="33" spans="1:11" ht="60" customHeight="1">
      <c r="A33" s="8" t="s">
        <v>527</v>
      </c>
      <c r="B33" s="8" t="s">
        <v>528</v>
      </c>
      <c r="C33" s="8">
        <v>2014</v>
      </c>
      <c r="D33" s="8" t="s">
        <v>202</v>
      </c>
      <c r="E33" s="8" t="s">
        <v>452</v>
      </c>
      <c r="F33" s="29">
        <v>46193</v>
      </c>
      <c r="G33" s="8" t="s">
        <v>420</v>
      </c>
      <c r="H33" s="8" t="s">
        <v>420</v>
      </c>
      <c r="I33" s="8" t="s">
        <v>421</v>
      </c>
      <c r="J33" s="8"/>
      <c r="K33" s="8" t="s">
        <v>529</v>
      </c>
    </row>
    <row r="34" spans="1:11" ht="48" customHeight="1">
      <c r="A34" s="8" t="s">
        <v>530</v>
      </c>
      <c r="B34" s="8" t="s">
        <v>531</v>
      </c>
      <c r="C34" s="8">
        <v>2012</v>
      </c>
      <c r="D34" s="8" t="s">
        <v>202</v>
      </c>
      <c r="E34" s="8" t="s">
        <v>532</v>
      </c>
      <c r="F34" s="29">
        <v>46193</v>
      </c>
      <c r="G34" s="8" t="s">
        <v>420</v>
      </c>
      <c r="H34" s="8" t="s">
        <v>420</v>
      </c>
      <c r="I34" s="8" t="s">
        <v>421</v>
      </c>
      <c r="J34" s="8"/>
      <c r="K34" s="8" t="s">
        <v>533</v>
      </c>
    </row>
    <row r="35" spans="1:11" ht="60" customHeight="1">
      <c r="A35" s="8" t="s">
        <v>534</v>
      </c>
      <c r="B35" s="8" t="s">
        <v>535</v>
      </c>
      <c r="C35" s="8">
        <v>2020</v>
      </c>
      <c r="D35" s="8" t="s">
        <v>202</v>
      </c>
      <c r="E35" s="8" t="s">
        <v>536</v>
      </c>
      <c r="F35" s="29">
        <v>46193</v>
      </c>
      <c r="G35" s="8" t="s">
        <v>420</v>
      </c>
      <c r="H35" s="8" t="s">
        <v>420</v>
      </c>
      <c r="I35" s="8" t="s">
        <v>421</v>
      </c>
      <c r="J35" s="8"/>
      <c r="K35" s="8" t="s">
        <v>537</v>
      </c>
    </row>
    <row r="36" spans="1:11" ht="48" customHeight="1">
      <c r="A36" s="8" t="s">
        <v>538</v>
      </c>
      <c r="B36" s="8" t="s">
        <v>539</v>
      </c>
      <c r="C36" s="8">
        <v>2018</v>
      </c>
      <c r="D36" s="8" t="s">
        <v>208</v>
      </c>
      <c r="E36" s="8" t="s">
        <v>540</v>
      </c>
      <c r="F36" s="29">
        <v>46193</v>
      </c>
      <c r="G36" s="8" t="s">
        <v>420</v>
      </c>
      <c r="H36" s="8" t="s">
        <v>420</v>
      </c>
      <c r="I36" s="8" t="s">
        <v>421</v>
      </c>
      <c r="J36" s="8"/>
      <c r="K36" s="8" t="s">
        <v>541</v>
      </c>
    </row>
    <row r="37" spans="1:11" ht="48" customHeight="1">
      <c r="A37" s="8" t="s">
        <v>542</v>
      </c>
      <c r="B37" s="8" t="s">
        <v>543</v>
      </c>
      <c r="C37" s="8">
        <v>2015</v>
      </c>
      <c r="D37" s="8" t="s">
        <v>205</v>
      </c>
      <c r="E37" s="8" t="s">
        <v>544</v>
      </c>
      <c r="F37" s="29">
        <v>46193</v>
      </c>
      <c r="G37" s="8" t="s">
        <v>420</v>
      </c>
      <c r="H37" s="8" t="s">
        <v>420</v>
      </c>
      <c r="I37" s="8" t="s">
        <v>421</v>
      </c>
      <c r="J37" s="8"/>
      <c r="K37" s="8" t="s">
        <v>545</v>
      </c>
    </row>
    <row r="38" spans="1:11" ht="48" customHeight="1">
      <c r="A38" s="8" t="s">
        <v>546</v>
      </c>
      <c r="B38" s="8" t="s">
        <v>547</v>
      </c>
      <c r="C38" s="8">
        <v>2013</v>
      </c>
      <c r="D38" s="8" t="s">
        <v>202</v>
      </c>
      <c r="E38" s="8" t="s">
        <v>548</v>
      </c>
      <c r="F38" s="29">
        <v>46193</v>
      </c>
      <c r="G38" s="8" t="s">
        <v>420</v>
      </c>
      <c r="H38" s="8" t="s">
        <v>420</v>
      </c>
      <c r="I38" s="8" t="s">
        <v>421</v>
      </c>
      <c r="J38" s="8"/>
      <c r="K38" s="8" t="s">
        <v>549</v>
      </c>
    </row>
    <row r="39" spans="1:11" ht="48" customHeight="1">
      <c r="A39" s="8" t="s">
        <v>550</v>
      </c>
      <c r="B39" s="8" t="s">
        <v>551</v>
      </c>
      <c r="C39" s="8">
        <v>2015</v>
      </c>
      <c r="D39" s="8" t="s">
        <v>193</v>
      </c>
      <c r="E39" s="8" t="s">
        <v>499</v>
      </c>
      <c r="F39" s="29">
        <v>46193</v>
      </c>
      <c r="G39" s="8" t="s">
        <v>420</v>
      </c>
      <c r="H39" s="8" t="s">
        <v>420</v>
      </c>
      <c r="I39" s="8" t="s">
        <v>421</v>
      </c>
      <c r="J39" s="8"/>
      <c r="K39" s="8" t="s">
        <v>552</v>
      </c>
    </row>
    <row r="40" spans="1:11" ht="60" customHeight="1">
      <c r="A40" s="8" t="s">
        <v>553</v>
      </c>
      <c r="B40" s="8" t="s">
        <v>554</v>
      </c>
      <c r="C40" s="8">
        <v>2019</v>
      </c>
      <c r="D40" s="8" t="s">
        <v>202</v>
      </c>
      <c r="E40" s="8" t="s">
        <v>452</v>
      </c>
      <c r="F40" s="29">
        <v>46193</v>
      </c>
      <c r="G40" s="8" t="s">
        <v>420</v>
      </c>
      <c r="H40" s="8" t="s">
        <v>420</v>
      </c>
      <c r="I40" s="8" t="s">
        <v>421</v>
      </c>
      <c r="J40" s="8"/>
      <c r="K40" s="8" t="s">
        <v>555</v>
      </c>
    </row>
    <row r="41" spans="1:11" ht="60" customHeight="1">
      <c r="A41" s="8" t="s">
        <v>556</v>
      </c>
      <c r="B41" s="8" t="s">
        <v>557</v>
      </c>
      <c r="C41" s="8">
        <v>2022</v>
      </c>
      <c r="D41" s="8" t="s">
        <v>193</v>
      </c>
      <c r="E41" s="8" t="s">
        <v>441</v>
      </c>
      <c r="F41" s="29">
        <v>46193</v>
      </c>
      <c r="G41" s="8" t="s">
        <v>420</v>
      </c>
      <c r="H41" s="8" t="s">
        <v>420</v>
      </c>
      <c r="I41" s="8" t="s">
        <v>421</v>
      </c>
      <c r="J41" s="8"/>
      <c r="K41" s="8" t="s">
        <v>558</v>
      </c>
    </row>
    <row r="42" spans="1:11" ht="60" customHeight="1">
      <c r="A42" s="8" t="s">
        <v>559</v>
      </c>
      <c r="B42" s="8" t="s">
        <v>560</v>
      </c>
      <c r="C42" s="8">
        <v>2017</v>
      </c>
      <c r="D42" s="8" t="s">
        <v>193</v>
      </c>
      <c r="E42" s="8" t="s">
        <v>561</v>
      </c>
      <c r="F42" s="29">
        <v>46193</v>
      </c>
      <c r="G42" s="8" t="s">
        <v>420</v>
      </c>
      <c r="H42" s="8" t="s">
        <v>420</v>
      </c>
      <c r="I42" s="8" t="s">
        <v>421</v>
      </c>
      <c r="J42" s="8"/>
      <c r="K42" s="8" t="s">
        <v>562</v>
      </c>
    </row>
    <row r="43" spans="1:11" ht="48" customHeight="1">
      <c r="A43" s="8" t="s">
        <v>563</v>
      </c>
      <c r="B43" s="8" t="s">
        <v>564</v>
      </c>
      <c r="C43" s="8">
        <v>2015</v>
      </c>
      <c r="D43" s="8" t="s">
        <v>193</v>
      </c>
      <c r="E43" s="8" t="s">
        <v>441</v>
      </c>
      <c r="F43" s="29">
        <v>46193</v>
      </c>
      <c r="G43" s="8" t="s">
        <v>420</v>
      </c>
      <c r="H43" s="8" t="s">
        <v>420</v>
      </c>
      <c r="I43" s="8" t="s">
        <v>421</v>
      </c>
      <c r="J43" s="8"/>
      <c r="K43" s="8" t="s">
        <v>565</v>
      </c>
    </row>
    <row r="44" spans="1:11" ht="60" customHeight="1">
      <c r="A44" s="8" t="s">
        <v>566</v>
      </c>
      <c r="B44" s="8" t="s">
        <v>567</v>
      </c>
      <c r="C44" s="8">
        <v>2020</v>
      </c>
      <c r="D44" s="8" t="s">
        <v>193</v>
      </c>
      <c r="E44" s="8" t="s">
        <v>568</v>
      </c>
      <c r="F44" s="29">
        <v>46193</v>
      </c>
      <c r="G44" s="8" t="s">
        <v>420</v>
      </c>
      <c r="H44" s="8" t="s">
        <v>420</v>
      </c>
      <c r="I44" s="8" t="s">
        <v>421</v>
      </c>
      <c r="J44" s="8"/>
      <c r="K44" s="8" t="s">
        <v>569</v>
      </c>
    </row>
    <row r="45" spans="1:11" ht="48" customHeight="1">
      <c r="A45" s="8" t="s">
        <v>570</v>
      </c>
      <c r="B45" s="8" t="s">
        <v>571</v>
      </c>
      <c r="C45" s="8">
        <v>2023</v>
      </c>
      <c r="D45" s="8" t="s">
        <v>193</v>
      </c>
      <c r="E45" s="8" t="s">
        <v>441</v>
      </c>
      <c r="F45" s="29">
        <v>46193</v>
      </c>
      <c r="G45" s="8" t="s">
        <v>420</v>
      </c>
      <c r="H45" s="8" t="s">
        <v>420</v>
      </c>
      <c r="I45" s="8" t="s">
        <v>421</v>
      </c>
      <c r="J45" s="8"/>
      <c r="K45" s="8" t="s">
        <v>572</v>
      </c>
    </row>
    <row r="46" spans="1:11" ht="60" customHeight="1">
      <c r="A46" s="8" t="s">
        <v>573</v>
      </c>
      <c r="B46" s="8" t="s">
        <v>574</v>
      </c>
      <c r="C46" s="8">
        <v>2022</v>
      </c>
      <c r="D46" s="8" t="s">
        <v>205</v>
      </c>
      <c r="E46" s="8" t="s">
        <v>575</v>
      </c>
      <c r="F46" s="29">
        <v>46193</v>
      </c>
      <c r="G46" s="8" t="s">
        <v>420</v>
      </c>
      <c r="H46" s="8" t="s">
        <v>420</v>
      </c>
      <c r="I46" s="8" t="s">
        <v>421</v>
      </c>
      <c r="J46" s="8"/>
      <c r="K46" s="8" t="s">
        <v>576</v>
      </c>
    </row>
    <row r="47" spans="1:11" ht="48" customHeight="1">
      <c r="A47" s="8" t="s">
        <v>577</v>
      </c>
      <c r="B47" s="8" t="s">
        <v>578</v>
      </c>
      <c r="C47" s="8">
        <v>2016</v>
      </c>
      <c r="D47" s="8" t="s">
        <v>205</v>
      </c>
      <c r="E47" s="8" t="s">
        <v>579</v>
      </c>
      <c r="F47" s="29">
        <v>46193</v>
      </c>
      <c r="G47" s="8" t="s">
        <v>420</v>
      </c>
      <c r="H47" s="8" t="s">
        <v>420</v>
      </c>
      <c r="I47" s="8" t="s">
        <v>421</v>
      </c>
      <c r="J47" s="8"/>
      <c r="K47" s="8" t="s">
        <v>580</v>
      </c>
    </row>
    <row r="48" spans="1:11" ht="36" customHeight="1">
      <c r="A48" s="8" t="s">
        <v>581</v>
      </c>
      <c r="B48" s="8" t="s">
        <v>582</v>
      </c>
      <c r="C48" s="8">
        <v>2013</v>
      </c>
      <c r="D48" s="8" t="s">
        <v>193</v>
      </c>
      <c r="E48" s="8" t="s">
        <v>583</v>
      </c>
      <c r="F48" s="29">
        <v>46193</v>
      </c>
      <c r="G48" s="8" t="s">
        <v>420</v>
      </c>
      <c r="H48" s="8" t="s">
        <v>420</v>
      </c>
      <c r="I48" s="8" t="s">
        <v>421</v>
      </c>
      <c r="J48" s="8"/>
      <c r="K48" s="8" t="s">
        <v>584</v>
      </c>
    </row>
    <row r="49" spans="1:11" ht="48" customHeight="1">
      <c r="A49" s="8" t="s">
        <v>585</v>
      </c>
      <c r="B49" s="8" t="s">
        <v>586</v>
      </c>
      <c r="C49" s="8">
        <v>2015</v>
      </c>
      <c r="D49" s="8" t="s">
        <v>193</v>
      </c>
      <c r="E49" s="8" t="s">
        <v>491</v>
      </c>
      <c r="F49" s="29">
        <v>46193</v>
      </c>
      <c r="G49" s="8" t="s">
        <v>420</v>
      </c>
      <c r="H49" s="8" t="s">
        <v>420</v>
      </c>
      <c r="I49" s="8" t="s">
        <v>421</v>
      </c>
      <c r="J49" s="8"/>
      <c r="K49" s="8" t="s">
        <v>587</v>
      </c>
    </row>
    <row r="50" spans="1:11" ht="48" customHeight="1">
      <c r="A50" s="8" t="s">
        <v>588</v>
      </c>
      <c r="B50" s="8" t="s">
        <v>589</v>
      </c>
      <c r="C50" s="8">
        <v>2014</v>
      </c>
      <c r="D50" s="8" t="s">
        <v>202</v>
      </c>
      <c r="E50" s="8" t="s">
        <v>452</v>
      </c>
      <c r="F50" s="29">
        <v>46193</v>
      </c>
      <c r="G50" s="8" t="s">
        <v>420</v>
      </c>
      <c r="H50" s="8" t="s">
        <v>420</v>
      </c>
      <c r="I50" s="8" t="s">
        <v>421</v>
      </c>
      <c r="J50" s="8"/>
      <c r="K50" s="8" t="s">
        <v>590</v>
      </c>
    </row>
    <row r="51" spans="1:11" ht="48" customHeight="1">
      <c r="A51" s="8" t="s">
        <v>591</v>
      </c>
      <c r="B51" s="8" t="s">
        <v>592</v>
      </c>
      <c r="C51" s="8">
        <v>2012</v>
      </c>
      <c r="D51" s="8" t="s">
        <v>202</v>
      </c>
      <c r="E51" s="8" t="s">
        <v>452</v>
      </c>
      <c r="F51" s="29">
        <v>46193</v>
      </c>
      <c r="G51" s="8" t="s">
        <v>420</v>
      </c>
      <c r="H51" s="8" t="s">
        <v>420</v>
      </c>
      <c r="I51" s="8" t="s">
        <v>421</v>
      </c>
      <c r="J51" s="8"/>
      <c r="K51" s="8" t="s">
        <v>593</v>
      </c>
    </row>
    <row r="52" spans="1:11" ht="48" customHeight="1">
      <c r="A52" s="8" t="s">
        <v>594</v>
      </c>
      <c r="B52" s="8" t="s">
        <v>595</v>
      </c>
      <c r="C52" s="8">
        <v>2014</v>
      </c>
      <c r="D52" s="8" t="s">
        <v>199</v>
      </c>
      <c r="E52" s="8" t="s">
        <v>596</v>
      </c>
      <c r="F52" s="29">
        <v>46193</v>
      </c>
      <c r="G52" s="8" t="s">
        <v>420</v>
      </c>
      <c r="H52" s="8" t="s">
        <v>420</v>
      </c>
      <c r="I52" s="8" t="s">
        <v>421</v>
      </c>
      <c r="J52" s="8"/>
      <c r="K52" s="8" t="s">
        <v>597</v>
      </c>
    </row>
    <row r="53" spans="1:11" ht="48" customHeight="1">
      <c r="A53" s="8" t="s">
        <v>598</v>
      </c>
      <c r="B53" s="8" t="s">
        <v>599</v>
      </c>
      <c r="C53" s="8">
        <v>2019</v>
      </c>
      <c r="D53" s="8" t="s">
        <v>193</v>
      </c>
      <c r="E53" s="8" t="s">
        <v>491</v>
      </c>
      <c r="F53" s="29">
        <v>46193</v>
      </c>
      <c r="G53" s="8" t="s">
        <v>420</v>
      </c>
      <c r="H53" s="8" t="s">
        <v>420</v>
      </c>
      <c r="I53" s="8" t="s">
        <v>421</v>
      </c>
      <c r="J53" s="8"/>
      <c r="K53" s="8" t="s">
        <v>600</v>
      </c>
    </row>
    <row r="54" spans="1:11" ht="48" customHeight="1">
      <c r="A54" s="8" t="s">
        <v>601</v>
      </c>
      <c r="B54" s="8" t="s">
        <v>602</v>
      </c>
      <c r="C54" s="8">
        <v>2008</v>
      </c>
      <c r="D54" s="8" t="s">
        <v>202</v>
      </c>
      <c r="E54" s="8" t="s">
        <v>532</v>
      </c>
      <c r="F54" s="29">
        <v>46193</v>
      </c>
      <c r="G54" s="8" t="s">
        <v>420</v>
      </c>
      <c r="H54" s="8" t="s">
        <v>420</v>
      </c>
      <c r="I54" s="8" t="s">
        <v>421</v>
      </c>
      <c r="J54" s="8"/>
      <c r="K54" s="8" t="s">
        <v>603</v>
      </c>
    </row>
    <row r="55" spans="1:11" ht="48" customHeight="1">
      <c r="A55" s="8" t="s">
        <v>604</v>
      </c>
      <c r="B55" s="8" t="s">
        <v>605</v>
      </c>
      <c r="C55" s="8">
        <v>2019</v>
      </c>
      <c r="D55" s="8" t="s">
        <v>193</v>
      </c>
      <c r="E55" s="8" t="s">
        <v>606</v>
      </c>
      <c r="F55" s="29">
        <v>46193</v>
      </c>
      <c r="G55" s="8" t="s">
        <v>420</v>
      </c>
      <c r="H55" s="8" t="s">
        <v>420</v>
      </c>
      <c r="I55" s="8" t="s">
        <v>421</v>
      </c>
      <c r="J55" s="8"/>
      <c r="K55" s="8" t="s">
        <v>607</v>
      </c>
    </row>
    <row r="56" spans="1:11" ht="48" customHeight="1">
      <c r="A56" s="8" t="s">
        <v>608</v>
      </c>
      <c r="B56" s="8" t="s">
        <v>609</v>
      </c>
      <c r="C56" s="8">
        <v>2014</v>
      </c>
      <c r="D56" s="8" t="s">
        <v>205</v>
      </c>
      <c r="E56" s="8" t="s">
        <v>610</v>
      </c>
      <c r="F56" s="29">
        <v>46193</v>
      </c>
      <c r="G56" s="8" t="s">
        <v>420</v>
      </c>
      <c r="H56" s="8" t="s">
        <v>420</v>
      </c>
      <c r="I56" s="8" t="s">
        <v>421</v>
      </c>
      <c r="J56" s="8"/>
      <c r="K56" s="8" t="s">
        <v>611</v>
      </c>
    </row>
    <row r="57" spans="1:11" ht="60" customHeight="1">
      <c r="A57" s="8" t="s">
        <v>612</v>
      </c>
      <c r="B57" s="8" t="s">
        <v>613</v>
      </c>
      <c r="C57" s="8">
        <v>2015</v>
      </c>
      <c r="D57" s="8" t="s">
        <v>193</v>
      </c>
      <c r="E57" s="8" t="s">
        <v>491</v>
      </c>
      <c r="F57" s="29">
        <v>46193</v>
      </c>
      <c r="G57" s="8" t="s">
        <v>420</v>
      </c>
      <c r="H57" s="8" t="s">
        <v>420</v>
      </c>
      <c r="I57" s="8" t="s">
        <v>421</v>
      </c>
      <c r="J57" s="8"/>
      <c r="K57" s="8" t="s">
        <v>614</v>
      </c>
    </row>
    <row r="58" spans="1:11" ht="60" customHeight="1">
      <c r="A58" s="8" t="s">
        <v>615</v>
      </c>
      <c r="B58" s="8" t="s">
        <v>616</v>
      </c>
      <c r="C58" s="8">
        <v>2017</v>
      </c>
      <c r="D58" s="8" t="s">
        <v>205</v>
      </c>
      <c r="E58" s="8" t="s">
        <v>617</v>
      </c>
      <c r="F58" s="29">
        <v>46193</v>
      </c>
      <c r="G58" s="8" t="s">
        <v>420</v>
      </c>
      <c r="H58" s="8" t="s">
        <v>420</v>
      </c>
      <c r="I58" s="8" t="s">
        <v>421</v>
      </c>
      <c r="J58" s="8"/>
      <c r="K58" s="8" t="s">
        <v>618</v>
      </c>
    </row>
    <row r="59" spans="1:11" ht="60" customHeight="1">
      <c r="A59" s="8" t="s">
        <v>619</v>
      </c>
      <c r="B59" s="8" t="s">
        <v>620</v>
      </c>
      <c r="C59" s="8">
        <v>2019</v>
      </c>
      <c r="D59" s="8" t="s">
        <v>202</v>
      </c>
      <c r="E59" s="8" t="s">
        <v>452</v>
      </c>
      <c r="F59" s="29">
        <v>46193</v>
      </c>
      <c r="G59" s="8" t="s">
        <v>420</v>
      </c>
      <c r="H59" s="8" t="s">
        <v>420</v>
      </c>
      <c r="I59" s="8" t="s">
        <v>421</v>
      </c>
      <c r="J59" s="8"/>
      <c r="K59" s="8" t="s">
        <v>621</v>
      </c>
    </row>
    <row r="60" spans="1:11" ht="48" customHeight="1">
      <c r="A60" s="8" t="s">
        <v>622</v>
      </c>
      <c r="B60" s="8" t="s">
        <v>623</v>
      </c>
      <c r="C60" s="8">
        <v>2018</v>
      </c>
      <c r="D60" s="8" t="s">
        <v>202</v>
      </c>
      <c r="E60" s="8" t="s">
        <v>624</v>
      </c>
      <c r="F60" s="29">
        <v>46193</v>
      </c>
      <c r="G60" s="8" t="s">
        <v>420</v>
      </c>
      <c r="H60" s="8" t="s">
        <v>420</v>
      </c>
      <c r="I60" s="8" t="s">
        <v>421</v>
      </c>
      <c r="J60" s="8"/>
      <c r="K60" s="8" t="s">
        <v>625</v>
      </c>
    </row>
    <row r="61" spans="1:11" ht="60" customHeight="1">
      <c r="A61" s="8" t="s">
        <v>626</v>
      </c>
      <c r="B61" s="8" t="s">
        <v>627</v>
      </c>
      <c r="C61" s="8">
        <v>2011</v>
      </c>
      <c r="D61" s="8" t="s">
        <v>205</v>
      </c>
      <c r="E61" s="8" t="s">
        <v>628</v>
      </c>
      <c r="F61" s="29">
        <v>46193</v>
      </c>
      <c r="G61" s="8" t="s">
        <v>420</v>
      </c>
      <c r="H61" s="8" t="s">
        <v>420</v>
      </c>
      <c r="I61" s="8" t="s">
        <v>421</v>
      </c>
      <c r="J61" s="8"/>
      <c r="K61" s="8" t="s">
        <v>629</v>
      </c>
    </row>
    <row r="62" spans="1:11" ht="60" customHeight="1">
      <c r="A62" s="8" t="s">
        <v>630</v>
      </c>
      <c r="B62" s="8" t="s">
        <v>631</v>
      </c>
      <c r="C62" s="8">
        <v>2013</v>
      </c>
      <c r="D62" s="8" t="s">
        <v>205</v>
      </c>
      <c r="E62" s="8" t="s">
        <v>632</v>
      </c>
      <c r="F62" s="29">
        <v>46193</v>
      </c>
      <c r="G62" s="8" t="s">
        <v>420</v>
      </c>
      <c r="H62" s="8" t="s">
        <v>420</v>
      </c>
      <c r="I62" s="8" t="s">
        <v>421</v>
      </c>
      <c r="J62" s="8"/>
      <c r="K62" s="8" t="s">
        <v>633</v>
      </c>
    </row>
    <row r="63" spans="1:11" ht="60" customHeight="1">
      <c r="A63" s="8" t="s">
        <v>634</v>
      </c>
      <c r="B63" s="8" t="s">
        <v>635</v>
      </c>
      <c r="C63" s="8">
        <v>2019</v>
      </c>
      <c r="D63" s="8" t="s">
        <v>205</v>
      </c>
      <c r="E63" s="8" t="s">
        <v>636</v>
      </c>
      <c r="F63" s="29">
        <v>46193</v>
      </c>
      <c r="G63" s="8" t="s">
        <v>420</v>
      </c>
      <c r="H63" s="8" t="s">
        <v>420</v>
      </c>
      <c r="I63" s="8" t="s">
        <v>421</v>
      </c>
      <c r="J63" s="8"/>
      <c r="K63" s="8" t="s">
        <v>637</v>
      </c>
    </row>
    <row r="64" spans="1:11" ht="48" customHeight="1">
      <c r="A64" s="8" t="s">
        <v>638</v>
      </c>
      <c r="B64" s="8" t="s">
        <v>639</v>
      </c>
      <c r="C64" s="8">
        <v>2014</v>
      </c>
      <c r="D64" s="8" t="s">
        <v>205</v>
      </c>
      <c r="E64" s="8" t="s">
        <v>640</v>
      </c>
      <c r="F64" s="29">
        <v>46193</v>
      </c>
      <c r="G64" s="8" t="s">
        <v>420</v>
      </c>
      <c r="H64" s="8" t="s">
        <v>420</v>
      </c>
      <c r="I64" s="8" t="s">
        <v>421</v>
      </c>
      <c r="J64" s="8"/>
      <c r="K64" s="8" t="s">
        <v>641</v>
      </c>
    </row>
    <row r="65" spans="1:11" ht="48" customHeight="1">
      <c r="A65" s="8" t="s">
        <v>642</v>
      </c>
      <c r="B65" s="8" t="s">
        <v>643</v>
      </c>
      <c r="C65" s="8">
        <v>2018</v>
      </c>
      <c r="D65" s="8" t="s">
        <v>205</v>
      </c>
      <c r="E65" s="8" t="s">
        <v>644</v>
      </c>
      <c r="F65" s="29">
        <v>46193</v>
      </c>
      <c r="G65" s="8" t="s">
        <v>420</v>
      </c>
      <c r="H65" s="8" t="s">
        <v>420</v>
      </c>
      <c r="I65" s="8" t="s">
        <v>421</v>
      </c>
      <c r="J65" s="8"/>
      <c r="K65" s="8" t="s">
        <v>645</v>
      </c>
    </row>
    <row r="66" spans="1:11" ht="72" customHeight="1">
      <c r="A66" s="8" t="s">
        <v>646</v>
      </c>
      <c r="B66" s="8" t="s">
        <v>647</v>
      </c>
      <c r="C66" s="8">
        <v>2019</v>
      </c>
      <c r="D66" s="8" t="s">
        <v>202</v>
      </c>
      <c r="E66" s="8" t="s">
        <v>452</v>
      </c>
      <c r="F66" s="29">
        <v>46193</v>
      </c>
      <c r="G66" s="8" t="s">
        <v>420</v>
      </c>
      <c r="H66" s="8" t="s">
        <v>420</v>
      </c>
      <c r="I66" s="8" t="s">
        <v>421</v>
      </c>
      <c r="J66" s="8"/>
      <c r="K66" s="8" t="s">
        <v>648</v>
      </c>
    </row>
    <row r="67" spans="1:11" ht="48" customHeight="1">
      <c r="A67" s="8" t="s">
        <v>649</v>
      </c>
      <c r="B67" s="8" t="s">
        <v>650</v>
      </c>
      <c r="C67" s="8">
        <v>2013</v>
      </c>
      <c r="D67" s="8" t="s">
        <v>205</v>
      </c>
      <c r="E67" s="8" t="s">
        <v>632</v>
      </c>
      <c r="F67" s="29">
        <v>46193</v>
      </c>
      <c r="G67" s="8" t="s">
        <v>420</v>
      </c>
      <c r="H67" s="8" t="s">
        <v>420</v>
      </c>
      <c r="I67" s="8" t="s">
        <v>421</v>
      </c>
      <c r="J67" s="8"/>
      <c r="K67" s="8" t="s">
        <v>651</v>
      </c>
    </row>
    <row r="68" spans="1:11" ht="48" customHeight="1">
      <c r="A68" s="8" t="s">
        <v>652</v>
      </c>
      <c r="B68" s="8" t="s">
        <v>653</v>
      </c>
      <c r="C68" s="8">
        <v>2018</v>
      </c>
      <c r="D68" s="8" t="s">
        <v>199</v>
      </c>
      <c r="E68" s="8" t="s">
        <v>654</v>
      </c>
      <c r="F68" s="29">
        <v>46193</v>
      </c>
      <c r="G68" s="8" t="s">
        <v>420</v>
      </c>
      <c r="H68" s="8" t="s">
        <v>420</v>
      </c>
      <c r="I68" s="8" t="s">
        <v>421</v>
      </c>
      <c r="J68" s="8"/>
      <c r="K68" s="8" t="s">
        <v>655</v>
      </c>
    </row>
    <row r="69" spans="1:11" ht="48" customHeight="1">
      <c r="A69" s="8" t="s">
        <v>656</v>
      </c>
      <c r="B69" s="8" t="s">
        <v>657</v>
      </c>
      <c r="C69" s="8">
        <v>2016</v>
      </c>
      <c r="D69" s="8" t="s">
        <v>196</v>
      </c>
      <c r="E69" s="8" t="s">
        <v>658</v>
      </c>
      <c r="F69" s="29">
        <v>46193</v>
      </c>
      <c r="G69" s="8" t="s">
        <v>420</v>
      </c>
      <c r="H69" s="8" t="s">
        <v>420</v>
      </c>
      <c r="I69" s="8" t="s">
        <v>421</v>
      </c>
      <c r="J69" s="8"/>
      <c r="K69" s="8" t="s">
        <v>659</v>
      </c>
    </row>
    <row r="70" spans="1:11" ht="60" customHeight="1">
      <c r="A70" s="8" t="s">
        <v>660</v>
      </c>
      <c r="B70" s="8" t="s">
        <v>661</v>
      </c>
      <c r="C70" s="8">
        <v>2018</v>
      </c>
      <c r="D70" s="8" t="s">
        <v>202</v>
      </c>
      <c r="E70" s="8" t="s">
        <v>624</v>
      </c>
      <c r="F70" s="29">
        <v>46193</v>
      </c>
      <c r="G70" s="8" t="s">
        <v>420</v>
      </c>
      <c r="H70" s="8" t="s">
        <v>420</v>
      </c>
      <c r="I70" s="8" t="s">
        <v>421</v>
      </c>
      <c r="J70" s="8"/>
      <c r="K70" s="8" t="s">
        <v>662</v>
      </c>
    </row>
    <row r="71" spans="1:11" ht="60" customHeight="1">
      <c r="A71" s="8" t="s">
        <v>663</v>
      </c>
      <c r="B71" s="8" t="s">
        <v>664</v>
      </c>
      <c r="C71" s="8">
        <v>2018</v>
      </c>
      <c r="D71" s="8" t="s">
        <v>202</v>
      </c>
      <c r="E71" s="8" t="s">
        <v>665</v>
      </c>
      <c r="F71" s="29">
        <v>46193</v>
      </c>
      <c r="G71" s="8" t="s">
        <v>420</v>
      </c>
      <c r="H71" s="8" t="s">
        <v>420</v>
      </c>
      <c r="I71" s="8" t="s">
        <v>421</v>
      </c>
      <c r="J71" s="8"/>
      <c r="K71" s="8" t="s">
        <v>666</v>
      </c>
    </row>
    <row r="72" spans="1:11" ht="60" customHeight="1">
      <c r="A72" s="8" t="s">
        <v>667</v>
      </c>
      <c r="B72" s="8" t="s">
        <v>668</v>
      </c>
      <c r="C72" s="8">
        <v>2017</v>
      </c>
      <c r="D72" s="8" t="s">
        <v>205</v>
      </c>
      <c r="E72" s="8" t="s">
        <v>463</v>
      </c>
      <c r="F72" s="29">
        <v>46193</v>
      </c>
      <c r="G72" s="8" t="s">
        <v>420</v>
      </c>
      <c r="H72" s="8" t="s">
        <v>420</v>
      </c>
      <c r="I72" s="8" t="s">
        <v>421</v>
      </c>
      <c r="J72" s="8"/>
      <c r="K72" s="8" t="s">
        <v>669</v>
      </c>
    </row>
    <row r="73" spans="1:11" ht="48" customHeight="1">
      <c r="A73" s="8" t="s">
        <v>670</v>
      </c>
      <c r="B73" s="8" t="s">
        <v>671</v>
      </c>
      <c r="C73" s="8">
        <v>2018</v>
      </c>
      <c r="D73" s="8" t="s">
        <v>196</v>
      </c>
      <c r="E73" s="8" t="s">
        <v>672</v>
      </c>
      <c r="F73" s="29">
        <v>46193</v>
      </c>
      <c r="G73" s="8" t="s">
        <v>420</v>
      </c>
      <c r="H73" s="8" t="s">
        <v>420</v>
      </c>
      <c r="I73" s="8" t="s">
        <v>421</v>
      </c>
      <c r="J73" s="8"/>
      <c r="K73" s="8" t="s">
        <v>673</v>
      </c>
    </row>
    <row r="74" spans="1:11" ht="48" customHeight="1">
      <c r="A74" s="8" t="s">
        <v>674</v>
      </c>
      <c r="B74" s="8" t="s">
        <v>675</v>
      </c>
      <c r="C74" s="8">
        <v>2016</v>
      </c>
      <c r="D74" s="8" t="s">
        <v>205</v>
      </c>
      <c r="E74" s="8" t="s">
        <v>676</v>
      </c>
      <c r="F74" s="29">
        <v>46193</v>
      </c>
      <c r="G74" s="8" t="s">
        <v>420</v>
      </c>
      <c r="H74" s="8" t="s">
        <v>420</v>
      </c>
      <c r="I74" s="8" t="s">
        <v>421</v>
      </c>
      <c r="J74" s="8"/>
      <c r="K74" s="8" t="s">
        <v>677</v>
      </c>
    </row>
    <row r="75" spans="1:11" ht="48" customHeight="1">
      <c r="A75" s="8" t="s">
        <v>678</v>
      </c>
      <c r="B75" s="8" t="s">
        <v>679</v>
      </c>
      <c r="C75" s="8">
        <v>2019</v>
      </c>
      <c r="D75" s="8" t="s">
        <v>196</v>
      </c>
      <c r="E75" s="8" t="s">
        <v>680</v>
      </c>
      <c r="F75" s="29">
        <v>46193</v>
      </c>
      <c r="G75" s="8" t="s">
        <v>420</v>
      </c>
      <c r="H75" s="8" t="s">
        <v>420</v>
      </c>
      <c r="I75" s="8" t="s">
        <v>421</v>
      </c>
      <c r="J75" s="8"/>
      <c r="K75" s="8" t="s">
        <v>681</v>
      </c>
    </row>
    <row r="76" spans="1:11" ht="48" customHeight="1">
      <c r="A76" s="8" t="s">
        <v>682</v>
      </c>
      <c r="B76" s="8" t="s">
        <v>683</v>
      </c>
      <c r="C76" s="8">
        <v>2020</v>
      </c>
      <c r="D76" s="8" t="s">
        <v>202</v>
      </c>
      <c r="E76" s="8" t="s">
        <v>684</v>
      </c>
      <c r="F76" s="29">
        <v>46193</v>
      </c>
      <c r="G76" s="8" t="s">
        <v>420</v>
      </c>
      <c r="H76" s="8" t="s">
        <v>420</v>
      </c>
      <c r="I76" s="8" t="s">
        <v>421</v>
      </c>
      <c r="J76" s="8"/>
      <c r="K76" s="8" t="s">
        <v>685</v>
      </c>
    </row>
    <row r="77" spans="1:11" ht="60" customHeight="1">
      <c r="A77" s="8" t="s">
        <v>686</v>
      </c>
      <c r="B77" s="8" t="s">
        <v>687</v>
      </c>
      <c r="C77" s="8">
        <v>2014</v>
      </c>
      <c r="D77" s="8" t="s">
        <v>205</v>
      </c>
      <c r="E77" s="8" t="s">
        <v>688</v>
      </c>
      <c r="F77" s="29">
        <v>46193</v>
      </c>
      <c r="G77" s="8" t="s">
        <v>420</v>
      </c>
      <c r="H77" s="8" t="s">
        <v>420</v>
      </c>
      <c r="I77" s="8" t="s">
        <v>421</v>
      </c>
      <c r="J77" s="8"/>
      <c r="K77" s="8" t="s">
        <v>689</v>
      </c>
    </row>
    <row r="78" spans="1:11" ht="36" customHeight="1">
      <c r="A78" s="8" t="s">
        <v>690</v>
      </c>
      <c r="B78" s="8" t="s">
        <v>691</v>
      </c>
      <c r="C78" s="8">
        <v>1993</v>
      </c>
      <c r="D78" s="8" t="s">
        <v>205</v>
      </c>
      <c r="E78" s="8" t="s">
        <v>692</v>
      </c>
      <c r="F78" s="29">
        <v>46193</v>
      </c>
      <c r="G78" s="8" t="s">
        <v>420</v>
      </c>
      <c r="H78" s="8" t="s">
        <v>420</v>
      </c>
      <c r="I78" s="8" t="s">
        <v>421</v>
      </c>
      <c r="J78" s="8"/>
      <c r="K78" s="8" t="s">
        <v>693</v>
      </c>
    </row>
    <row r="79" spans="1:11" ht="48" customHeight="1">
      <c r="A79" s="8" t="s">
        <v>694</v>
      </c>
      <c r="B79" s="8" t="s">
        <v>695</v>
      </c>
      <c r="C79" s="8">
        <v>2013</v>
      </c>
      <c r="D79" s="8" t="s">
        <v>205</v>
      </c>
      <c r="E79" s="8" t="s">
        <v>696</v>
      </c>
      <c r="F79" s="29">
        <v>46193</v>
      </c>
      <c r="G79" s="8" t="s">
        <v>420</v>
      </c>
      <c r="H79" s="8" t="s">
        <v>420</v>
      </c>
      <c r="I79" s="8" t="s">
        <v>421</v>
      </c>
      <c r="J79" s="8"/>
      <c r="K79" s="8" t="s">
        <v>697</v>
      </c>
    </row>
    <row r="80" spans="1:11" ht="48" customHeight="1">
      <c r="A80" s="8" t="s">
        <v>698</v>
      </c>
      <c r="B80" s="8" t="s">
        <v>699</v>
      </c>
      <c r="C80" s="8">
        <v>2020</v>
      </c>
      <c r="D80" s="8" t="s">
        <v>700</v>
      </c>
      <c r="E80" s="8" t="s">
        <v>701</v>
      </c>
      <c r="F80" s="29">
        <v>46193</v>
      </c>
      <c r="G80" s="8" t="s">
        <v>420</v>
      </c>
      <c r="H80" s="8" t="s">
        <v>420</v>
      </c>
      <c r="I80" s="8" t="s">
        <v>421</v>
      </c>
      <c r="J80" s="8"/>
      <c r="K80" s="8" t="s">
        <v>702</v>
      </c>
    </row>
    <row r="81" spans="1:11" ht="60" customHeight="1">
      <c r="A81" s="8" t="s">
        <v>703</v>
      </c>
      <c r="B81" s="8" t="s">
        <v>704</v>
      </c>
      <c r="C81" s="8">
        <v>2021</v>
      </c>
      <c r="D81" s="8" t="s">
        <v>196</v>
      </c>
      <c r="E81" s="8" t="s">
        <v>705</v>
      </c>
      <c r="F81" s="29">
        <v>46193</v>
      </c>
      <c r="G81" s="8" t="s">
        <v>420</v>
      </c>
      <c r="H81" s="8" t="s">
        <v>420</v>
      </c>
      <c r="I81" s="8" t="s">
        <v>421</v>
      </c>
      <c r="J81" s="8"/>
      <c r="K81" s="8" t="s">
        <v>706</v>
      </c>
    </row>
    <row r="82" spans="1:11" ht="48" customHeight="1">
      <c r="A82" s="8" t="s">
        <v>707</v>
      </c>
      <c r="B82" s="8" t="s">
        <v>708</v>
      </c>
      <c r="C82" s="8">
        <v>2013</v>
      </c>
      <c r="D82" s="8" t="s">
        <v>205</v>
      </c>
      <c r="E82" s="8" t="s">
        <v>632</v>
      </c>
      <c r="F82" s="29">
        <v>46193</v>
      </c>
      <c r="G82" s="8" t="s">
        <v>420</v>
      </c>
      <c r="H82" s="8" t="s">
        <v>420</v>
      </c>
      <c r="I82" s="8" t="s">
        <v>421</v>
      </c>
      <c r="J82" s="8"/>
      <c r="K82" s="8" t="s">
        <v>709</v>
      </c>
    </row>
    <row r="83" spans="1:11" ht="72" customHeight="1">
      <c r="A83" s="8" t="s">
        <v>710</v>
      </c>
      <c r="B83" s="8" t="s">
        <v>711</v>
      </c>
      <c r="C83" s="8">
        <v>2022</v>
      </c>
      <c r="D83" s="8" t="s">
        <v>199</v>
      </c>
      <c r="E83" s="8" t="s">
        <v>712</v>
      </c>
      <c r="F83" s="29">
        <v>46193</v>
      </c>
      <c r="G83" s="8" t="s">
        <v>420</v>
      </c>
      <c r="H83" s="8" t="s">
        <v>420</v>
      </c>
      <c r="I83" s="8" t="s">
        <v>421</v>
      </c>
      <c r="J83" s="8"/>
      <c r="K83" s="8" t="s">
        <v>713</v>
      </c>
    </row>
    <row r="84" spans="1:11" ht="60" customHeight="1">
      <c r="A84" s="8" t="s">
        <v>714</v>
      </c>
      <c r="B84" s="8" t="s">
        <v>715</v>
      </c>
      <c r="C84" s="8">
        <v>2022</v>
      </c>
      <c r="D84" s="8" t="s">
        <v>199</v>
      </c>
      <c r="E84" s="8" t="s">
        <v>716</v>
      </c>
      <c r="F84" s="29">
        <v>46193</v>
      </c>
      <c r="G84" s="8" t="s">
        <v>420</v>
      </c>
      <c r="H84" s="8" t="s">
        <v>420</v>
      </c>
      <c r="I84" s="8" t="s">
        <v>421</v>
      </c>
      <c r="J84" s="8"/>
      <c r="K84" s="8" t="s">
        <v>717</v>
      </c>
    </row>
    <row r="85" spans="1:11" ht="60" customHeight="1">
      <c r="A85" s="8" t="s">
        <v>718</v>
      </c>
      <c r="B85" s="8" t="s">
        <v>719</v>
      </c>
      <c r="C85" s="8">
        <v>2020</v>
      </c>
      <c r="D85" s="8" t="s">
        <v>199</v>
      </c>
      <c r="E85" s="8" t="s">
        <v>712</v>
      </c>
      <c r="F85" s="29">
        <v>46193</v>
      </c>
      <c r="G85" s="8" t="s">
        <v>420</v>
      </c>
      <c r="H85" s="8" t="s">
        <v>420</v>
      </c>
      <c r="I85" s="8" t="s">
        <v>421</v>
      </c>
      <c r="J85" s="8"/>
      <c r="K85" s="8" t="s">
        <v>720</v>
      </c>
    </row>
    <row r="86" spans="1:11" ht="48" customHeight="1">
      <c r="A86" s="8" t="s">
        <v>721</v>
      </c>
      <c r="B86" s="8" t="s">
        <v>722</v>
      </c>
      <c r="C86" s="8">
        <v>2020</v>
      </c>
      <c r="D86" s="8" t="s">
        <v>205</v>
      </c>
      <c r="E86" s="8" t="s">
        <v>723</v>
      </c>
      <c r="F86" s="29">
        <v>46193</v>
      </c>
      <c r="G86" s="8" t="s">
        <v>420</v>
      </c>
      <c r="H86" s="8" t="s">
        <v>420</v>
      </c>
      <c r="I86" s="8" t="s">
        <v>421</v>
      </c>
      <c r="J86" s="8"/>
      <c r="K86" s="8" t="s">
        <v>724</v>
      </c>
    </row>
    <row r="87" spans="1:11" ht="48" customHeight="1">
      <c r="A87" s="8" t="s">
        <v>725</v>
      </c>
      <c r="B87" s="8" t="s">
        <v>726</v>
      </c>
      <c r="C87" s="8">
        <v>2020</v>
      </c>
      <c r="D87" s="8" t="s">
        <v>196</v>
      </c>
      <c r="E87" s="8" t="s">
        <v>727</v>
      </c>
      <c r="F87" s="29">
        <v>46193</v>
      </c>
      <c r="G87" s="8" t="s">
        <v>420</v>
      </c>
      <c r="H87" s="8" t="s">
        <v>420</v>
      </c>
      <c r="I87" s="8" t="s">
        <v>421</v>
      </c>
      <c r="J87" s="8"/>
      <c r="K87" s="8" t="s">
        <v>728</v>
      </c>
    </row>
    <row r="88" spans="1:11" ht="48" customHeight="1">
      <c r="A88" s="8" t="s">
        <v>729</v>
      </c>
      <c r="B88" s="8" t="s">
        <v>730</v>
      </c>
      <c r="C88" s="8">
        <v>2017</v>
      </c>
      <c r="D88" s="8" t="s">
        <v>202</v>
      </c>
      <c r="E88" s="8" t="s">
        <v>731</v>
      </c>
      <c r="F88" s="29">
        <v>46193</v>
      </c>
      <c r="G88" s="8" t="s">
        <v>420</v>
      </c>
      <c r="H88" s="8" t="s">
        <v>420</v>
      </c>
      <c r="I88" s="8" t="s">
        <v>421</v>
      </c>
      <c r="J88" s="8"/>
      <c r="K88" s="8" t="s">
        <v>732</v>
      </c>
    </row>
    <row r="89" spans="1:11" ht="36" customHeight="1">
      <c r="A89" s="8" t="s">
        <v>733</v>
      </c>
      <c r="B89" s="8" t="s">
        <v>734</v>
      </c>
      <c r="C89" s="8">
        <v>2014</v>
      </c>
      <c r="D89" s="8" t="s">
        <v>205</v>
      </c>
      <c r="E89" s="8" t="s">
        <v>658</v>
      </c>
      <c r="F89" s="29">
        <v>46193</v>
      </c>
      <c r="G89" s="8" t="s">
        <v>420</v>
      </c>
      <c r="H89" s="8" t="s">
        <v>420</v>
      </c>
      <c r="I89" s="8" t="s">
        <v>421</v>
      </c>
      <c r="J89" s="8"/>
      <c r="K89" s="8" t="s">
        <v>735</v>
      </c>
    </row>
    <row r="90" spans="1:11" ht="48" customHeight="1">
      <c r="A90" s="8" t="s">
        <v>736</v>
      </c>
      <c r="B90" s="8" t="s">
        <v>737</v>
      </c>
      <c r="C90" s="8">
        <v>2021</v>
      </c>
      <c r="D90" s="8" t="s">
        <v>205</v>
      </c>
      <c r="E90" s="8" t="s">
        <v>738</v>
      </c>
      <c r="F90" s="29">
        <v>46193</v>
      </c>
      <c r="G90" s="8" t="s">
        <v>420</v>
      </c>
      <c r="H90" s="8" t="s">
        <v>420</v>
      </c>
      <c r="I90" s="8" t="s">
        <v>421</v>
      </c>
      <c r="J90" s="8"/>
      <c r="K90" s="8" t="s">
        <v>739</v>
      </c>
    </row>
    <row r="91" spans="1:11" ht="48" customHeight="1">
      <c r="A91" s="8" t="s">
        <v>740</v>
      </c>
      <c r="B91" s="8" t="s">
        <v>741</v>
      </c>
      <c r="C91" s="8">
        <v>2008</v>
      </c>
      <c r="D91" s="8" t="s">
        <v>205</v>
      </c>
      <c r="E91" s="8" t="s">
        <v>742</v>
      </c>
      <c r="F91" s="29">
        <v>46193</v>
      </c>
      <c r="G91" s="8" t="s">
        <v>420</v>
      </c>
      <c r="H91" s="8" t="s">
        <v>420</v>
      </c>
      <c r="I91" s="8" t="s">
        <v>421</v>
      </c>
      <c r="J91" s="8"/>
      <c r="K91" s="8" t="s">
        <v>743</v>
      </c>
    </row>
    <row r="92" spans="1:11" ht="48" customHeight="1">
      <c r="A92" s="8" t="s">
        <v>744</v>
      </c>
      <c r="B92" s="8" t="s">
        <v>745</v>
      </c>
      <c r="C92" s="8">
        <v>2018</v>
      </c>
      <c r="D92" s="8" t="s">
        <v>205</v>
      </c>
      <c r="E92" s="8" t="s">
        <v>746</v>
      </c>
      <c r="F92" s="29">
        <v>46193</v>
      </c>
      <c r="G92" s="8" t="s">
        <v>420</v>
      </c>
      <c r="H92" s="8" t="s">
        <v>420</v>
      </c>
      <c r="I92" s="8" t="s">
        <v>421</v>
      </c>
      <c r="J92" s="8"/>
      <c r="K92" s="8" t="s">
        <v>747</v>
      </c>
    </row>
    <row r="93" spans="1:11" ht="48" customHeight="1">
      <c r="A93" s="8" t="s">
        <v>748</v>
      </c>
      <c r="B93" s="8" t="s">
        <v>749</v>
      </c>
      <c r="C93" s="8">
        <v>2011</v>
      </c>
      <c r="D93" s="8" t="s">
        <v>205</v>
      </c>
      <c r="E93" s="8" t="s">
        <v>750</v>
      </c>
      <c r="F93" s="29">
        <v>46193</v>
      </c>
      <c r="G93" s="8" t="s">
        <v>420</v>
      </c>
      <c r="H93" s="8" t="s">
        <v>420</v>
      </c>
      <c r="I93" s="8" t="s">
        <v>421</v>
      </c>
      <c r="J93" s="8"/>
      <c r="K93" s="8" t="s">
        <v>751</v>
      </c>
    </row>
    <row r="94" spans="1:11" ht="48" customHeight="1">
      <c r="A94" s="8" t="s">
        <v>752</v>
      </c>
      <c r="B94" s="8" t="s">
        <v>753</v>
      </c>
      <c r="C94" s="8">
        <v>2014</v>
      </c>
      <c r="D94" s="8" t="s">
        <v>205</v>
      </c>
      <c r="E94" s="8" t="s">
        <v>754</v>
      </c>
      <c r="F94" s="29">
        <v>46193</v>
      </c>
      <c r="G94" s="8" t="s">
        <v>420</v>
      </c>
      <c r="H94" s="8" t="s">
        <v>420</v>
      </c>
      <c r="I94" s="8" t="s">
        <v>421</v>
      </c>
      <c r="J94" s="8"/>
      <c r="K94" s="8" t="s">
        <v>755</v>
      </c>
    </row>
    <row r="95" spans="1:11" ht="48" customHeight="1">
      <c r="A95" s="8" t="s">
        <v>756</v>
      </c>
      <c r="B95" s="8" t="s">
        <v>757</v>
      </c>
      <c r="C95" s="8">
        <v>2012</v>
      </c>
      <c r="D95" s="8" t="s">
        <v>205</v>
      </c>
      <c r="E95" s="8" t="s">
        <v>758</v>
      </c>
      <c r="F95" s="29">
        <v>46193</v>
      </c>
      <c r="G95" s="8" t="s">
        <v>420</v>
      </c>
      <c r="H95" s="8" t="s">
        <v>420</v>
      </c>
      <c r="I95" s="8" t="s">
        <v>421</v>
      </c>
      <c r="J95" s="8"/>
      <c r="K95" s="8" t="s">
        <v>759</v>
      </c>
    </row>
    <row r="96" spans="1:11" ht="48" customHeight="1">
      <c r="A96" s="8" t="s">
        <v>760</v>
      </c>
      <c r="B96" s="8" t="s">
        <v>761</v>
      </c>
      <c r="C96" s="8">
        <v>2018</v>
      </c>
      <c r="D96" s="8" t="s">
        <v>196</v>
      </c>
      <c r="E96" s="8" t="s">
        <v>762</v>
      </c>
      <c r="F96" s="29">
        <v>46193</v>
      </c>
      <c r="G96" s="8" t="s">
        <v>420</v>
      </c>
      <c r="H96" s="8" t="s">
        <v>420</v>
      </c>
      <c r="I96" s="8" t="s">
        <v>421</v>
      </c>
      <c r="J96" s="8"/>
      <c r="K96" s="8" t="s">
        <v>763</v>
      </c>
    </row>
    <row r="97" spans="1:11" ht="48" customHeight="1">
      <c r="A97" s="8" t="s">
        <v>764</v>
      </c>
      <c r="B97" s="8" t="s">
        <v>765</v>
      </c>
      <c r="C97" s="8">
        <v>2016</v>
      </c>
      <c r="D97" s="8" t="s">
        <v>205</v>
      </c>
      <c r="E97" s="8" t="s">
        <v>766</v>
      </c>
      <c r="F97" s="29">
        <v>46193</v>
      </c>
      <c r="G97" s="8" t="s">
        <v>420</v>
      </c>
      <c r="H97" s="8" t="s">
        <v>420</v>
      </c>
      <c r="I97" s="8" t="s">
        <v>421</v>
      </c>
      <c r="J97" s="8"/>
      <c r="K97" s="8" t="s">
        <v>767</v>
      </c>
    </row>
    <row r="98" spans="1:11" ht="48" customHeight="1">
      <c r="A98" s="8" t="s">
        <v>768</v>
      </c>
      <c r="B98" s="8" t="s">
        <v>769</v>
      </c>
      <c r="C98" s="8">
        <v>2019</v>
      </c>
      <c r="D98" s="8" t="s">
        <v>205</v>
      </c>
      <c r="E98" s="8" t="s">
        <v>770</v>
      </c>
      <c r="F98" s="29">
        <v>46193</v>
      </c>
      <c r="G98" s="8" t="s">
        <v>420</v>
      </c>
      <c r="H98" s="8" t="s">
        <v>420</v>
      </c>
      <c r="I98" s="8" t="s">
        <v>421</v>
      </c>
      <c r="J98" s="8"/>
      <c r="K98" s="8" t="s">
        <v>771</v>
      </c>
    </row>
    <row r="99" spans="1:11" ht="48" customHeight="1">
      <c r="A99" s="8" t="s">
        <v>772</v>
      </c>
      <c r="B99" s="8" t="s">
        <v>773</v>
      </c>
      <c r="C99" s="8">
        <v>2019</v>
      </c>
      <c r="D99" s="8" t="s">
        <v>205</v>
      </c>
      <c r="E99" s="8" t="s">
        <v>774</v>
      </c>
      <c r="F99" s="29">
        <v>46193</v>
      </c>
      <c r="G99" s="8" t="s">
        <v>420</v>
      </c>
      <c r="H99" s="8" t="s">
        <v>420</v>
      </c>
      <c r="I99" s="8" t="s">
        <v>421</v>
      </c>
      <c r="J99" s="8"/>
      <c r="K99" s="8" t="s">
        <v>775</v>
      </c>
    </row>
    <row r="100" spans="1:11" ht="48" customHeight="1">
      <c r="A100" s="8" t="s">
        <v>776</v>
      </c>
      <c r="B100" s="8" t="s">
        <v>777</v>
      </c>
      <c r="C100" s="8">
        <v>2017</v>
      </c>
      <c r="D100" s="8" t="s">
        <v>199</v>
      </c>
      <c r="E100" s="8" t="s">
        <v>778</v>
      </c>
      <c r="F100" s="29">
        <v>46193</v>
      </c>
      <c r="G100" s="8" t="s">
        <v>420</v>
      </c>
      <c r="H100" s="8" t="s">
        <v>420</v>
      </c>
      <c r="I100" s="8" t="s">
        <v>421</v>
      </c>
      <c r="J100" s="8"/>
      <c r="K100" s="8" t="s">
        <v>779</v>
      </c>
    </row>
    <row r="101" spans="1:11" ht="48" customHeight="1">
      <c r="A101" s="8" t="s">
        <v>780</v>
      </c>
      <c r="B101" s="8" t="s">
        <v>781</v>
      </c>
      <c r="C101" s="8">
        <v>2000</v>
      </c>
      <c r="D101" s="8" t="s">
        <v>205</v>
      </c>
      <c r="E101" s="8" t="s">
        <v>782</v>
      </c>
      <c r="F101" s="29">
        <v>46193</v>
      </c>
      <c r="G101" s="8" t="s">
        <v>420</v>
      </c>
      <c r="H101" s="8" t="s">
        <v>420</v>
      </c>
      <c r="I101" s="8" t="s">
        <v>421</v>
      </c>
      <c r="J101" s="8"/>
      <c r="K101" s="8" t="s">
        <v>783</v>
      </c>
    </row>
    <row r="102" spans="1:11" ht="48" customHeight="1">
      <c r="A102" s="8" t="s">
        <v>784</v>
      </c>
      <c r="B102" s="8" t="s">
        <v>785</v>
      </c>
      <c r="C102" s="8">
        <v>2019</v>
      </c>
      <c r="D102" s="8" t="s">
        <v>205</v>
      </c>
      <c r="E102" s="8" t="s">
        <v>786</v>
      </c>
      <c r="F102" s="29">
        <v>46193</v>
      </c>
      <c r="G102" s="8" t="s">
        <v>420</v>
      </c>
      <c r="H102" s="8" t="s">
        <v>420</v>
      </c>
      <c r="I102" s="8" t="s">
        <v>421</v>
      </c>
      <c r="J102" s="8"/>
      <c r="K102" s="8" t="s">
        <v>787</v>
      </c>
    </row>
    <row r="103" spans="1:11" ht="60" customHeight="1">
      <c r="A103" s="8" t="s">
        <v>788</v>
      </c>
      <c r="B103" s="8" t="s">
        <v>789</v>
      </c>
      <c r="C103" s="8">
        <v>2025</v>
      </c>
      <c r="D103" s="8" t="s">
        <v>193</v>
      </c>
      <c r="E103" s="8" t="s">
        <v>790</v>
      </c>
      <c r="F103" s="29">
        <v>46193</v>
      </c>
      <c r="G103" s="8" t="s">
        <v>420</v>
      </c>
      <c r="H103" s="8" t="s">
        <v>420</v>
      </c>
      <c r="I103" s="8" t="s">
        <v>421</v>
      </c>
      <c r="J103" s="8"/>
      <c r="K103" s="8" t="s">
        <v>791</v>
      </c>
    </row>
    <row r="104" spans="1:11" ht="60" customHeight="1">
      <c r="A104" s="8" t="s">
        <v>792</v>
      </c>
      <c r="B104" s="8" t="s">
        <v>793</v>
      </c>
      <c r="C104" s="8">
        <v>2025</v>
      </c>
      <c r="D104" s="8" t="s">
        <v>199</v>
      </c>
      <c r="E104" s="8" t="s">
        <v>716</v>
      </c>
      <c r="F104" s="29">
        <v>46193</v>
      </c>
      <c r="G104" s="8" t="s">
        <v>420</v>
      </c>
      <c r="H104" s="8" t="s">
        <v>420</v>
      </c>
      <c r="I104" s="8" t="s">
        <v>421</v>
      </c>
      <c r="J104" s="8"/>
      <c r="K104" s="8" t="s">
        <v>794</v>
      </c>
    </row>
    <row r="105" spans="1:11" ht="48" customHeight="1">
      <c r="A105" s="8" t="s">
        <v>795</v>
      </c>
      <c r="B105" s="8" t="s">
        <v>796</v>
      </c>
      <c r="C105" s="8">
        <v>2024</v>
      </c>
      <c r="D105" s="8" t="s">
        <v>199</v>
      </c>
      <c r="E105" s="8" t="s">
        <v>797</v>
      </c>
      <c r="F105" s="29">
        <v>46193</v>
      </c>
      <c r="G105" s="8" t="s">
        <v>420</v>
      </c>
      <c r="H105" s="8" t="s">
        <v>420</v>
      </c>
      <c r="I105" s="8" t="s">
        <v>421</v>
      </c>
      <c r="J105" s="8"/>
      <c r="K105" s="8" t="s">
        <v>798</v>
      </c>
    </row>
    <row r="106" spans="1:11" ht="60" customHeight="1">
      <c r="A106" s="8" t="s">
        <v>799</v>
      </c>
      <c r="B106" s="8" t="s">
        <v>800</v>
      </c>
      <c r="C106" s="8">
        <v>2023</v>
      </c>
      <c r="D106" s="8" t="s">
        <v>205</v>
      </c>
      <c r="E106" s="8" t="s">
        <v>801</v>
      </c>
      <c r="F106" s="29">
        <v>46193</v>
      </c>
      <c r="G106" s="8" t="s">
        <v>420</v>
      </c>
      <c r="H106" s="8" t="s">
        <v>420</v>
      </c>
      <c r="I106" s="8" t="s">
        <v>421</v>
      </c>
      <c r="J106" s="8"/>
      <c r="K106" s="8" t="s">
        <v>802</v>
      </c>
    </row>
    <row r="107" spans="1:11" ht="48" customHeight="1">
      <c r="A107" s="8" t="s">
        <v>803</v>
      </c>
      <c r="B107" s="8" t="s">
        <v>804</v>
      </c>
      <c r="C107" s="8">
        <v>2024</v>
      </c>
      <c r="D107" s="8" t="s">
        <v>199</v>
      </c>
      <c r="E107" s="8" t="s">
        <v>805</v>
      </c>
      <c r="F107" s="29">
        <v>46193</v>
      </c>
      <c r="G107" s="8" t="s">
        <v>420</v>
      </c>
      <c r="H107" s="8" t="s">
        <v>420</v>
      </c>
      <c r="I107" s="8" t="s">
        <v>421</v>
      </c>
      <c r="J107" s="8"/>
      <c r="K107" s="8" t="s">
        <v>806</v>
      </c>
    </row>
    <row r="108" spans="1:11" ht="48" customHeight="1">
      <c r="A108" s="8" t="s">
        <v>807</v>
      </c>
      <c r="B108" s="8" t="s">
        <v>808</v>
      </c>
      <c r="C108" s="8">
        <v>2021</v>
      </c>
      <c r="D108" s="8" t="s">
        <v>193</v>
      </c>
      <c r="E108" s="8" t="s">
        <v>809</v>
      </c>
      <c r="F108" s="29">
        <v>46193</v>
      </c>
      <c r="G108" s="8" t="s">
        <v>420</v>
      </c>
      <c r="H108" s="8" t="s">
        <v>420</v>
      </c>
      <c r="I108" s="8" t="s">
        <v>421</v>
      </c>
      <c r="J108" s="8"/>
      <c r="K108" s="8" t="s">
        <v>810</v>
      </c>
    </row>
    <row r="109" spans="1:11" ht="60" customHeight="1">
      <c r="A109" s="8" t="s">
        <v>811</v>
      </c>
      <c r="B109" s="8" t="s">
        <v>812</v>
      </c>
      <c r="C109" s="8">
        <v>2020</v>
      </c>
      <c r="D109" s="8" t="s">
        <v>205</v>
      </c>
      <c r="E109" s="8" t="s">
        <v>813</v>
      </c>
      <c r="F109" s="29">
        <v>46193</v>
      </c>
      <c r="G109" s="8" t="s">
        <v>420</v>
      </c>
      <c r="H109" s="8" t="s">
        <v>420</v>
      </c>
      <c r="I109" s="8" t="s">
        <v>421</v>
      </c>
      <c r="J109" s="8"/>
      <c r="K109" s="8" t="s">
        <v>814</v>
      </c>
    </row>
    <row r="110" spans="1:11" ht="48" customHeight="1">
      <c r="A110" s="8" t="s">
        <v>815</v>
      </c>
      <c r="B110" s="8" t="s">
        <v>816</v>
      </c>
      <c r="C110" s="8">
        <v>2020</v>
      </c>
      <c r="D110" s="8" t="s">
        <v>205</v>
      </c>
      <c r="E110" s="8" t="s">
        <v>817</v>
      </c>
      <c r="F110" s="29">
        <v>46193</v>
      </c>
      <c r="G110" s="8" t="s">
        <v>420</v>
      </c>
      <c r="H110" s="8" t="s">
        <v>420</v>
      </c>
      <c r="I110" s="8" t="s">
        <v>421</v>
      </c>
      <c r="J110" s="8"/>
      <c r="K110" s="8" t="s">
        <v>818</v>
      </c>
    </row>
    <row r="111" spans="1:11" ht="48" customHeight="1">
      <c r="A111" s="8" t="s">
        <v>819</v>
      </c>
      <c r="B111" s="8" t="s">
        <v>820</v>
      </c>
      <c r="C111" s="8">
        <v>2019</v>
      </c>
      <c r="D111" s="8" t="s">
        <v>205</v>
      </c>
      <c r="E111" s="8" t="s">
        <v>821</v>
      </c>
      <c r="F111" s="29">
        <v>46193</v>
      </c>
      <c r="G111" s="8" t="s">
        <v>420</v>
      </c>
      <c r="H111" s="8" t="s">
        <v>420</v>
      </c>
      <c r="I111" s="8" t="s">
        <v>421</v>
      </c>
      <c r="J111" s="8"/>
      <c r="K111" s="8" t="s">
        <v>822</v>
      </c>
    </row>
    <row r="112" spans="1:11" ht="48" customHeight="1">
      <c r="A112" s="8" t="s">
        <v>823</v>
      </c>
      <c r="B112" s="8" t="s">
        <v>824</v>
      </c>
      <c r="C112" s="8">
        <v>2019</v>
      </c>
      <c r="D112" s="8" t="s">
        <v>205</v>
      </c>
      <c r="E112" s="8" t="s">
        <v>825</v>
      </c>
      <c r="F112" s="29">
        <v>46193</v>
      </c>
      <c r="G112" s="8" t="s">
        <v>420</v>
      </c>
      <c r="H112" s="8" t="s">
        <v>420</v>
      </c>
      <c r="I112" s="8" t="s">
        <v>421</v>
      </c>
      <c r="J112" s="8"/>
      <c r="K112" s="8" t="s">
        <v>826</v>
      </c>
    </row>
    <row r="113" spans="1:11" ht="60" customHeight="1">
      <c r="A113" s="8" t="s">
        <v>827</v>
      </c>
      <c r="B113" s="8" t="s">
        <v>828</v>
      </c>
      <c r="C113" s="8">
        <v>2024</v>
      </c>
      <c r="D113" s="8" t="s">
        <v>193</v>
      </c>
      <c r="E113" s="8" t="s">
        <v>829</v>
      </c>
      <c r="F113" s="29">
        <v>46193</v>
      </c>
      <c r="G113" s="8" t="s">
        <v>420</v>
      </c>
      <c r="H113" s="8" t="s">
        <v>420</v>
      </c>
      <c r="I113" s="8" t="s">
        <v>421</v>
      </c>
      <c r="J113" s="8"/>
      <c r="K113" s="8" t="s">
        <v>830</v>
      </c>
    </row>
    <row r="114" spans="1:11" ht="60" customHeight="1">
      <c r="A114" s="8" t="s">
        <v>831</v>
      </c>
      <c r="B114" s="8" t="s">
        <v>832</v>
      </c>
      <c r="C114" s="8">
        <v>2024</v>
      </c>
      <c r="D114" s="8" t="s">
        <v>199</v>
      </c>
      <c r="E114" s="8" t="s">
        <v>716</v>
      </c>
      <c r="F114" s="29">
        <v>46193</v>
      </c>
      <c r="G114" s="8" t="s">
        <v>420</v>
      </c>
      <c r="H114" s="8" t="s">
        <v>420</v>
      </c>
      <c r="I114" s="8" t="s">
        <v>421</v>
      </c>
      <c r="J114" s="8"/>
      <c r="K114" s="8" t="s">
        <v>833</v>
      </c>
    </row>
    <row r="115" spans="1:11" ht="60" customHeight="1">
      <c r="A115" s="8" t="s">
        <v>834</v>
      </c>
      <c r="B115" s="8" t="s">
        <v>835</v>
      </c>
      <c r="C115" s="8">
        <v>2017</v>
      </c>
      <c r="D115" s="8" t="s">
        <v>205</v>
      </c>
      <c r="E115" s="8" t="s">
        <v>836</v>
      </c>
      <c r="F115" s="29">
        <v>46193</v>
      </c>
      <c r="G115" s="8" t="s">
        <v>420</v>
      </c>
      <c r="H115" s="8" t="s">
        <v>420</v>
      </c>
      <c r="I115" s="8" t="s">
        <v>421</v>
      </c>
      <c r="J115" s="8"/>
      <c r="K115" s="8" t="s">
        <v>837</v>
      </c>
    </row>
    <row r="116" spans="1:11" ht="48" customHeight="1">
      <c r="A116" s="8" t="s">
        <v>838</v>
      </c>
      <c r="B116" s="8" t="s">
        <v>839</v>
      </c>
      <c r="C116" s="8">
        <v>2020</v>
      </c>
      <c r="D116" s="8" t="s">
        <v>205</v>
      </c>
      <c r="E116" s="8" t="s">
        <v>840</v>
      </c>
      <c r="F116" s="29">
        <v>46193</v>
      </c>
      <c r="G116" s="8" t="s">
        <v>420</v>
      </c>
      <c r="H116" s="8" t="s">
        <v>420</v>
      </c>
      <c r="I116" s="8" t="s">
        <v>421</v>
      </c>
      <c r="J116" s="8"/>
      <c r="K116" s="8" t="s">
        <v>841</v>
      </c>
    </row>
    <row r="117" spans="1:11" ht="48" customHeight="1">
      <c r="A117" s="8" t="s">
        <v>842</v>
      </c>
      <c r="B117" s="8" t="s">
        <v>843</v>
      </c>
      <c r="C117" s="8">
        <v>2019</v>
      </c>
      <c r="D117" s="8" t="s">
        <v>205</v>
      </c>
      <c r="E117" s="8" t="s">
        <v>844</v>
      </c>
      <c r="F117" s="29">
        <v>46193</v>
      </c>
      <c r="G117" s="8" t="s">
        <v>420</v>
      </c>
      <c r="H117" s="8" t="s">
        <v>420</v>
      </c>
      <c r="I117" s="8" t="s">
        <v>421</v>
      </c>
      <c r="J117" s="8"/>
      <c r="K117" s="8" t="s">
        <v>845</v>
      </c>
    </row>
    <row r="118" spans="1:11" ht="48" customHeight="1">
      <c r="A118" s="8" t="s">
        <v>846</v>
      </c>
      <c r="B118" s="8" t="s">
        <v>847</v>
      </c>
      <c r="C118" s="8">
        <v>2018</v>
      </c>
      <c r="D118" s="8" t="s">
        <v>205</v>
      </c>
      <c r="E118" s="8" t="s">
        <v>848</v>
      </c>
      <c r="F118" s="29">
        <v>46193</v>
      </c>
      <c r="G118" s="8" t="s">
        <v>420</v>
      </c>
      <c r="H118" s="8" t="s">
        <v>420</v>
      </c>
      <c r="I118" s="8" t="s">
        <v>421</v>
      </c>
      <c r="J118" s="8"/>
      <c r="K118" s="8" t="s">
        <v>849</v>
      </c>
    </row>
    <row r="119" spans="1:11" ht="48" customHeight="1">
      <c r="A119" s="8" t="s">
        <v>850</v>
      </c>
      <c r="B119" s="8" t="s">
        <v>851</v>
      </c>
      <c r="C119" s="8">
        <v>2018</v>
      </c>
      <c r="D119" s="8" t="s">
        <v>205</v>
      </c>
      <c r="E119" s="8" t="s">
        <v>852</v>
      </c>
      <c r="F119" s="29">
        <v>46193</v>
      </c>
      <c r="G119" s="8" t="s">
        <v>420</v>
      </c>
      <c r="H119" s="8" t="s">
        <v>420</v>
      </c>
      <c r="I119" s="8" t="s">
        <v>421</v>
      </c>
      <c r="J119" s="8"/>
      <c r="K119" s="8" t="s">
        <v>853</v>
      </c>
    </row>
    <row r="120" spans="1:11" ht="48" customHeight="1">
      <c r="A120" s="8" t="s">
        <v>854</v>
      </c>
      <c r="B120" s="8" t="s">
        <v>855</v>
      </c>
      <c r="C120" s="8">
        <v>2018</v>
      </c>
      <c r="D120" s="8" t="s">
        <v>205</v>
      </c>
      <c r="E120" s="8" t="s">
        <v>856</v>
      </c>
      <c r="F120" s="29">
        <v>46193</v>
      </c>
      <c r="G120" s="8" t="s">
        <v>420</v>
      </c>
      <c r="H120" s="8" t="s">
        <v>420</v>
      </c>
      <c r="I120" s="8" t="s">
        <v>421</v>
      </c>
      <c r="J120" s="8"/>
      <c r="K120" s="8" t="s">
        <v>857</v>
      </c>
    </row>
    <row r="121" spans="1:11" ht="48" customHeight="1">
      <c r="A121" s="8" t="s">
        <v>858</v>
      </c>
      <c r="B121" s="8" t="s">
        <v>859</v>
      </c>
      <c r="C121" s="8">
        <v>2018</v>
      </c>
      <c r="D121" s="8" t="s">
        <v>205</v>
      </c>
      <c r="E121" s="8" t="s">
        <v>860</v>
      </c>
      <c r="F121" s="29">
        <v>46193</v>
      </c>
      <c r="G121" s="8" t="s">
        <v>420</v>
      </c>
      <c r="H121" s="8" t="s">
        <v>420</v>
      </c>
      <c r="I121" s="8" t="s">
        <v>421</v>
      </c>
      <c r="J121" s="8"/>
      <c r="K121" s="8" t="s">
        <v>861</v>
      </c>
    </row>
    <row r="122" spans="1:11" ht="48" customHeight="1">
      <c r="A122" s="8" t="s">
        <v>862</v>
      </c>
      <c r="B122" s="8" t="s">
        <v>863</v>
      </c>
      <c r="C122" s="8">
        <v>2021</v>
      </c>
      <c r="D122" s="8" t="s">
        <v>205</v>
      </c>
      <c r="E122" s="8" t="s">
        <v>864</v>
      </c>
      <c r="F122" s="29">
        <v>46193</v>
      </c>
      <c r="G122" s="8" t="s">
        <v>420</v>
      </c>
      <c r="H122" s="8" t="s">
        <v>420</v>
      </c>
      <c r="I122" s="8" t="s">
        <v>421</v>
      </c>
      <c r="J122" s="8"/>
      <c r="K122" s="8" t="s">
        <v>865</v>
      </c>
    </row>
    <row r="123" spans="1:11" ht="48" customHeight="1">
      <c r="A123" s="8" t="s">
        <v>866</v>
      </c>
      <c r="B123" s="8" t="s">
        <v>867</v>
      </c>
      <c r="C123" s="8">
        <v>2016</v>
      </c>
      <c r="D123" s="8" t="s">
        <v>196</v>
      </c>
      <c r="E123" s="8" t="s">
        <v>868</v>
      </c>
      <c r="F123" s="29">
        <v>46193</v>
      </c>
      <c r="G123" s="8" t="s">
        <v>420</v>
      </c>
      <c r="H123" s="8" t="s">
        <v>420</v>
      </c>
      <c r="I123" s="8" t="s">
        <v>421</v>
      </c>
      <c r="J123" s="8"/>
      <c r="K123" s="8" t="s">
        <v>869</v>
      </c>
    </row>
    <row r="124" spans="1:11" ht="48" customHeight="1">
      <c r="A124" s="8" t="s">
        <v>870</v>
      </c>
      <c r="B124" s="8" t="s">
        <v>871</v>
      </c>
      <c r="C124" s="8">
        <v>2006</v>
      </c>
      <c r="D124" s="8" t="s">
        <v>205</v>
      </c>
      <c r="E124" s="8" t="s">
        <v>872</v>
      </c>
      <c r="F124" s="29">
        <v>46193</v>
      </c>
      <c r="G124" s="8" t="s">
        <v>420</v>
      </c>
      <c r="H124" s="8" t="s">
        <v>420</v>
      </c>
      <c r="I124" s="8" t="s">
        <v>421</v>
      </c>
      <c r="J124" s="8"/>
      <c r="K124" s="8" t="s">
        <v>873</v>
      </c>
    </row>
    <row r="125" spans="1:11" ht="48" customHeight="1">
      <c r="A125" s="8" t="s">
        <v>874</v>
      </c>
      <c r="B125" s="8" t="s">
        <v>875</v>
      </c>
      <c r="C125" s="8">
        <v>2014</v>
      </c>
      <c r="D125" s="8" t="s">
        <v>202</v>
      </c>
      <c r="E125" s="8" t="s">
        <v>876</v>
      </c>
      <c r="F125" s="29">
        <v>46193</v>
      </c>
      <c r="G125" s="8" t="s">
        <v>420</v>
      </c>
      <c r="H125" s="8" t="s">
        <v>420</v>
      </c>
      <c r="I125" s="8" t="s">
        <v>421</v>
      </c>
      <c r="J125" s="8"/>
      <c r="K125" s="8" t="s">
        <v>877</v>
      </c>
    </row>
    <row r="126" spans="1:11" ht="48" customHeight="1">
      <c r="A126" s="8" t="s">
        <v>878</v>
      </c>
      <c r="B126" s="8" t="s">
        <v>879</v>
      </c>
      <c r="C126" s="8">
        <v>2019</v>
      </c>
      <c r="D126" s="8" t="s">
        <v>193</v>
      </c>
      <c r="E126" s="8" t="s">
        <v>880</v>
      </c>
      <c r="F126" s="29">
        <v>46193</v>
      </c>
      <c r="G126" s="8" t="s">
        <v>420</v>
      </c>
      <c r="H126" s="8" t="s">
        <v>420</v>
      </c>
      <c r="I126" s="8" t="s">
        <v>421</v>
      </c>
      <c r="J126" s="8"/>
      <c r="K126" s="8" t="s">
        <v>881</v>
      </c>
    </row>
    <row r="127" spans="1:11" ht="72" customHeight="1">
      <c r="A127" s="8" t="s">
        <v>882</v>
      </c>
      <c r="B127" s="8" t="s">
        <v>883</v>
      </c>
      <c r="C127" s="8">
        <v>2016</v>
      </c>
      <c r="D127" s="8" t="s">
        <v>202</v>
      </c>
      <c r="E127" s="8" t="s">
        <v>884</v>
      </c>
      <c r="F127" s="29">
        <v>46193</v>
      </c>
      <c r="G127" s="8" t="s">
        <v>420</v>
      </c>
      <c r="H127" s="8" t="s">
        <v>420</v>
      </c>
      <c r="I127" s="8" t="s">
        <v>421</v>
      </c>
      <c r="J127" s="8"/>
      <c r="K127" s="8" t="s">
        <v>885</v>
      </c>
    </row>
    <row r="128" spans="1:11" ht="48" customHeight="1">
      <c r="A128" s="8" t="s">
        <v>886</v>
      </c>
      <c r="B128" s="8" t="s">
        <v>887</v>
      </c>
      <c r="C128" s="8">
        <v>2023</v>
      </c>
      <c r="D128" s="8" t="s">
        <v>199</v>
      </c>
      <c r="E128" s="8" t="s">
        <v>712</v>
      </c>
      <c r="F128" s="29">
        <v>46193</v>
      </c>
      <c r="G128" s="8" t="s">
        <v>420</v>
      </c>
      <c r="H128" s="8" t="s">
        <v>420</v>
      </c>
      <c r="I128" s="8" t="s">
        <v>421</v>
      </c>
      <c r="J128" s="8"/>
      <c r="K128" s="8" t="s">
        <v>888</v>
      </c>
    </row>
    <row r="129" spans="1:11" ht="48" customHeight="1">
      <c r="A129" s="8" t="s">
        <v>889</v>
      </c>
      <c r="B129" s="8" t="s">
        <v>890</v>
      </c>
      <c r="C129" s="8">
        <v>2023</v>
      </c>
      <c r="D129" s="8" t="s">
        <v>205</v>
      </c>
      <c r="E129" s="8" t="s">
        <v>891</v>
      </c>
      <c r="F129" s="29">
        <v>46193</v>
      </c>
      <c r="G129" s="8" t="s">
        <v>420</v>
      </c>
      <c r="H129" s="8" t="s">
        <v>420</v>
      </c>
      <c r="I129" s="8" t="s">
        <v>421</v>
      </c>
      <c r="J129" s="8"/>
      <c r="K129" s="8" t="s">
        <v>892</v>
      </c>
    </row>
    <row r="130" spans="1:11" ht="48" customHeight="1">
      <c r="A130" s="8" t="s">
        <v>893</v>
      </c>
      <c r="B130" s="8" t="s">
        <v>894</v>
      </c>
      <c r="C130" s="8">
        <v>1998</v>
      </c>
      <c r="D130" s="8" t="s">
        <v>205</v>
      </c>
      <c r="E130" s="8" t="s">
        <v>895</v>
      </c>
      <c r="F130" s="29">
        <v>46193</v>
      </c>
      <c r="G130" s="8" t="s">
        <v>420</v>
      </c>
      <c r="H130" s="8" t="s">
        <v>420</v>
      </c>
      <c r="I130" s="8" t="s">
        <v>421</v>
      </c>
      <c r="J130" s="8"/>
      <c r="K130" s="8" t="s">
        <v>896</v>
      </c>
    </row>
    <row r="131" spans="1:11" ht="48" customHeight="1">
      <c r="A131" s="8" t="s">
        <v>897</v>
      </c>
      <c r="B131" s="8" t="s">
        <v>898</v>
      </c>
      <c r="C131" s="8">
        <v>2025</v>
      </c>
      <c r="D131" s="8" t="s">
        <v>193</v>
      </c>
      <c r="E131" s="8" t="s">
        <v>899</v>
      </c>
      <c r="F131" s="29">
        <v>46193</v>
      </c>
      <c r="G131" s="8" t="s">
        <v>420</v>
      </c>
      <c r="H131" s="8" t="s">
        <v>420</v>
      </c>
      <c r="I131" s="8" t="s">
        <v>421</v>
      </c>
      <c r="J131" s="8"/>
      <c r="K131" s="8" t="s">
        <v>900</v>
      </c>
    </row>
    <row r="132" spans="1:11" ht="60" customHeight="1">
      <c r="A132" s="8" t="s">
        <v>901</v>
      </c>
      <c r="B132" s="8" t="s">
        <v>902</v>
      </c>
      <c r="C132" s="8">
        <v>2017</v>
      </c>
      <c r="D132" s="8" t="s">
        <v>205</v>
      </c>
      <c r="E132" s="8" t="s">
        <v>903</v>
      </c>
      <c r="F132" s="29">
        <v>46193</v>
      </c>
      <c r="G132" s="8" t="s">
        <v>420</v>
      </c>
      <c r="H132" s="8" t="s">
        <v>420</v>
      </c>
      <c r="I132" s="8" t="s">
        <v>421</v>
      </c>
      <c r="J132" s="8"/>
      <c r="K132" s="8" t="s">
        <v>904</v>
      </c>
    </row>
    <row r="133" spans="1:11" ht="60" customHeight="1">
      <c r="A133" s="8" t="s">
        <v>905</v>
      </c>
      <c r="B133" s="8" t="s">
        <v>906</v>
      </c>
      <c r="C133" s="8">
        <v>2012</v>
      </c>
      <c r="D133" s="8" t="s">
        <v>193</v>
      </c>
      <c r="E133" s="8" t="s">
        <v>907</v>
      </c>
      <c r="F133" s="29">
        <v>46193</v>
      </c>
      <c r="G133" s="8" t="s">
        <v>420</v>
      </c>
      <c r="H133" s="8" t="s">
        <v>420</v>
      </c>
      <c r="I133" s="8" t="s">
        <v>421</v>
      </c>
      <c r="J133" s="8"/>
      <c r="K133" s="8" t="s">
        <v>908</v>
      </c>
    </row>
    <row r="134" spans="1:11" ht="48" customHeight="1">
      <c r="A134" s="8" t="s">
        <v>909</v>
      </c>
      <c r="B134" s="8" t="s">
        <v>910</v>
      </c>
      <c r="C134" s="8">
        <v>2015</v>
      </c>
      <c r="D134" s="8" t="s">
        <v>193</v>
      </c>
      <c r="E134" s="8" t="s">
        <v>911</v>
      </c>
      <c r="F134" s="29">
        <v>46193</v>
      </c>
      <c r="G134" s="8" t="s">
        <v>420</v>
      </c>
      <c r="H134" s="8" t="s">
        <v>420</v>
      </c>
      <c r="I134" s="8" t="s">
        <v>421</v>
      </c>
      <c r="J134" s="8"/>
      <c r="K134" s="8" t="s">
        <v>912</v>
      </c>
    </row>
    <row r="135" spans="1:11" ht="60" customHeight="1">
      <c r="A135" s="8" t="s">
        <v>913</v>
      </c>
      <c r="B135" s="8" t="s">
        <v>914</v>
      </c>
      <c r="C135" s="8">
        <v>2023</v>
      </c>
      <c r="D135" s="8" t="s">
        <v>193</v>
      </c>
      <c r="E135" s="8" t="s">
        <v>915</v>
      </c>
      <c r="F135" s="29">
        <v>46193</v>
      </c>
      <c r="G135" s="8" t="s">
        <v>420</v>
      </c>
      <c r="H135" s="8" t="s">
        <v>420</v>
      </c>
      <c r="I135" s="8" t="s">
        <v>421</v>
      </c>
      <c r="J135" s="8"/>
      <c r="K135" s="8" t="s">
        <v>916</v>
      </c>
    </row>
    <row r="136" spans="1:11" ht="48" customHeight="1">
      <c r="A136" s="8" t="s">
        <v>917</v>
      </c>
      <c r="B136" s="8" t="s">
        <v>918</v>
      </c>
      <c r="C136" s="8">
        <v>2019</v>
      </c>
      <c r="D136" s="8" t="s">
        <v>202</v>
      </c>
      <c r="E136" s="8" t="s">
        <v>919</v>
      </c>
      <c r="F136" s="29">
        <v>46193</v>
      </c>
      <c r="G136" s="8" t="s">
        <v>420</v>
      </c>
      <c r="H136" s="8" t="s">
        <v>420</v>
      </c>
      <c r="I136" s="8" t="s">
        <v>920</v>
      </c>
      <c r="J136" s="8" t="s">
        <v>921</v>
      </c>
      <c r="K136" s="8" t="s">
        <v>922</v>
      </c>
    </row>
    <row r="137" spans="1:11" ht="48" customHeight="1">
      <c r="A137" s="8" t="s">
        <v>923</v>
      </c>
      <c r="B137" s="8" t="s">
        <v>924</v>
      </c>
      <c r="C137" s="8">
        <v>2017</v>
      </c>
      <c r="D137" s="8" t="s">
        <v>193</v>
      </c>
      <c r="E137" s="8" t="s">
        <v>925</v>
      </c>
      <c r="F137" s="29">
        <v>46193</v>
      </c>
      <c r="G137" s="8" t="s">
        <v>420</v>
      </c>
      <c r="H137" s="8" t="s">
        <v>420</v>
      </c>
      <c r="I137" s="8" t="s">
        <v>421</v>
      </c>
      <c r="J137" s="8"/>
      <c r="K137" s="8" t="s">
        <v>926</v>
      </c>
    </row>
    <row r="138" spans="1:11" ht="48" customHeight="1">
      <c r="A138" s="8" t="s">
        <v>927</v>
      </c>
      <c r="B138" s="8" t="s">
        <v>928</v>
      </c>
      <c r="C138" s="8">
        <v>2014</v>
      </c>
      <c r="D138" s="8" t="s">
        <v>202</v>
      </c>
      <c r="E138" s="8" t="s">
        <v>929</v>
      </c>
      <c r="F138" s="29">
        <v>46193</v>
      </c>
      <c r="G138" s="8" t="s">
        <v>420</v>
      </c>
      <c r="H138" s="8" t="s">
        <v>420</v>
      </c>
      <c r="I138" s="8" t="s">
        <v>920</v>
      </c>
      <c r="J138" s="8" t="s">
        <v>930</v>
      </c>
      <c r="K138" s="8" t="s">
        <v>931</v>
      </c>
    </row>
    <row r="139" spans="1:11" ht="60" customHeight="1">
      <c r="A139" s="8" t="s">
        <v>932</v>
      </c>
      <c r="B139" s="8" t="s">
        <v>933</v>
      </c>
      <c r="C139" s="8">
        <v>2020</v>
      </c>
      <c r="D139" s="8" t="s">
        <v>193</v>
      </c>
      <c r="E139" s="8" t="s">
        <v>934</v>
      </c>
      <c r="F139" s="29">
        <v>46193</v>
      </c>
      <c r="G139" s="8" t="s">
        <v>420</v>
      </c>
      <c r="H139" s="8" t="s">
        <v>420</v>
      </c>
      <c r="I139" s="8" t="s">
        <v>421</v>
      </c>
      <c r="J139" s="8"/>
      <c r="K139" s="8" t="s">
        <v>935</v>
      </c>
    </row>
    <row r="140" spans="1:11" ht="48" customHeight="1">
      <c r="A140" s="8" t="s">
        <v>936</v>
      </c>
      <c r="B140" s="8" t="s">
        <v>937</v>
      </c>
      <c r="C140" s="8">
        <v>2019</v>
      </c>
      <c r="D140" s="8" t="s">
        <v>193</v>
      </c>
      <c r="E140" s="8" t="s">
        <v>938</v>
      </c>
      <c r="F140" s="29">
        <v>46193</v>
      </c>
      <c r="G140" s="8" t="s">
        <v>420</v>
      </c>
      <c r="H140" s="8" t="s">
        <v>420</v>
      </c>
      <c r="I140" s="8" t="s">
        <v>421</v>
      </c>
      <c r="J140" s="8"/>
      <c r="K140" s="8" t="s">
        <v>939</v>
      </c>
    </row>
    <row r="141" spans="1:11" ht="60" customHeight="1">
      <c r="A141" s="8" t="s">
        <v>940</v>
      </c>
      <c r="B141" s="8" t="s">
        <v>941</v>
      </c>
      <c r="C141" s="8">
        <v>2018</v>
      </c>
      <c r="D141" s="8" t="s">
        <v>202</v>
      </c>
      <c r="E141" s="8" t="s">
        <v>942</v>
      </c>
      <c r="F141" s="29">
        <v>46193</v>
      </c>
      <c r="G141" s="8" t="s">
        <v>420</v>
      </c>
      <c r="H141" s="8" t="s">
        <v>420</v>
      </c>
      <c r="I141" s="8" t="s">
        <v>421</v>
      </c>
      <c r="J141" s="8"/>
      <c r="K141" s="8" t="s">
        <v>943</v>
      </c>
    </row>
    <row r="142" spans="1:11" ht="48" customHeight="1">
      <c r="A142" s="8" t="s">
        <v>944</v>
      </c>
      <c r="B142" s="8" t="s">
        <v>945</v>
      </c>
      <c r="C142" s="8">
        <v>2013</v>
      </c>
      <c r="D142" s="8" t="s">
        <v>193</v>
      </c>
      <c r="E142" s="8" t="s">
        <v>946</v>
      </c>
      <c r="F142" s="29">
        <v>46193</v>
      </c>
      <c r="G142" s="8" t="s">
        <v>420</v>
      </c>
      <c r="H142" s="8" t="s">
        <v>420</v>
      </c>
      <c r="I142" s="8" t="s">
        <v>421</v>
      </c>
      <c r="J142" s="8"/>
      <c r="K142" s="8" t="s">
        <v>947</v>
      </c>
    </row>
    <row r="143" spans="1:11" ht="60" customHeight="1">
      <c r="A143" s="8" t="s">
        <v>948</v>
      </c>
      <c r="B143" s="8" t="s">
        <v>949</v>
      </c>
      <c r="C143" s="8">
        <v>2023</v>
      </c>
      <c r="D143" s="8" t="s">
        <v>193</v>
      </c>
      <c r="E143" s="8" t="s">
        <v>950</v>
      </c>
      <c r="F143" s="29">
        <v>46193</v>
      </c>
      <c r="G143" s="8" t="s">
        <v>420</v>
      </c>
      <c r="H143" s="8" t="s">
        <v>420</v>
      </c>
      <c r="I143" s="8" t="s">
        <v>421</v>
      </c>
      <c r="J143" s="8"/>
      <c r="K143" s="8" t="s">
        <v>951</v>
      </c>
    </row>
    <row r="144" spans="1:11" ht="60" customHeight="1">
      <c r="A144" s="8" t="s">
        <v>952</v>
      </c>
      <c r="B144" s="8" t="s">
        <v>953</v>
      </c>
      <c r="C144" s="8">
        <v>2024</v>
      </c>
      <c r="D144" s="8" t="s">
        <v>193</v>
      </c>
      <c r="E144" s="8" t="s">
        <v>954</v>
      </c>
      <c r="F144" s="29">
        <v>46193</v>
      </c>
      <c r="G144" s="8" t="s">
        <v>420</v>
      </c>
      <c r="H144" s="8" t="s">
        <v>420</v>
      </c>
      <c r="I144" s="8" t="s">
        <v>421</v>
      </c>
      <c r="J144" s="8"/>
      <c r="K144" s="8" t="s">
        <v>955</v>
      </c>
    </row>
    <row r="145" spans="1:11" ht="60" customHeight="1">
      <c r="A145" s="8" t="s">
        <v>956</v>
      </c>
      <c r="B145" s="8" t="s">
        <v>957</v>
      </c>
      <c r="C145" s="8">
        <v>2023</v>
      </c>
      <c r="D145" s="8" t="s">
        <v>199</v>
      </c>
      <c r="E145" s="8" t="s">
        <v>958</v>
      </c>
      <c r="F145" s="29">
        <v>46193</v>
      </c>
      <c r="G145" s="8" t="s">
        <v>420</v>
      </c>
      <c r="H145" s="8" t="s">
        <v>420</v>
      </c>
      <c r="I145" s="8" t="s">
        <v>421</v>
      </c>
      <c r="J145" s="8"/>
      <c r="K145" s="8" t="s">
        <v>959</v>
      </c>
    </row>
    <row r="146" spans="1:11" ht="60" customHeight="1">
      <c r="A146" s="8" t="s">
        <v>960</v>
      </c>
      <c r="B146" s="8" t="s">
        <v>961</v>
      </c>
      <c r="C146" s="8">
        <v>2020</v>
      </c>
      <c r="D146" s="8" t="s">
        <v>199</v>
      </c>
      <c r="E146" s="8" t="s">
        <v>712</v>
      </c>
      <c r="F146" s="29">
        <v>46193</v>
      </c>
      <c r="G146" s="8" t="s">
        <v>420</v>
      </c>
      <c r="H146" s="8" t="s">
        <v>420</v>
      </c>
      <c r="I146" s="8" t="s">
        <v>421</v>
      </c>
      <c r="J146" s="8"/>
      <c r="K146" s="8" t="s">
        <v>962</v>
      </c>
    </row>
    <row r="147" spans="1:11" ht="72" customHeight="1">
      <c r="A147" s="8" t="s">
        <v>963</v>
      </c>
      <c r="B147" s="8" t="s">
        <v>964</v>
      </c>
      <c r="C147" s="8">
        <v>2024</v>
      </c>
      <c r="D147" s="8" t="s">
        <v>193</v>
      </c>
      <c r="E147" s="8" t="s">
        <v>965</v>
      </c>
      <c r="F147" s="29">
        <v>46193</v>
      </c>
      <c r="G147" s="8" t="s">
        <v>420</v>
      </c>
      <c r="H147" s="8" t="s">
        <v>420</v>
      </c>
      <c r="I147" s="8" t="s">
        <v>421</v>
      </c>
      <c r="J147" s="8" t="s">
        <v>966</v>
      </c>
      <c r="K147" s="8" t="s">
        <v>967</v>
      </c>
    </row>
    <row r="148" spans="1:11" ht="60" customHeight="1">
      <c r="A148" s="8" t="s">
        <v>968</v>
      </c>
      <c r="B148" s="8" t="s">
        <v>969</v>
      </c>
      <c r="C148" s="8">
        <v>2024</v>
      </c>
      <c r="D148" s="8" t="s">
        <v>193</v>
      </c>
      <c r="E148" s="8" t="s">
        <v>970</v>
      </c>
      <c r="F148" s="29">
        <v>46193</v>
      </c>
      <c r="G148" s="8" t="s">
        <v>420</v>
      </c>
      <c r="H148" s="8" t="s">
        <v>420</v>
      </c>
      <c r="I148" s="8" t="s">
        <v>421</v>
      </c>
      <c r="J148" s="8" t="s">
        <v>966</v>
      </c>
      <c r="K148" s="8" t="s">
        <v>971</v>
      </c>
    </row>
    <row r="149" spans="1:11" ht="60" customHeight="1">
      <c r="A149" s="8" t="s">
        <v>972</v>
      </c>
      <c r="B149" s="8" t="s">
        <v>973</v>
      </c>
      <c r="C149" s="8">
        <v>2018</v>
      </c>
      <c r="D149" s="8" t="s">
        <v>205</v>
      </c>
      <c r="E149" s="8" t="s">
        <v>974</v>
      </c>
      <c r="F149" s="8" t="s">
        <v>396</v>
      </c>
      <c r="G149" s="8" t="s">
        <v>420</v>
      </c>
      <c r="H149" s="8" t="s">
        <v>420</v>
      </c>
      <c r="I149" s="8" t="s">
        <v>421</v>
      </c>
      <c r="J149" s="8"/>
      <c r="K149" s="8" t="s">
        <v>975</v>
      </c>
    </row>
    <row r="150" spans="1:11" ht="72" customHeight="1">
      <c r="A150" s="8" t="s">
        <v>976</v>
      </c>
      <c r="B150" s="8" t="s">
        <v>977</v>
      </c>
      <c r="C150" s="8">
        <v>2017</v>
      </c>
      <c r="D150" s="8" t="s">
        <v>196</v>
      </c>
      <c r="E150" s="8" t="s">
        <v>978</v>
      </c>
      <c r="F150" s="29">
        <v>46193</v>
      </c>
      <c r="G150" s="8" t="s">
        <v>420</v>
      </c>
      <c r="H150" s="8" t="s">
        <v>420</v>
      </c>
      <c r="I150" s="8" t="s">
        <v>421</v>
      </c>
      <c r="J150" s="8"/>
      <c r="K150" s="8" t="s">
        <v>979</v>
      </c>
    </row>
    <row r="151" spans="1:11" ht="72" customHeight="1">
      <c r="A151" s="8" t="s">
        <v>980</v>
      </c>
      <c r="B151" s="8" t="s">
        <v>981</v>
      </c>
      <c r="C151" s="8">
        <v>2012</v>
      </c>
      <c r="D151" s="8" t="s">
        <v>196</v>
      </c>
      <c r="E151" s="8" t="s">
        <v>982</v>
      </c>
      <c r="F151" s="29">
        <v>46193</v>
      </c>
      <c r="G151" s="8" t="s">
        <v>420</v>
      </c>
      <c r="H151" s="8" t="s">
        <v>420</v>
      </c>
      <c r="I151" s="8" t="s">
        <v>421</v>
      </c>
      <c r="J151" s="8"/>
      <c r="K151" s="8" t="s">
        <v>983</v>
      </c>
    </row>
    <row r="152" spans="1:11" ht="72" customHeight="1">
      <c r="A152" s="8" t="s">
        <v>984</v>
      </c>
      <c r="B152" s="8" t="s">
        <v>985</v>
      </c>
      <c r="C152" s="8">
        <v>2003</v>
      </c>
      <c r="D152" s="8" t="s">
        <v>205</v>
      </c>
      <c r="E152" s="8" t="s">
        <v>986</v>
      </c>
      <c r="F152" s="29">
        <v>46193</v>
      </c>
      <c r="G152" s="8" t="s">
        <v>420</v>
      </c>
      <c r="H152" s="8" t="s">
        <v>420</v>
      </c>
      <c r="I152" s="8" t="s">
        <v>421</v>
      </c>
      <c r="J152" s="8"/>
      <c r="K152" s="8" t="s">
        <v>987</v>
      </c>
    </row>
    <row r="153" spans="1:11" ht="60" customHeight="1">
      <c r="A153" s="8" t="s">
        <v>988</v>
      </c>
      <c r="B153" s="8" t="s">
        <v>989</v>
      </c>
      <c r="C153" s="8">
        <v>2016</v>
      </c>
      <c r="D153" s="8" t="s">
        <v>205</v>
      </c>
      <c r="E153" s="8" t="s">
        <v>990</v>
      </c>
      <c r="F153" s="29">
        <v>46193</v>
      </c>
      <c r="G153" s="8" t="s">
        <v>420</v>
      </c>
      <c r="H153" s="8" t="s">
        <v>420</v>
      </c>
      <c r="I153" s="8" t="s">
        <v>421</v>
      </c>
      <c r="J153" s="8"/>
      <c r="K153" s="8" t="s">
        <v>991</v>
      </c>
    </row>
    <row r="154" spans="1:11" ht="72" customHeight="1">
      <c r="A154" s="8" t="s">
        <v>992</v>
      </c>
      <c r="B154" s="8" t="s">
        <v>993</v>
      </c>
      <c r="C154" s="8">
        <v>2010</v>
      </c>
      <c r="D154" s="8" t="s">
        <v>202</v>
      </c>
      <c r="E154" s="8" t="s">
        <v>994</v>
      </c>
      <c r="F154" s="29">
        <v>46193</v>
      </c>
      <c r="G154" s="8" t="s">
        <v>420</v>
      </c>
      <c r="H154" s="8" t="s">
        <v>420</v>
      </c>
      <c r="I154" s="8" t="s">
        <v>421</v>
      </c>
      <c r="J154" s="8"/>
      <c r="K154" s="8" t="s">
        <v>995</v>
      </c>
    </row>
    <row r="155" spans="1:11" ht="60" customHeight="1">
      <c r="A155" s="8" t="s">
        <v>996</v>
      </c>
      <c r="B155" s="8" t="s">
        <v>997</v>
      </c>
      <c r="C155" s="8">
        <v>2018</v>
      </c>
      <c r="D155" s="8" t="s">
        <v>199</v>
      </c>
      <c r="E155" s="8" t="s">
        <v>998</v>
      </c>
      <c r="F155" s="29">
        <v>46193</v>
      </c>
      <c r="G155" s="8" t="s">
        <v>420</v>
      </c>
      <c r="H155" s="8" t="s">
        <v>420</v>
      </c>
      <c r="I155" s="8" t="s">
        <v>421</v>
      </c>
      <c r="J155" s="8"/>
      <c r="K155" s="8" t="s">
        <v>999</v>
      </c>
    </row>
    <row r="156" spans="1:11" ht="48" customHeight="1">
      <c r="A156" s="8" t="s">
        <v>1000</v>
      </c>
      <c r="B156" s="8" t="s">
        <v>1001</v>
      </c>
      <c r="C156" s="8">
        <v>2018</v>
      </c>
      <c r="D156" s="8" t="s">
        <v>205</v>
      </c>
      <c r="E156" s="8" t="s">
        <v>1002</v>
      </c>
      <c r="F156" s="29">
        <v>46193</v>
      </c>
      <c r="G156" s="8" t="s">
        <v>420</v>
      </c>
      <c r="H156" s="8" t="s">
        <v>420</v>
      </c>
      <c r="I156" s="8" t="s">
        <v>421</v>
      </c>
      <c r="J156" s="8"/>
      <c r="K156" s="8" t="s">
        <v>1003</v>
      </c>
    </row>
    <row r="157" spans="1:11" ht="60" customHeight="1">
      <c r="A157" s="8" t="s">
        <v>1004</v>
      </c>
      <c r="B157" s="8" t="s">
        <v>1005</v>
      </c>
      <c r="C157" s="8">
        <v>2017</v>
      </c>
      <c r="D157" s="8" t="s">
        <v>202</v>
      </c>
      <c r="E157" s="8" t="s">
        <v>1006</v>
      </c>
      <c r="F157" s="29">
        <v>46193</v>
      </c>
      <c r="G157" s="8" t="s">
        <v>420</v>
      </c>
      <c r="H157" s="8" t="s">
        <v>420</v>
      </c>
      <c r="I157" s="8" t="s">
        <v>421</v>
      </c>
      <c r="J157" s="8"/>
      <c r="K157" s="8" t="s">
        <v>1007</v>
      </c>
    </row>
    <row r="158" spans="1:11" ht="60">
      <c r="A158" s="8" t="s">
        <v>1008</v>
      </c>
      <c r="B158" s="8" t="s">
        <v>1009</v>
      </c>
      <c r="C158" s="8">
        <v>2023</v>
      </c>
      <c r="D158" s="8" t="s">
        <v>199</v>
      </c>
      <c r="E158" s="8" t="s">
        <v>716</v>
      </c>
      <c r="F158" s="29">
        <v>46205</v>
      </c>
      <c r="G158" s="8" t="s">
        <v>420</v>
      </c>
      <c r="H158" s="8" t="s">
        <v>420</v>
      </c>
      <c r="I158" s="8" t="s">
        <v>421</v>
      </c>
      <c r="J158" s="8"/>
      <c r="K158" s="8" t="s">
        <v>1010</v>
      </c>
    </row>
    <row r="159" spans="1:11" ht="48">
      <c r="A159" s="8" t="s">
        <v>1011</v>
      </c>
      <c r="B159" s="8" t="s">
        <v>1012</v>
      </c>
      <c r="C159" s="8">
        <v>2000</v>
      </c>
      <c r="D159" s="8" t="s">
        <v>205</v>
      </c>
      <c r="E159" s="8" t="s">
        <v>1013</v>
      </c>
      <c r="F159" s="29">
        <v>46205</v>
      </c>
      <c r="G159" s="8" t="s">
        <v>420</v>
      </c>
      <c r="H159" s="8" t="s">
        <v>420</v>
      </c>
      <c r="I159" s="8" t="s">
        <v>421</v>
      </c>
      <c r="J159" s="8"/>
      <c r="K159" s="8" t="s">
        <v>1014</v>
      </c>
    </row>
    <row r="160" spans="1:11" ht="72">
      <c r="A160" s="8" t="s">
        <v>1015</v>
      </c>
      <c r="B160" s="8" t="s">
        <v>1016</v>
      </c>
      <c r="C160" s="8">
        <v>2025</v>
      </c>
      <c r="D160" s="8" t="s">
        <v>199</v>
      </c>
      <c r="E160" s="8" t="s">
        <v>1017</v>
      </c>
      <c r="F160" s="29">
        <v>46205</v>
      </c>
      <c r="G160" s="8" t="s">
        <v>420</v>
      </c>
      <c r="H160" s="8" t="s">
        <v>420</v>
      </c>
      <c r="I160" s="8" t="s">
        <v>421</v>
      </c>
      <c r="J160" s="8"/>
      <c r="K160" s="8" t="s">
        <v>1018</v>
      </c>
    </row>
    <row r="161" spans="1:11" ht="69" customHeight="1">
      <c r="A161" s="8" t="s">
        <v>1019</v>
      </c>
      <c r="B161" s="8" t="s">
        <v>1020</v>
      </c>
      <c r="C161" s="8">
        <v>2020</v>
      </c>
      <c r="D161" s="8" t="s">
        <v>202</v>
      </c>
      <c r="E161" s="8" t="s">
        <v>1021</v>
      </c>
      <c r="F161" s="29">
        <v>46205</v>
      </c>
      <c r="G161" s="8" t="s">
        <v>420</v>
      </c>
      <c r="H161" s="8" t="s">
        <v>420</v>
      </c>
      <c r="I161" s="8" t="s">
        <v>421</v>
      </c>
      <c r="J161" s="8"/>
      <c r="K161" s="8" t="s">
        <v>1022</v>
      </c>
    </row>
    <row r="162" spans="1:11" ht="60">
      <c r="A162" s="8" t="s">
        <v>1023</v>
      </c>
      <c r="B162" s="8" t="s">
        <v>1024</v>
      </c>
      <c r="C162" s="8">
        <v>2018</v>
      </c>
      <c r="D162" s="8" t="s">
        <v>202</v>
      </c>
      <c r="E162" s="8" t="s">
        <v>1025</v>
      </c>
      <c r="F162" s="29">
        <v>46205</v>
      </c>
      <c r="G162" s="8" t="s">
        <v>420</v>
      </c>
      <c r="H162" s="8" t="s">
        <v>420</v>
      </c>
      <c r="I162" s="8" t="s">
        <v>421</v>
      </c>
      <c r="J162" s="8"/>
      <c r="K162" s="8" t="s">
        <v>1026</v>
      </c>
    </row>
    <row r="163" spans="1:11" ht="107.25">
      <c r="A163" s="8" t="s">
        <v>1027</v>
      </c>
      <c r="B163" s="8" t="s">
        <v>1028</v>
      </c>
      <c r="C163" s="8">
        <v>2020</v>
      </c>
      <c r="D163" s="8" t="s">
        <v>211</v>
      </c>
      <c r="E163" s="8" t="s">
        <v>1029</v>
      </c>
      <c r="F163" s="29">
        <v>46205</v>
      </c>
      <c r="G163" s="8" t="s">
        <v>420</v>
      </c>
      <c r="H163" s="8" t="s">
        <v>420</v>
      </c>
      <c r="I163" s="8" t="s">
        <v>421</v>
      </c>
      <c r="J163" s="8"/>
      <c r="K163" s="8" t="s">
        <v>1030</v>
      </c>
    </row>
    <row r="164" spans="1:11" ht="108.75" customHeight="1">
      <c r="A164" s="8" t="s">
        <v>1031</v>
      </c>
      <c r="B164" s="8" t="s">
        <v>1032</v>
      </c>
      <c r="C164" s="8">
        <v>2023</v>
      </c>
      <c r="D164" s="8" t="s">
        <v>211</v>
      </c>
      <c r="E164" s="8" t="s">
        <v>1033</v>
      </c>
      <c r="F164" s="29">
        <v>46205</v>
      </c>
      <c r="G164" s="8" t="s">
        <v>420</v>
      </c>
      <c r="H164" s="8" t="s">
        <v>420</v>
      </c>
      <c r="I164" s="8" t="s">
        <v>421</v>
      </c>
      <c r="J164" s="8"/>
      <c r="K164" s="8" t="s">
        <v>1034</v>
      </c>
    </row>
    <row r="165" spans="1:11" ht="60">
      <c r="A165" s="8" t="s">
        <v>1035</v>
      </c>
      <c r="B165" s="8" t="s">
        <v>1036</v>
      </c>
      <c r="C165" s="8">
        <v>2022</v>
      </c>
      <c r="D165" s="8" t="s">
        <v>202</v>
      </c>
      <c r="E165" s="8" t="s">
        <v>1037</v>
      </c>
      <c r="F165" s="29">
        <v>46205</v>
      </c>
      <c r="G165" s="8" t="s">
        <v>420</v>
      </c>
      <c r="H165" s="8" t="s">
        <v>420</v>
      </c>
      <c r="I165" s="8" t="s">
        <v>421</v>
      </c>
      <c r="J165" s="8"/>
      <c r="K165" s="8" t="s">
        <v>1038</v>
      </c>
    </row>
    <row r="166" spans="1:11" ht="84">
      <c r="A166" s="8" t="s">
        <v>1039</v>
      </c>
      <c r="B166" s="8" t="s">
        <v>1040</v>
      </c>
      <c r="C166" s="8">
        <v>2008</v>
      </c>
      <c r="D166" s="8" t="s">
        <v>205</v>
      </c>
      <c r="E166" s="8" t="s">
        <v>1041</v>
      </c>
      <c r="F166" s="29">
        <v>46205</v>
      </c>
      <c r="G166" s="8" t="s">
        <v>420</v>
      </c>
      <c r="H166" s="8" t="s">
        <v>420</v>
      </c>
      <c r="I166" s="8" t="s">
        <v>421</v>
      </c>
      <c r="J166" s="8" t="s">
        <v>1042</v>
      </c>
      <c r="K166" s="8" t="s">
        <v>1043</v>
      </c>
    </row>
    <row r="167" spans="1:11" ht="130.5">
      <c r="A167" s="8" t="s">
        <v>1044</v>
      </c>
      <c r="B167" s="8" t="s">
        <v>1045</v>
      </c>
      <c r="C167" s="8">
        <v>2000</v>
      </c>
      <c r="D167" s="8" t="s">
        <v>205</v>
      </c>
      <c r="E167" s="8" t="s">
        <v>1046</v>
      </c>
      <c r="F167" s="29">
        <v>46205</v>
      </c>
      <c r="G167" s="8" t="s">
        <v>420</v>
      </c>
      <c r="H167" s="8" t="s">
        <v>420</v>
      </c>
      <c r="I167" s="8" t="s">
        <v>421</v>
      </c>
      <c r="J167" s="8" t="s">
        <v>1047</v>
      </c>
      <c r="K167" s="8" t="s">
        <v>1048</v>
      </c>
    </row>
    <row r="168" spans="1:11" ht="118.5">
      <c r="A168" s="8" t="s">
        <v>1049</v>
      </c>
      <c r="B168" s="8" t="s">
        <v>1050</v>
      </c>
      <c r="C168" s="8">
        <v>2021</v>
      </c>
      <c r="D168" s="8" t="s">
        <v>205</v>
      </c>
      <c r="E168" s="8" t="s">
        <v>1051</v>
      </c>
      <c r="F168" s="29">
        <v>46205</v>
      </c>
      <c r="G168" s="8" t="s">
        <v>420</v>
      </c>
      <c r="H168" s="8" t="s">
        <v>420</v>
      </c>
      <c r="I168" s="8" t="s">
        <v>421</v>
      </c>
      <c r="J168" s="8" t="s">
        <v>1052</v>
      </c>
      <c r="K168" s="8" t="s">
        <v>1053</v>
      </c>
    </row>
    <row r="169" spans="1:11" ht="107.25">
      <c r="A169" s="8" t="s">
        <v>1054</v>
      </c>
      <c r="B169" s="8" t="s">
        <v>1055</v>
      </c>
      <c r="C169" s="8">
        <v>1974</v>
      </c>
      <c r="D169" s="8" t="s">
        <v>193</v>
      </c>
      <c r="E169" s="8" t="s">
        <v>1056</v>
      </c>
      <c r="F169" s="29">
        <v>46205</v>
      </c>
      <c r="G169" s="8" t="s">
        <v>420</v>
      </c>
      <c r="H169" s="8" t="s">
        <v>420</v>
      </c>
      <c r="I169" s="8" t="s">
        <v>421</v>
      </c>
      <c r="J169" s="8" t="s">
        <v>1057</v>
      </c>
      <c r="K169" s="8" t="s">
        <v>1058</v>
      </c>
    </row>
    <row r="170" spans="1:11" ht="60">
      <c r="A170" s="8" t="s">
        <v>1059</v>
      </c>
      <c r="B170" s="8" t="s">
        <v>1060</v>
      </c>
      <c r="C170" s="8">
        <v>2019</v>
      </c>
      <c r="D170" s="8" t="s">
        <v>193</v>
      </c>
      <c r="E170" s="8" t="s">
        <v>1061</v>
      </c>
      <c r="F170" s="29">
        <v>46205</v>
      </c>
      <c r="G170" s="8" t="s">
        <v>420</v>
      </c>
      <c r="H170" s="8" t="s">
        <v>420</v>
      </c>
      <c r="I170" s="8" t="s">
        <v>421</v>
      </c>
      <c r="J170" s="8"/>
      <c r="K170" s="8" t="s">
        <v>1062</v>
      </c>
    </row>
    <row r="171" spans="1:11" ht="130.5">
      <c r="A171" s="8" t="s">
        <v>1063</v>
      </c>
      <c r="B171" s="8" t="s">
        <v>1064</v>
      </c>
      <c r="C171" s="8">
        <v>1992</v>
      </c>
      <c r="D171" s="8" t="s">
        <v>205</v>
      </c>
      <c r="E171" s="8" t="s">
        <v>1065</v>
      </c>
      <c r="F171" s="29">
        <v>46205</v>
      </c>
      <c r="G171" s="8" t="s">
        <v>420</v>
      </c>
      <c r="H171" s="8" t="s">
        <v>420</v>
      </c>
      <c r="I171" s="8" t="s">
        <v>421</v>
      </c>
      <c r="J171" s="8" t="s">
        <v>1066</v>
      </c>
      <c r="K171" s="8" t="s">
        <v>1067</v>
      </c>
    </row>
    <row r="172" spans="1:11" ht="48">
      <c r="A172" s="8" t="s">
        <v>1068</v>
      </c>
      <c r="B172" s="8" t="s">
        <v>1069</v>
      </c>
      <c r="C172" s="8">
        <v>2007</v>
      </c>
      <c r="D172" s="8" t="s">
        <v>205</v>
      </c>
      <c r="E172" s="8" t="s">
        <v>1070</v>
      </c>
      <c r="F172" s="29">
        <v>46205</v>
      </c>
      <c r="G172" s="8" t="s">
        <v>420</v>
      </c>
      <c r="H172" s="8" t="s">
        <v>420</v>
      </c>
      <c r="I172" s="8" t="s">
        <v>421</v>
      </c>
      <c r="J172" s="8"/>
      <c r="K172" s="8" t="s">
        <v>1071</v>
      </c>
    </row>
    <row r="173" spans="1:11" ht="60">
      <c r="A173" s="8" t="s">
        <v>1072</v>
      </c>
      <c r="B173" s="8" t="s">
        <v>1073</v>
      </c>
      <c r="C173" s="8">
        <v>2017</v>
      </c>
      <c r="D173" s="8" t="s">
        <v>196</v>
      </c>
      <c r="E173" s="8" t="s">
        <v>1074</v>
      </c>
      <c r="F173" s="29">
        <v>46205</v>
      </c>
      <c r="G173" s="8" t="s">
        <v>420</v>
      </c>
      <c r="H173" s="8" t="s">
        <v>420</v>
      </c>
      <c r="I173" s="8" t="s">
        <v>421</v>
      </c>
      <c r="J173" s="8"/>
      <c r="K173" s="8" t="s">
        <v>1075</v>
      </c>
    </row>
    <row r="174" spans="1:11" ht="60">
      <c r="A174" s="8" t="s">
        <v>1076</v>
      </c>
      <c r="B174" s="8" t="s">
        <v>1077</v>
      </c>
      <c r="C174" s="8">
        <v>2016</v>
      </c>
      <c r="D174" s="8" t="s">
        <v>193</v>
      </c>
      <c r="E174" s="8" t="s">
        <v>1078</v>
      </c>
      <c r="F174" s="29">
        <v>46205</v>
      </c>
      <c r="G174" s="8" t="s">
        <v>420</v>
      </c>
      <c r="H174" s="8" t="s">
        <v>420</v>
      </c>
      <c r="I174" s="8" t="s">
        <v>421</v>
      </c>
      <c r="J174" s="8"/>
      <c r="K174" s="8" t="s">
        <v>1079</v>
      </c>
    </row>
    <row r="175" spans="1:11" ht="92.25" customHeight="1">
      <c r="A175" s="8" t="s">
        <v>1080</v>
      </c>
      <c r="B175" s="8" t="s">
        <v>1081</v>
      </c>
      <c r="C175" s="8">
        <v>2025</v>
      </c>
      <c r="D175" s="8" t="s">
        <v>199</v>
      </c>
      <c r="E175" s="8" t="s">
        <v>1082</v>
      </c>
      <c r="F175" s="29">
        <v>46205</v>
      </c>
      <c r="G175" s="8" t="s">
        <v>420</v>
      </c>
      <c r="H175" s="8" t="s">
        <v>420</v>
      </c>
      <c r="I175" s="8" t="s">
        <v>421</v>
      </c>
      <c r="J175" s="8"/>
      <c r="K175" s="8" t="s">
        <v>1083</v>
      </c>
    </row>
    <row r="176" spans="1:11" ht="99.75" customHeight="1">
      <c r="A176" s="8" t="s">
        <v>1084</v>
      </c>
      <c r="B176" s="8" t="s">
        <v>1085</v>
      </c>
      <c r="C176" s="8">
        <v>2017</v>
      </c>
      <c r="D176" s="8" t="s">
        <v>193</v>
      </c>
      <c r="E176" s="8" t="s">
        <v>1086</v>
      </c>
      <c r="F176" s="29">
        <v>46205</v>
      </c>
      <c r="G176" s="8" t="s">
        <v>420</v>
      </c>
      <c r="H176" s="8" t="s">
        <v>420</v>
      </c>
      <c r="I176" s="8" t="s">
        <v>421</v>
      </c>
      <c r="J176" s="8"/>
      <c r="K176" s="8" t="s">
        <v>1087</v>
      </c>
    </row>
    <row r="177" spans="1:11" ht="99.75" customHeight="1">
      <c r="A177" s="8" t="s">
        <v>1088</v>
      </c>
      <c r="B177" s="8" t="s">
        <v>1089</v>
      </c>
      <c r="C177" s="8">
        <v>2020</v>
      </c>
      <c r="D177" s="8" t="s">
        <v>211</v>
      </c>
      <c r="E177" s="8" t="s">
        <v>1090</v>
      </c>
      <c r="F177" s="29">
        <v>46205</v>
      </c>
      <c r="G177" s="8" t="s">
        <v>420</v>
      </c>
      <c r="H177" s="8" t="s">
        <v>420</v>
      </c>
      <c r="I177" s="8" t="s">
        <v>421</v>
      </c>
      <c r="J177" s="8"/>
      <c r="K177" s="8" t="s">
        <v>1091</v>
      </c>
    </row>
    <row r="178" spans="1:11" ht="90" customHeight="1">
      <c r="A178" s="8" t="s">
        <v>1092</v>
      </c>
      <c r="B178" s="8" t="s">
        <v>1093</v>
      </c>
      <c r="C178" s="8">
        <v>2022</v>
      </c>
      <c r="D178" s="8" t="s">
        <v>193</v>
      </c>
      <c r="E178" s="8" t="s">
        <v>1094</v>
      </c>
      <c r="F178" s="29">
        <v>46205</v>
      </c>
      <c r="G178" s="8" t="s">
        <v>420</v>
      </c>
      <c r="H178" s="8" t="s">
        <v>420</v>
      </c>
      <c r="I178" s="8" t="s">
        <v>421</v>
      </c>
      <c r="J178" s="8"/>
      <c r="K178" s="8" t="s">
        <v>1095</v>
      </c>
    </row>
    <row r="179" spans="1:11" ht="96">
      <c r="A179" s="8" t="s">
        <v>1096</v>
      </c>
      <c r="B179" s="8" t="s">
        <v>1097</v>
      </c>
      <c r="C179" s="8">
        <v>2022</v>
      </c>
      <c r="D179" s="8" t="s">
        <v>196</v>
      </c>
      <c r="E179" s="8" t="s">
        <v>1098</v>
      </c>
      <c r="F179" s="29">
        <v>46205</v>
      </c>
      <c r="G179" s="8" t="s">
        <v>420</v>
      </c>
      <c r="H179" s="8" t="s">
        <v>420</v>
      </c>
      <c r="I179" s="8" t="s">
        <v>421</v>
      </c>
      <c r="J179" s="8"/>
      <c r="K179" s="8" t="s">
        <v>1099</v>
      </c>
    </row>
    <row r="180" spans="1:11" ht="15" customHeight="1">
      <c r="A180" s="15"/>
      <c r="B180" s="15"/>
      <c r="C180" s="15"/>
      <c r="D180" s="15"/>
      <c r="E180" s="15"/>
      <c r="F180" s="15"/>
      <c r="G180" s="15"/>
      <c r="H180" s="15"/>
      <c r="I180" s="15"/>
      <c r="J180" s="15"/>
      <c r="K180" s="15"/>
    </row>
    <row r="181" spans="1:11" ht="15" customHeight="1">
      <c r="A181" s="15"/>
      <c r="B181" s="15"/>
      <c r="C181" s="15"/>
      <c r="D181" s="15"/>
      <c r="E181" s="15"/>
      <c r="F181" s="15"/>
      <c r="G181" s="15"/>
      <c r="H181" s="15"/>
      <c r="I181" s="15"/>
      <c r="J181" s="15"/>
      <c r="K181" s="15"/>
    </row>
    <row r="182" spans="1:11" ht="15" customHeight="1">
      <c r="A182" s="15"/>
      <c r="B182" s="15"/>
      <c r="C182" s="15"/>
      <c r="D182" s="15"/>
      <c r="E182" s="15"/>
      <c r="F182" s="15"/>
      <c r="G182" s="15"/>
      <c r="H182" s="15"/>
      <c r="I182" s="15"/>
      <c r="J182" s="15"/>
      <c r="K182" s="15"/>
    </row>
    <row r="183" spans="1:11" ht="15" customHeight="1">
      <c r="A183" s="15"/>
      <c r="B183" s="15"/>
      <c r="C183" s="15"/>
      <c r="D183" s="15"/>
      <c r="E183" s="15"/>
      <c r="F183" s="15"/>
      <c r="G183" s="15"/>
      <c r="H183" s="15"/>
      <c r="I183" s="15"/>
      <c r="J183" s="15"/>
      <c r="K183" s="15"/>
    </row>
    <row r="184" spans="1:11" ht="15" customHeight="1">
      <c r="A184" s="15"/>
      <c r="B184" s="15"/>
      <c r="C184" s="15"/>
      <c r="D184" s="15"/>
      <c r="E184" s="15"/>
      <c r="F184" s="15"/>
      <c r="G184" s="15"/>
      <c r="H184" s="15"/>
      <c r="I184" s="15"/>
      <c r="J184" s="15"/>
      <c r="K184" s="15"/>
    </row>
    <row r="185" spans="1:11" ht="15" customHeight="1">
      <c r="A185" s="15"/>
      <c r="B185" s="15"/>
      <c r="C185" s="15"/>
      <c r="D185" s="15"/>
      <c r="E185" s="15"/>
      <c r="F185" s="15"/>
      <c r="G185" s="15"/>
      <c r="H185" s="15"/>
      <c r="I185" s="15"/>
      <c r="J185" s="15"/>
      <c r="K185" s="15"/>
    </row>
    <row r="186" spans="1:11" ht="15" customHeight="1">
      <c r="A186" s="15"/>
      <c r="B186" s="15"/>
      <c r="C186" s="15"/>
      <c r="D186" s="15"/>
      <c r="E186" s="15"/>
      <c r="F186" s="15"/>
      <c r="G186" s="15"/>
      <c r="H186" s="15"/>
      <c r="I186" s="15"/>
      <c r="J186" s="15"/>
      <c r="K186" s="15"/>
    </row>
    <row r="187" spans="1:11" ht="15" customHeight="1">
      <c r="A187" s="15"/>
      <c r="B187" s="15"/>
      <c r="C187" s="15"/>
      <c r="D187" s="15"/>
      <c r="E187" s="15"/>
      <c r="F187" s="15"/>
      <c r="G187" s="15"/>
      <c r="H187" s="15"/>
      <c r="I187" s="15"/>
      <c r="J187" s="15"/>
      <c r="K187" s="15"/>
    </row>
    <row r="188" spans="1:11" ht="15" customHeight="1">
      <c r="A188" s="15"/>
      <c r="B188" s="15"/>
      <c r="C188" s="15"/>
      <c r="D188" s="15"/>
      <c r="E188" s="15"/>
      <c r="F188" s="15"/>
      <c r="G188" s="15"/>
      <c r="H188" s="15"/>
      <c r="I188" s="15"/>
      <c r="J188" s="15"/>
      <c r="K188" s="15"/>
    </row>
    <row r="189" spans="1:11" ht="15" customHeight="1">
      <c r="A189" s="15"/>
      <c r="B189" s="15"/>
      <c r="C189" s="15"/>
      <c r="D189" s="15"/>
      <c r="E189" s="15"/>
      <c r="F189" s="15"/>
      <c r="G189" s="15"/>
      <c r="H189" s="15"/>
      <c r="I189" s="15"/>
      <c r="J189" s="15"/>
      <c r="K189" s="15"/>
    </row>
    <row r="190" spans="1:11" ht="15" customHeight="1">
      <c r="A190" s="15"/>
      <c r="B190" s="15"/>
      <c r="C190" s="15"/>
      <c r="D190" s="15"/>
      <c r="E190" s="15"/>
      <c r="F190" s="15"/>
      <c r="G190" s="15"/>
      <c r="H190" s="15"/>
      <c r="I190" s="15"/>
      <c r="J190" s="15"/>
      <c r="K190" s="15"/>
    </row>
    <row r="191" spans="1:11" ht="15" customHeight="1">
      <c r="A191" s="15"/>
      <c r="B191" s="15"/>
      <c r="C191" s="15"/>
      <c r="D191" s="15"/>
      <c r="E191" s="15"/>
      <c r="F191" s="15"/>
      <c r="G191" s="15"/>
      <c r="H191" s="15"/>
      <c r="I191" s="15"/>
      <c r="J191" s="15"/>
      <c r="K191" s="15"/>
    </row>
    <row r="192" spans="1:11" ht="15" customHeight="1">
      <c r="A192" s="15"/>
      <c r="B192" s="15"/>
      <c r="C192" s="15"/>
      <c r="D192" s="15"/>
      <c r="E192" s="15"/>
      <c r="F192" s="15"/>
      <c r="G192" s="15"/>
      <c r="H192" s="15"/>
      <c r="I192" s="15"/>
      <c r="J192" s="15"/>
      <c r="K192" s="15"/>
    </row>
    <row r="193" spans="1:11" ht="15" customHeight="1">
      <c r="A193" s="15"/>
      <c r="B193" s="15"/>
      <c r="C193" s="15"/>
      <c r="D193" s="15"/>
      <c r="E193" s="15"/>
      <c r="F193" s="15"/>
      <c r="G193" s="15"/>
      <c r="H193" s="15"/>
      <c r="I193" s="15"/>
      <c r="J193" s="15"/>
      <c r="K193" s="15"/>
    </row>
    <row r="194" spans="1:11" ht="15" customHeight="1">
      <c r="A194" s="15"/>
      <c r="B194" s="15"/>
      <c r="C194" s="15"/>
      <c r="D194" s="15"/>
      <c r="E194" s="15"/>
      <c r="F194" s="15"/>
      <c r="G194" s="15"/>
      <c r="H194" s="15"/>
      <c r="I194" s="15"/>
      <c r="J194" s="15"/>
      <c r="K194" s="15"/>
    </row>
    <row r="195" spans="1:11" ht="15" customHeight="1">
      <c r="A195" s="15"/>
      <c r="B195" s="15"/>
      <c r="C195" s="15"/>
      <c r="D195" s="15"/>
      <c r="E195" s="15"/>
      <c r="F195" s="15"/>
      <c r="G195" s="15"/>
      <c r="H195" s="15"/>
      <c r="I195" s="15"/>
      <c r="J195" s="15"/>
      <c r="K195" s="15"/>
    </row>
    <row r="196" spans="1:11" ht="15" customHeight="1">
      <c r="A196" s="15"/>
      <c r="B196" s="15"/>
      <c r="C196" s="15"/>
      <c r="D196" s="15"/>
      <c r="E196" s="15"/>
      <c r="F196" s="15"/>
      <c r="G196" s="15"/>
      <c r="H196" s="15"/>
      <c r="I196" s="15"/>
      <c r="J196" s="15"/>
      <c r="K196" s="15"/>
    </row>
    <row r="197" spans="1:11" ht="15" customHeight="1">
      <c r="A197" s="15"/>
      <c r="B197" s="15"/>
      <c r="C197" s="15"/>
      <c r="D197" s="15"/>
      <c r="E197" s="15"/>
      <c r="F197" s="15"/>
      <c r="G197" s="15"/>
      <c r="H197" s="15"/>
      <c r="I197" s="15"/>
      <c r="J197" s="15"/>
      <c r="K197" s="15"/>
    </row>
    <row r="198" spans="1:11" ht="15" customHeight="1">
      <c r="A198" s="15"/>
      <c r="B198" s="15"/>
      <c r="C198" s="15"/>
      <c r="D198" s="15"/>
      <c r="E198" s="15"/>
      <c r="F198" s="15"/>
      <c r="G198" s="15"/>
      <c r="H198" s="15"/>
      <c r="I198" s="15"/>
      <c r="J198" s="15"/>
      <c r="K198" s="15"/>
    </row>
    <row r="199" spans="1:11" ht="15" customHeight="1">
      <c r="A199" s="15"/>
      <c r="B199" s="15"/>
      <c r="C199" s="15"/>
      <c r="D199" s="15"/>
      <c r="E199" s="15"/>
      <c r="F199" s="15"/>
      <c r="G199" s="15"/>
      <c r="H199" s="15"/>
      <c r="I199" s="15"/>
      <c r="J199" s="15"/>
      <c r="K199" s="15"/>
    </row>
    <row r="200" spans="1:11" ht="15" customHeight="1">
      <c r="A200" s="15"/>
      <c r="B200" s="15"/>
      <c r="C200" s="15"/>
      <c r="D200" s="15"/>
      <c r="E200" s="15"/>
      <c r="F200" s="15"/>
      <c r="G200" s="15"/>
      <c r="H200" s="15"/>
      <c r="I200" s="15"/>
      <c r="J200" s="15"/>
      <c r="K200" s="15"/>
    </row>
    <row r="201" spans="1:11" ht="15" customHeight="1">
      <c r="A201" s="15"/>
      <c r="B201" s="15"/>
      <c r="C201" s="15"/>
      <c r="D201" s="15"/>
      <c r="E201" s="15"/>
      <c r="F201" s="15"/>
      <c r="G201" s="15"/>
      <c r="H201" s="15"/>
      <c r="I201" s="15"/>
      <c r="J201" s="15"/>
      <c r="K201" s="15"/>
    </row>
    <row r="202" spans="1:11" ht="15" customHeight="1">
      <c r="A202" s="15"/>
      <c r="B202" s="15"/>
      <c r="C202" s="15"/>
      <c r="D202" s="15"/>
      <c r="E202" s="15"/>
      <c r="F202" s="15"/>
      <c r="G202" s="15"/>
      <c r="H202" s="15"/>
      <c r="I202" s="15"/>
      <c r="J202" s="15"/>
      <c r="K202" s="15"/>
    </row>
    <row r="203" spans="1:11" ht="15" customHeight="1">
      <c r="A203" s="15"/>
      <c r="B203" s="15"/>
      <c r="C203" s="15"/>
      <c r="D203" s="15"/>
      <c r="E203" s="15"/>
      <c r="F203" s="15"/>
      <c r="G203" s="15"/>
      <c r="H203" s="15"/>
      <c r="I203" s="15"/>
      <c r="J203" s="15"/>
      <c r="K203" s="15"/>
    </row>
    <row r="204" spans="1:11" ht="15" customHeight="1">
      <c r="A204" s="15"/>
      <c r="B204" s="15"/>
      <c r="C204" s="15"/>
      <c r="D204" s="15"/>
      <c r="E204" s="15"/>
      <c r="F204" s="15"/>
      <c r="G204" s="15"/>
      <c r="H204" s="15"/>
      <c r="I204" s="15"/>
      <c r="J204" s="15"/>
      <c r="K204" s="15"/>
    </row>
    <row r="205" spans="1:11" ht="15.75" customHeight="1">
      <c r="A205" s="2"/>
      <c r="B205" s="2"/>
      <c r="C205" s="2"/>
      <c r="D205" s="2"/>
      <c r="E205" s="2"/>
      <c r="F205" s="2"/>
      <c r="G205" s="2"/>
      <c r="H205" s="2"/>
      <c r="I205" s="2"/>
      <c r="J205" s="2"/>
      <c r="K205" s="2"/>
    </row>
    <row r="206" spans="1:11" ht="15.75" customHeight="1">
      <c r="A206" s="2"/>
      <c r="B206" s="2"/>
      <c r="C206" s="2"/>
      <c r="D206" s="2"/>
      <c r="E206" s="2"/>
      <c r="F206" s="2"/>
      <c r="G206" s="2"/>
      <c r="H206" s="2"/>
      <c r="I206" s="2"/>
      <c r="J206" s="2"/>
      <c r="K206" s="2"/>
    </row>
    <row r="207" spans="1:11" ht="15.75" customHeight="1">
      <c r="A207" s="2"/>
      <c r="B207" s="2"/>
      <c r="C207" s="2"/>
      <c r="D207" s="2"/>
      <c r="E207" s="2"/>
      <c r="F207" s="2"/>
      <c r="G207" s="2"/>
      <c r="H207" s="2"/>
      <c r="I207" s="2"/>
      <c r="J207" s="2"/>
      <c r="K207" s="2"/>
    </row>
    <row r="208" spans="1:11" ht="15.75" customHeight="1">
      <c r="A208" s="2"/>
      <c r="B208" s="2"/>
      <c r="C208" s="2"/>
      <c r="D208" s="2"/>
      <c r="E208" s="2"/>
      <c r="F208" s="2"/>
      <c r="G208" s="2"/>
      <c r="H208" s="2"/>
      <c r="I208" s="2"/>
      <c r="J208" s="2"/>
      <c r="K208" s="2"/>
    </row>
    <row r="209" spans="1:11" ht="15.75" customHeight="1">
      <c r="A209" s="2"/>
      <c r="B209" s="2"/>
      <c r="C209" s="2"/>
      <c r="D209" s="2"/>
      <c r="E209" s="2"/>
      <c r="F209" s="2"/>
      <c r="G209" s="2"/>
      <c r="H209" s="2"/>
      <c r="I209" s="2"/>
      <c r="J209" s="2"/>
      <c r="K209" s="2"/>
    </row>
    <row r="210" spans="1:11" ht="15.75" customHeight="1">
      <c r="A210" s="2"/>
      <c r="B210" s="2"/>
      <c r="C210" s="2"/>
      <c r="D210" s="2"/>
      <c r="E210" s="2"/>
      <c r="F210" s="2"/>
      <c r="G210" s="2"/>
      <c r="H210" s="2"/>
      <c r="I210" s="2"/>
      <c r="J210" s="2"/>
      <c r="K210" s="2"/>
    </row>
    <row r="211" spans="1:11" ht="15.75" customHeight="1">
      <c r="A211" s="2"/>
      <c r="B211" s="2"/>
      <c r="C211" s="2"/>
      <c r="D211" s="2"/>
      <c r="E211" s="2"/>
      <c r="F211" s="2"/>
      <c r="G211" s="2"/>
      <c r="H211" s="2"/>
      <c r="I211" s="2"/>
      <c r="J211" s="2"/>
      <c r="K211" s="2"/>
    </row>
    <row r="212" spans="1:11" ht="15.75" customHeight="1">
      <c r="A212" s="2"/>
      <c r="B212" s="2"/>
      <c r="C212" s="2"/>
      <c r="D212" s="2"/>
      <c r="E212" s="2"/>
      <c r="F212" s="2"/>
      <c r="G212" s="2"/>
      <c r="H212" s="2"/>
      <c r="I212" s="2"/>
      <c r="J212" s="2"/>
      <c r="K212" s="2"/>
    </row>
    <row r="213" spans="1:11" ht="15.75" customHeight="1">
      <c r="A213" s="2"/>
      <c r="B213" s="2"/>
      <c r="C213" s="2"/>
      <c r="D213" s="2"/>
      <c r="E213" s="2"/>
      <c r="F213" s="2"/>
      <c r="G213" s="2"/>
      <c r="H213" s="2"/>
      <c r="I213" s="2"/>
      <c r="J213" s="2"/>
      <c r="K213" s="2"/>
    </row>
    <row r="214" spans="1:11" ht="15.75" customHeight="1">
      <c r="A214" s="2"/>
      <c r="B214" s="2"/>
      <c r="C214" s="2"/>
      <c r="D214" s="2"/>
      <c r="E214" s="2"/>
      <c r="F214" s="2"/>
      <c r="G214" s="2"/>
      <c r="H214" s="2"/>
      <c r="I214" s="2"/>
      <c r="J214" s="2"/>
      <c r="K214" s="2"/>
    </row>
    <row r="215" spans="1:11" ht="15.75" customHeight="1">
      <c r="A215" s="2"/>
      <c r="B215" s="2"/>
      <c r="C215" s="2"/>
      <c r="D215" s="2"/>
      <c r="E215" s="2"/>
      <c r="F215" s="2"/>
      <c r="G215" s="2"/>
      <c r="H215" s="2"/>
      <c r="I215" s="2"/>
      <c r="J215" s="2"/>
      <c r="K215" s="2"/>
    </row>
    <row r="216" spans="1:11" ht="15.75" customHeight="1">
      <c r="A216" s="2"/>
      <c r="B216" s="2"/>
      <c r="C216" s="2"/>
      <c r="D216" s="2"/>
      <c r="E216" s="2"/>
      <c r="F216" s="2"/>
      <c r="G216" s="2"/>
      <c r="H216" s="2"/>
      <c r="I216" s="2"/>
      <c r="J216" s="2"/>
      <c r="K216" s="2"/>
    </row>
    <row r="217" spans="1:11" ht="15.75" customHeight="1">
      <c r="A217" s="2"/>
      <c r="B217" s="2"/>
      <c r="C217" s="2"/>
      <c r="D217" s="2"/>
      <c r="E217" s="2"/>
      <c r="F217" s="2"/>
      <c r="G217" s="2"/>
      <c r="H217" s="2"/>
      <c r="I217" s="2"/>
      <c r="J217" s="2"/>
      <c r="K217" s="2"/>
    </row>
    <row r="218" spans="1:11" ht="15.75" customHeight="1">
      <c r="A218" s="2"/>
      <c r="B218" s="2"/>
      <c r="C218" s="2"/>
      <c r="D218" s="2"/>
      <c r="E218" s="2"/>
      <c r="F218" s="2"/>
      <c r="G218" s="2"/>
      <c r="H218" s="2"/>
      <c r="I218" s="2"/>
      <c r="J218" s="2"/>
      <c r="K218" s="2"/>
    </row>
    <row r="219" spans="1:11" ht="15.75" customHeight="1">
      <c r="A219" s="2"/>
      <c r="B219" s="2"/>
      <c r="C219" s="2"/>
      <c r="D219" s="2"/>
      <c r="E219" s="2"/>
      <c r="F219" s="2"/>
      <c r="G219" s="2"/>
      <c r="H219" s="2"/>
      <c r="I219" s="2"/>
      <c r="J219" s="2"/>
      <c r="K219" s="2"/>
    </row>
    <row r="220" spans="1:11" ht="15.75" customHeight="1">
      <c r="A220" s="2"/>
      <c r="B220" s="2"/>
      <c r="C220" s="2"/>
      <c r="D220" s="2"/>
      <c r="E220" s="2"/>
      <c r="F220" s="2"/>
      <c r="G220" s="2"/>
      <c r="H220" s="2"/>
      <c r="I220" s="2"/>
      <c r="J220" s="2"/>
      <c r="K220" s="2"/>
    </row>
    <row r="221" spans="1:11" ht="15.75" customHeight="1">
      <c r="A221" s="2"/>
      <c r="B221" s="2"/>
      <c r="C221" s="2"/>
      <c r="D221" s="2"/>
      <c r="E221" s="2"/>
      <c r="F221" s="2"/>
      <c r="G221" s="2"/>
      <c r="H221" s="2"/>
      <c r="I221" s="2"/>
      <c r="J221" s="2"/>
      <c r="K221" s="2"/>
    </row>
    <row r="222" spans="1:11" ht="15.75" customHeight="1">
      <c r="A222" s="2"/>
      <c r="B222" s="2"/>
      <c r="C222" s="2"/>
      <c r="D222" s="2"/>
      <c r="E222" s="2"/>
      <c r="F222" s="2"/>
      <c r="G222" s="2"/>
      <c r="H222" s="2"/>
      <c r="I222" s="2"/>
      <c r="J222" s="2"/>
      <c r="K222" s="2"/>
    </row>
    <row r="223" spans="1:11" ht="15.75" customHeight="1">
      <c r="A223" s="2"/>
      <c r="B223" s="2"/>
      <c r="C223" s="2"/>
      <c r="D223" s="2"/>
      <c r="E223" s="2"/>
      <c r="F223" s="2"/>
      <c r="G223" s="2"/>
      <c r="H223" s="2"/>
      <c r="I223" s="2"/>
      <c r="J223" s="2"/>
      <c r="K223" s="2"/>
    </row>
    <row r="224" spans="1:11" ht="15.75" customHeight="1">
      <c r="A224" s="2"/>
      <c r="B224" s="2"/>
      <c r="C224" s="2"/>
      <c r="D224" s="2"/>
      <c r="E224" s="2"/>
      <c r="F224" s="2"/>
      <c r="G224" s="2"/>
      <c r="H224" s="2"/>
      <c r="I224" s="2"/>
      <c r="J224" s="2"/>
      <c r="K224" s="2"/>
    </row>
    <row r="225" spans="1:11" ht="15.75" customHeight="1">
      <c r="A225" s="2"/>
      <c r="B225" s="2"/>
      <c r="C225" s="2"/>
      <c r="D225" s="2"/>
      <c r="E225" s="2"/>
      <c r="F225" s="2"/>
      <c r="G225" s="2"/>
      <c r="H225" s="2"/>
      <c r="I225" s="2"/>
      <c r="J225" s="2"/>
      <c r="K225" s="2"/>
    </row>
    <row r="226" spans="1:11" ht="15.75" customHeight="1">
      <c r="A226" s="2"/>
      <c r="B226" s="2"/>
      <c r="C226" s="2"/>
      <c r="D226" s="2"/>
      <c r="E226" s="2"/>
      <c r="F226" s="2"/>
      <c r="G226" s="2"/>
      <c r="H226" s="2"/>
      <c r="I226" s="2"/>
      <c r="J226" s="2"/>
      <c r="K226" s="2"/>
    </row>
    <row r="227" spans="1:11" ht="15.75" customHeight="1">
      <c r="A227" s="2"/>
      <c r="B227" s="2"/>
      <c r="C227" s="2"/>
      <c r="D227" s="2"/>
      <c r="E227" s="2"/>
      <c r="F227" s="2"/>
      <c r="G227" s="2"/>
      <c r="H227" s="2"/>
      <c r="I227" s="2"/>
      <c r="J227" s="2"/>
      <c r="K227" s="2"/>
    </row>
    <row r="228" spans="1:11" ht="15.75" customHeight="1">
      <c r="A228" s="2"/>
      <c r="B228" s="2"/>
      <c r="C228" s="2"/>
      <c r="D228" s="2"/>
      <c r="E228" s="2"/>
      <c r="F228" s="2"/>
      <c r="G228" s="2"/>
      <c r="H228" s="2"/>
      <c r="I228" s="2"/>
      <c r="J228" s="2"/>
      <c r="K228" s="2"/>
    </row>
    <row r="229" spans="1:11" ht="15.75" customHeight="1">
      <c r="A229" s="2"/>
      <c r="B229" s="2"/>
      <c r="C229" s="2"/>
      <c r="D229" s="2"/>
      <c r="E229" s="2"/>
      <c r="F229" s="2"/>
      <c r="G229" s="2"/>
      <c r="H229" s="2"/>
      <c r="I229" s="2"/>
      <c r="J229" s="2"/>
      <c r="K229" s="2"/>
    </row>
    <row r="230" spans="1:11" ht="15.75" customHeight="1">
      <c r="A230" s="2"/>
      <c r="B230" s="2"/>
      <c r="C230" s="2"/>
      <c r="D230" s="2"/>
      <c r="E230" s="2"/>
      <c r="F230" s="2"/>
      <c r="G230" s="2"/>
      <c r="H230" s="2"/>
      <c r="I230" s="2"/>
      <c r="J230" s="2"/>
      <c r="K230" s="2"/>
    </row>
    <row r="231" spans="1:11" ht="15.75" customHeight="1">
      <c r="A231" s="2"/>
      <c r="B231" s="2"/>
      <c r="C231" s="2"/>
      <c r="D231" s="2"/>
      <c r="E231" s="2"/>
      <c r="F231" s="2"/>
      <c r="G231" s="2"/>
      <c r="H231" s="2"/>
      <c r="I231" s="2"/>
      <c r="J231" s="2"/>
      <c r="K231" s="2"/>
    </row>
    <row r="232" spans="1:11" ht="15.75" customHeight="1">
      <c r="A232" s="2"/>
      <c r="B232" s="2"/>
      <c r="C232" s="2"/>
      <c r="D232" s="2"/>
      <c r="E232" s="2"/>
      <c r="F232" s="2"/>
      <c r="G232" s="2"/>
      <c r="H232" s="2"/>
      <c r="I232" s="2"/>
      <c r="J232" s="2"/>
      <c r="K232" s="2"/>
    </row>
    <row r="233" spans="1:11" ht="15.75" customHeight="1">
      <c r="A233" s="2"/>
      <c r="B233" s="2"/>
      <c r="C233" s="2"/>
      <c r="D233" s="2"/>
      <c r="E233" s="2"/>
      <c r="F233" s="2"/>
      <c r="G233" s="2"/>
      <c r="H233" s="2"/>
      <c r="I233" s="2"/>
      <c r="J233" s="2"/>
      <c r="K233" s="2"/>
    </row>
    <row r="234" spans="1:11" ht="15.75" customHeight="1">
      <c r="A234" s="2"/>
      <c r="B234" s="2"/>
      <c r="C234" s="2"/>
      <c r="D234" s="2"/>
      <c r="E234" s="2"/>
      <c r="F234" s="2"/>
      <c r="G234" s="2"/>
      <c r="H234" s="2"/>
      <c r="I234" s="2"/>
      <c r="J234" s="2"/>
      <c r="K234" s="2"/>
    </row>
    <row r="235" spans="1:11" ht="15.75" customHeight="1">
      <c r="A235" s="2"/>
      <c r="B235" s="2"/>
      <c r="C235" s="2"/>
      <c r="D235" s="2"/>
      <c r="E235" s="2"/>
      <c r="F235" s="2"/>
      <c r="G235" s="2"/>
      <c r="H235" s="2"/>
      <c r="I235" s="2"/>
      <c r="J235" s="2"/>
      <c r="K235" s="2"/>
    </row>
    <row r="236" spans="1:11" ht="15.75" customHeight="1">
      <c r="A236" s="2"/>
      <c r="B236" s="2"/>
      <c r="C236" s="2"/>
      <c r="D236" s="2"/>
      <c r="E236" s="2"/>
      <c r="F236" s="2"/>
      <c r="G236" s="2"/>
      <c r="H236" s="2"/>
      <c r="I236" s="2"/>
      <c r="J236" s="2"/>
      <c r="K236" s="2"/>
    </row>
    <row r="237" spans="1:11" ht="15.75" customHeight="1">
      <c r="A237" s="2"/>
      <c r="B237" s="2"/>
      <c r="C237" s="2"/>
      <c r="D237" s="2"/>
      <c r="E237" s="2"/>
      <c r="F237" s="2"/>
      <c r="G237" s="2"/>
      <c r="H237" s="2"/>
      <c r="I237" s="2"/>
      <c r="J237" s="2"/>
      <c r="K237" s="2"/>
    </row>
    <row r="238" spans="1:11" ht="15.75" customHeight="1">
      <c r="A238" s="2"/>
      <c r="B238" s="2"/>
      <c r="C238" s="2"/>
      <c r="D238" s="2"/>
      <c r="E238" s="2"/>
      <c r="F238" s="2"/>
      <c r="G238" s="2"/>
      <c r="H238" s="2"/>
      <c r="I238" s="2"/>
      <c r="J238" s="2"/>
      <c r="K238" s="2"/>
    </row>
    <row r="239" spans="1:11" ht="15.75" customHeight="1">
      <c r="A239" s="2"/>
      <c r="B239" s="2"/>
      <c r="C239" s="2"/>
      <c r="D239" s="2"/>
      <c r="E239" s="2"/>
      <c r="F239" s="2"/>
      <c r="G239" s="2"/>
      <c r="H239" s="2"/>
      <c r="I239" s="2"/>
      <c r="J239" s="2"/>
      <c r="K239" s="2"/>
    </row>
    <row r="240" spans="1:11" ht="15.75" customHeight="1">
      <c r="A240" s="2"/>
      <c r="B240" s="2"/>
      <c r="C240" s="2"/>
      <c r="D240" s="2"/>
      <c r="E240" s="2"/>
      <c r="F240" s="2"/>
      <c r="G240" s="2"/>
      <c r="H240" s="2"/>
      <c r="I240" s="2"/>
      <c r="J240" s="2"/>
      <c r="K240" s="2"/>
    </row>
    <row r="241" spans="1:11" ht="15.75" customHeight="1">
      <c r="A241" s="2"/>
      <c r="B241" s="2"/>
      <c r="C241" s="2"/>
      <c r="D241" s="2"/>
      <c r="E241" s="2"/>
      <c r="F241" s="2"/>
      <c r="G241" s="2"/>
      <c r="H241" s="2"/>
      <c r="I241" s="2"/>
      <c r="J241" s="2"/>
      <c r="K241" s="2"/>
    </row>
    <row r="242" spans="1:11" ht="15.75" customHeight="1">
      <c r="A242" s="2"/>
      <c r="B242" s="2"/>
      <c r="C242" s="2"/>
      <c r="D242" s="2"/>
      <c r="E242" s="2"/>
      <c r="F242" s="2"/>
      <c r="G242" s="2"/>
      <c r="H242" s="2"/>
      <c r="I242" s="2"/>
      <c r="J242" s="2"/>
      <c r="K242" s="2"/>
    </row>
    <row r="243" spans="1:11" ht="15.75" customHeight="1">
      <c r="A243" s="2"/>
      <c r="B243" s="2"/>
      <c r="C243" s="2"/>
      <c r="D243" s="2"/>
      <c r="E243" s="2"/>
      <c r="F243" s="2"/>
      <c r="G243" s="2"/>
      <c r="H243" s="2"/>
      <c r="I243" s="2"/>
      <c r="J243" s="2"/>
      <c r="K243" s="2"/>
    </row>
    <row r="244" spans="1:11" ht="15.75" customHeight="1">
      <c r="A244" s="2"/>
      <c r="B244" s="2"/>
      <c r="C244" s="2"/>
      <c r="D244" s="2"/>
      <c r="E244" s="2"/>
      <c r="F244" s="2"/>
      <c r="G244" s="2"/>
      <c r="H244" s="2"/>
      <c r="I244" s="2"/>
      <c r="J244" s="2"/>
      <c r="K244" s="2"/>
    </row>
    <row r="245" spans="1:11" ht="15.75" customHeight="1">
      <c r="A245" s="2"/>
      <c r="B245" s="2"/>
      <c r="C245" s="2"/>
      <c r="D245" s="2"/>
      <c r="E245" s="2"/>
      <c r="F245" s="2"/>
      <c r="G245" s="2"/>
      <c r="H245" s="2"/>
      <c r="I245" s="2"/>
      <c r="J245" s="2"/>
      <c r="K245" s="2"/>
    </row>
    <row r="246" spans="1:11" ht="15.75" customHeight="1">
      <c r="A246" s="2"/>
      <c r="B246" s="2"/>
      <c r="C246" s="2"/>
      <c r="D246" s="2"/>
      <c r="E246" s="2"/>
      <c r="F246" s="2"/>
      <c r="G246" s="2"/>
      <c r="H246" s="2"/>
      <c r="I246" s="2"/>
      <c r="J246" s="2"/>
      <c r="K246" s="2"/>
    </row>
    <row r="247" spans="1:11" ht="15.75" customHeight="1">
      <c r="A247" s="2"/>
      <c r="B247" s="2"/>
      <c r="C247" s="2"/>
      <c r="D247" s="2"/>
      <c r="E247" s="2"/>
      <c r="F247" s="2"/>
      <c r="G247" s="2"/>
      <c r="H247" s="2"/>
      <c r="I247" s="2"/>
      <c r="J247" s="2"/>
      <c r="K247" s="2"/>
    </row>
    <row r="248" spans="1:11" ht="15.75" customHeight="1">
      <c r="A248" s="2"/>
      <c r="B248" s="2"/>
      <c r="C248" s="2"/>
      <c r="D248" s="2"/>
      <c r="E248" s="2"/>
      <c r="F248" s="2"/>
      <c r="G248" s="2"/>
      <c r="H248" s="2"/>
      <c r="I248" s="2"/>
      <c r="J248" s="2"/>
      <c r="K248" s="2"/>
    </row>
    <row r="249" spans="1:11" ht="15.75" customHeight="1">
      <c r="A249" s="2"/>
      <c r="B249" s="2"/>
      <c r="C249" s="2"/>
      <c r="D249" s="2"/>
      <c r="E249" s="2"/>
      <c r="F249" s="2"/>
      <c r="G249" s="2"/>
      <c r="H249" s="2"/>
      <c r="I249" s="2"/>
      <c r="J249" s="2"/>
      <c r="K249" s="2"/>
    </row>
    <row r="250" spans="1:11" ht="15.75" customHeight="1">
      <c r="A250" s="2"/>
      <c r="B250" s="2"/>
      <c r="C250" s="2"/>
      <c r="D250" s="2"/>
      <c r="E250" s="2"/>
      <c r="F250" s="2"/>
      <c r="G250" s="2"/>
      <c r="H250" s="2"/>
      <c r="I250" s="2"/>
      <c r="J250" s="2"/>
      <c r="K250" s="2"/>
    </row>
    <row r="251" spans="1:11" ht="15.75" customHeight="1">
      <c r="A251" s="2"/>
      <c r="B251" s="2"/>
      <c r="C251" s="2"/>
      <c r="D251" s="2"/>
      <c r="E251" s="2"/>
      <c r="F251" s="2"/>
      <c r="G251" s="2"/>
      <c r="H251" s="2"/>
      <c r="I251" s="2"/>
      <c r="J251" s="2"/>
      <c r="K251" s="2"/>
    </row>
    <row r="252" spans="1:11" ht="15.75" customHeight="1">
      <c r="A252" s="2"/>
      <c r="B252" s="2"/>
      <c r="C252" s="2"/>
      <c r="D252" s="2"/>
      <c r="E252" s="2"/>
      <c r="F252" s="2"/>
      <c r="G252" s="2"/>
      <c r="H252" s="2"/>
      <c r="I252" s="2"/>
      <c r="J252" s="2"/>
      <c r="K252" s="2"/>
    </row>
    <row r="253" spans="1:11" ht="15.75" customHeight="1">
      <c r="A253" s="2"/>
      <c r="B253" s="2"/>
      <c r="C253" s="2"/>
      <c r="D253" s="2"/>
      <c r="E253" s="2"/>
      <c r="F253" s="2"/>
      <c r="G253" s="2"/>
      <c r="H253" s="2"/>
      <c r="I253" s="2"/>
      <c r="J253" s="2"/>
      <c r="K253" s="2"/>
    </row>
    <row r="254" spans="1:11" ht="15.75" customHeight="1">
      <c r="A254" s="2"/>
      <c r="B254" s="2"/>
      <c r="C254" s="2"/>
      <c r="D254" s="2"/>
      <c r="E254" s="2"/>
      <c r="F254" s="2"/>
      <c r="G254" s="2"/>
      <c r="H254" s="2"/>
      <c r="I254" s="2"/>
      <c r="J254" s="2"/>
      <c r="K254" s="2"/>
    </row>
    <row r="255" spans="1:11" ht="15.75" customHeight="1">
      <c r="A255" s="2"/>
      <c r="B255" s="2"/>
      <c r="C255" s="2"/>
      <c r="D255" s="2"/>
      <c r="E255" s="2"/>
      <c r="F255" s="2"/>
      <c r="G255" s="2"/>
      <c r="H255" s="2"/>
      <c r="I255" s="2"/>
      <c r="J255" s="2"/>
      <c r="K255" s="2"/>
    </row>
    <row r="256" spans="1:11" ht="15.75" customHeight="1">
      <c r="A256" s="2"/>
      <c r="B256" s="2"/>
      <c r="C256" s="2"/>
      <c r="D256" s="2"/>
      <c r="E256" s="2"/>
      <c r="F256" s="2"/>
      <c r="G256" s="2"/>
      <c r="H256" s="2"/>
      <c r="I256" s="2"/>
      <c r="J256" s="2"/>
      <c r="K256" s="2"/>
    </row>
    <row r="257" spans="1:11" ht="15.75" customHeight="1">
      <c r="A257" s="2"/>
      <c r="B257" s="2"/>
      <c r="C257" s="2"/>
      <c r="D257" s="2"/>
      <c r="E257" s="2"/>
      <c r="F257" s="2"/>
      <c r="G257" s="2"/>
      <c r="H257" s="2"/>
      <c r="I257" s="2"/>
      <c r="J257" s="2"/>
      <c r="K257" s="2"/>
    </row>
    <row r="258" spans="1:11" ht="15.75" customHeight="1">
      <c r="A258" s="2"/>
      <c r="B258" s="2"/>
      <c r="C258" s="2"/>
      <c r="D258" s="2"/>
      <c r="E258" s="2"/>
      <c r="F258" s="2"/>
      <c r="G258" s="2"/>
      <c r="H258" s="2"/>
      <c r="I258" s="2"/>
      <c r="J258" s="2"/>
      <c r="K258" s="2"/>
    </row>
    <row r="259" spans="1:11" ht="15.75" customHeight="1">
      <c r="A259" s="2"/>
      <c r="B259" s="2"/>
      <c r="C259" s="2"/>
      <c r="D259" s="2"/>
      <c r="E259" s="2"/>
      <c r="F259" s="2"/>
      <c r="G259" s="2"/>
      <c r="H259" s="2"/>
      <c r="I259" s="2"/>
      <c r="J259" s="2"/>
      <c r="K259" s="2"/>
    </row>
    <row r="260" spans="1:11" ht="15.75" customHeight="1">
      <c r="A260" s="2"/>
      <c r="B260" s="2"/>
      <c r="C260" s="2"/>
      <c r="D260" s="2"/>
      <c r="E260" s="2"/>
      <c r="F260" s="2"/>
      <c r="G260" s="2"/>
      <c r="H260" s="2"/>
      <c r="I260" s="2"/>
      <c r="J260" s="2"/>
      <c r="K260" s="2"/>
    </row>
    <row r="261" spans="1:11" ht="15.75" customHeight="1">
      <c r="A261" s="2"/>
      <c r="B261" s="2"/>
      <c r="C261" s="2"/>
      <c r="D261" s="2"/>
      <c r="E261" s="2"/>
      <c r="F261" s="2"/>
      <c r="G261" s="2"/>
      <c r="H261" s="2"/>
      <c r="I261" s="2"/>
      <c r="J261" s="2"/>
      <c r="K261" s="2"/>
    </row>
    <row r="262" spans="1:11" ht="15.75" customHeight="1">
      <c r="A262" s="2"/>
      <c r="B262" s="2"/>
      <c r="C262" s="2"/>
      <c r="D262" s="2"/>
      <c r="E262" s="2"/>
      <c r="F262" s="2"/>
      <c r="G262" s="2"/>
      <c r="H262" s="2"/>
      <c r="I262" s="2"/>
      <c r="J262" s="2"/>
      <c r="K262" s="2"/>
    </row>
    <row r="263" spans="1:11" ht="15.75" customHeight="1">
      <c r="A263" s="2"/>
      <c r="B263" s="2"/>
      <c r="C263" s="2"/>
      <c r="D263" s="2"/>
      <c r="E263" s="2"/>
      <c r="F263" s="2"/>
      <c r="G263" s="2"/>
      <c r="H263" s="2"/>
      <c r="I263" s="2"/>
      <c r="J263" s="2"/>
      <c r="K263" s="2"/>
    </row>
    <row r="264" spans="1:11" ht="15.75" customHeight="1">
      <c r="A264" s="2"/>
      <c r="B264" s="2"/>
      <c r="C264" s="2"/>
      <c r="D264" s="2"/>
      <c r="E264" s="2"/>
      <c r="F264" s="2"/>
      <c r="G264" s="2"/>
      <c r="H264" s="2"/>
      <c r="I264" s="2"/>
      <c r="J264" s="2"/>
      <c r="K264" s="2"/>
    </row>
    <row r="265" spans="1:11" ht="15.75" customHeight="1">
      <c r="A265" s="2"/>
      <c r="B265" s="2"/>
      <c r="C265" s="2"/>
      <c r="D265" s="2"/>
      <c r="E265" s="2"/>
      <c r="F265" s="2"/>
      <c r="G265" s="2"/>
      <c r="H265" s="2"/>
      <c r="I265" s="2"/>
      <c r="J265" s="2"/>
      <c r="K265" s="2"/>
    </row>
    <row r="266" spans="1:11" ht="15.75" customHeight="1">
      <c r="A266" s="2"/>
      <c r="B266" s="2"/>
      <c r="C266" s="2"/>
      <c r="D266" s="2"/>
      <c r="E266" s="2"/>
      <c r="F266" s="2"/>
      <c r="G266" s="2"/>
      <c r="H266" s="2"/>
      <c r="I266" s="2"/>
      <c r="J266" s="2"/>
      <c r="K266" s="2"/>
    </row>
    <row r="267" spans="1:11" ht="15.75" customHeight="1">
      <c r="A267" s="2"/>
      <c r="B267" s="2"/>
      <c r="C267" s="2"/>
      <c r="D267" s="2"/>
      <c r="E267" s="2"/>
      <c r="F267" s="2"/>
      <c r="G267" s="2"/>
      <c r="H267" s="2"/>
      <c r="I267" s="2"/>
      <c r="J267" s="2"/>
      <c r="K267" s="2"/>
    </row>
    <row r="268" spans="1:11" ht="15.75" customHeight="1">
      <c r="A268" s="2"/>
      <c r="B268" s="2"/>
      <c r="C268" s="2"/>
      <c r="D268" s="2"/>
      <c r="E268" s="2"/>
      <c r="F268" s="2"/>
      <c r="G268" s="2"/>
      <c r="H268" s="2"/>
      <c r="I268" s="2"/>
      <c r="J268" s="2"/>
      <c r="K268" s="2"/>
    </row>
    <row r="269" spans="1:11" ht="15.75" customHeight="1">
      <c r="A269" s="2"/>
      <c r="B269" s="2"/>
      <c r="C269" s="2"/>
      <c r="D269" s="2"/>
      <c r="E269" s="2"/>
      <c r="F269" s="2"/>
      <c r="G269" s="2"/>
      <c r="H269" s="2"/>
      <c r="I269" s="2"/>
      <c r="J269" s="2"/>
      <c r="K269" s="2"/>
    </row>
    <row r="270" spans="1:11" ht="15.75" customHeight="1">
      <c r="A270" s="2"/>
      <c r="B270" s="2"/>
      <c r="C270" s="2"/>
      <c r="D270" s="2"/>
      <c r="E270" s="2"/>
      <c r="F270" s="2"/>
      <c r="G270" s="2"/>
      <c r="H270" s="2"/>
      <c r="I270" s="2"/>
      <c r="J270" s="2"/>
      <c r="K270" s="2"/>
    </row>
    <row r="271" spans="1:11" ht="15.75" customHeight="1">
      <c r="A271" s="2"/>
      <c r="B271" s="2"/>
      <c r="C271" s="2"/>
      <c r="D271" s="2"/>
      <c r="E271" s="2"/>
      <c r="F271" s="2"/>
      <c r="G271" s="2"/>
      <c r="H271" s="2"/>
      <c r="I271" s="2"/>
      <c r="J271" s="2"/>
      <c r="K271" s="2"/>
    </row>
    <row r="272" spans="1:11" ht="15.75" customHeight="1">
      <c r="A272" s="2"/>
      <c r="B272" s="2"/>
      <c r="C272" s="2"/>
      <c r="D272" s="2"/>
      <c r="E272" s="2"/>
      <c r="F272" s="2"/>
      <c r="G272" s="2"/>
      <c r="H272" s="2"/>
      <c r="I272" s="2"/>
      <c r="J272" s="2"/>
      <c r="K272" s="2"/>
    </row>
    <row r="273" spans="1:11" ht="15.75" customHeight="1">
      <c r="A273" s="2"/>
      <c r="B273" s="2"/>
      <c r="C273" s="2"/>
      <c r="D273" s="2"/>
      <c r="E273" s="2"/>
      <c r="F273" s="2"/>
      <c r="G273" s="2"/>
      <c r="H273" s="2"/>
      <c r="I273" s="2"/>
      <c r="J273" s="2"/>
      <c r="K273" s="2"/>
    </row>
    <row r="274" spans="1:11" ht="15.75" customHeight="1">
      <c r="A274" s="2"/>
      <c r="B274" s="2"/>
      <c r="C274" s="2"/>
      <c r="D274" s="2"/>
      <c r="E274" s="2"/>
      <c r="F274" s="2"/>
      <c r="G274" s="2"/>
      <c r="H274" s="2"/>
      <c r="I274" s="2"/>
      <c r="J274" s="2"/>
      <c r="K274" s="2"/>
    </row>
    <row r="275" spans="1:11" ht="15.75" customHeight="1">
      <c r="A275" s="2"/>
      <c r="B275" s="2"/>
      <c r="C275" s="2"/>
      <c r="D275" s="2"/>
      <c r="E275" s="2"/>
      <c r="F275" s="2"/>
      <c r="G275" s="2"/>
      <c r="H275" s="2"/>
      <c r="I275" s="2"/>
      <c r="J275" s="2"/>
      <c r="K275" s="2"/>
    </row>
    <row r="276" spans="1:11" ht="15.75" customHeight="1">
      <c r="A276" s="2"/>
      <c r="B276" s="2"/>
      <c r="C276" s="2"/>
      <c r="D276" s="2"/>
      <c r="E276" s="2"/>
      <c r="F276" s="2"/>
      <c r="G276" s="2"/>
      <c r="H276" s="2"/>
      <c r="I276" s="2"/>
      <c r="J276" s="2"/>
      <c r="K276" s="2"/>
    </row>
    <row r="277" spans="1:11" ht="15.75" customHeight="1">
      <c r="A277" s="2"/>
      <c r="B277" s="2"/>
      <c r="C277" s="2"/>
      <c r="D277" s="2"/>
      <c r="E277" s="2"/>
      <c r="F277" s="2"/>
      <c r="G277" s="2"/>
      <c r="H277" s="2"/>
      <c r="I277" s="2"/>
      <c r="J277" s="2"/>
      <c r="K277" s="2"/>
    </row>
    <row r="278" spans="1:11" ht="15.75" customHeight="1">
      <c r="A278" s="2"/>
      <c r="B278" s="2"/>
      <c r="C278" s="2"/>
      <c r="D278" s="2"/>
      <c r="E278" s="2"/>
      <c r="F278" s="2"/>
      <c r="G278" s="2"/>
      <c r="H278" s="2"/>
      <c r="I278" s="2"/>
      <c r="J278" s="2"/>
      <c r="K278" s="2"/>
    </row>
    <row r="279" spans="1:11" ht="15.75" customHeight="1">
      <c r="A279" s="2"/>
      <c r="B279" s="2"/>
      <c r="C279" s="2"/>
      <c r="D279" s="2"/>
      <c r="E279" s="2"/>
      <c r="F279" s="2"/>
      <c r="G279" s="2"/>
      <c r="H279" s="2"/>
      <c r="I279" s="2"/>
      <c r="J279" s="2"/>
      <c r="K279" s="2"/>
    </row>
    <row r="280" spans="1:11" ht="15.75" customHeight="1">
      <c r="A280" s="2"/>
      <c r="B280" s="2"/>
      <c r="C280" s="2"/>
      <c r="D280" s="2"/>
      <c r="E280" s="2"/>
      <c r="F280" s="2"/>
      <c r="G280" s="2"/>
      <c r="H280" s="2"/>
      <c r="I280" s="2"/>
      <c r="J280" s="2"/>
      <c r="K280" s="2"/>
    </row>
    <row r="281" spans="1:11" ht="15.75" customHeight="1">
      <c r="A281" s="2"/>
      <c r="B281" s="2"/>
      <c r="C281" s="2"/>
      <c r="D281" s="2"/>
      <c r="E281" s="2"/>
      <c r="F281" s="2"/>
      <c r="G281" s="2"/>
      <c r="H281" s="2"/>
      <c r="I281" s="2"/>
      <c r="J281" s="2"/>
      <c r="K281" s="2"/>
    </row>
    <row r="282" spans="1:11" ht="15.75" customHeight="1">
      <c r="A282" s="2"/>
      <c r="B282" s="2"/>
      <c r="C282" s="2"/>
      <c r="D282" s="2"/>
      <c r="E282" s="2"/>
      <c r="F282" s="2"/>
      <c r="G282" s="2"/>
      <c r="H282" s="2"/>
      <c r="I282" s="2"/>
      <c r="J282" s="2"/>
      <c r="K282" s="2"/>
    </row>
    <row r="283" spans="1:11" ht="15.75" customHeight="1">
      <c r="A283" s="2"/>
      <c r="B283" s="2"/>
      <c r="C283" s="2"/>
      <c r="D283" s="2"/>
      <c r="E283" s="2"/>
      <c r="F283" s="2"/>
      <c r="G283" s="2"/>
      <c r="H283" s="2"/>
      <c r="I283" s="2"/>
      <c r="J283" s="2"/>
      <c r="K283" s="2"/>
    </row>
    <row r="284" spans="1:11" ht="15.75" customHeight="1">
      <c r="A284" s="2"/>
      <c r="B284" s="2"/>
      <c r="C284" s="2"/>
      <c r="D284" s="2"/>
      <c r="E284" s="2"/>
      <c r="F284" s="2"/>
      <c r="G284" s="2"/>
      <c r="H284" s="2"/>
      <c r="I284" s="2"/>
      <c r="J284" s="2"/>
      <c r="K284" s="2"/>
    </row>
    <row r="285" spans="1:11" ht="15.75" customHeight="1">
      <c r="A285" s="2"/>
      <c r="B285" s="2"/>
      <c r="C285" s="2"/>
      <c r="D285" s="2"/>
      <c r="E285" s="2"/>
      <c r="F285" s="2"/>
      <c r="G285" s="2"/>
      <c r="H285" s="2"/>
      <c r="I285" s="2"/>
      <c r="J285" s="2"/>
      <c r="K285" s="2"/>
    </row>
    <row r="286" spans="1:11" ht="15.75" customHeight="1">
      <c r="A286" s="2"/>
      <c r="B286" s="2"/>
      <c r="C286" s="2"/>
      <c r="D286" s="2"/>
      <c r="E286" s="2"/>
      <c r="F286" s="2"/>
      <c r="G286" s="2"/>
      <c r="H286" s="2"/>
      <c r="I286" s="2"/>
      <c r="J286" s="2"/>
      <c r="K286" s="2"/>
    </row>
    <row r="287" spans="1:11" ht="15.75" customHeight="1">
      <c r="A287" s="2"/>
      <c r="B287" s="2"/>
      <c r="C287" s="2"/>
      <c r="D287" s="2"/>
      <c r="E287" s="2"/>
      <c r="F287" s="2"/>
      <c r="G287" s="2"/>
      <c r="H287" s="2"/>
      <c r="I287" s="2"/>
      <c r="J287" s="2"/>
      <c r="K287" s="2"/>
    </row>
    <row r="288" spans="1:11" ht="15.75" customHeight="1">
      <c r="A288" s="2"/>
      <c r="B288" s="2"/>
      <c r="C288" s="2"/>
      <c r="D288" s="2"/>
      <c r="E288" s="2"/>
      <c r="F288" s="2"/>
      <c r="G288" s="2"/>
      <c r="H288" s="2"/>
      <c r="I288" s="2"/>
      <c r="J288" s="2"/>
      <c r="K288" s="2"/>
    </row>
    <row r="289" spans="1:11" ht="15.75" customHeight="1">
      <c r="A289" s="2"/>
      <c r="B289" s="2"/>
      <c r="C289" s="2"/>
      <c r="D289" s="2"/>
      <c r="E289" s="2"/>
      <c r="F289" s="2"/>
      <c r="G289" s="2"/>
      <c r="H289" s="2"/>
      <c r="I289" s="2"/>
      <c r="J289" s="2"/>
      <c r="K289" s="2"/>
    </row>
    <row r="290" spans="1:11" ht="15.75" customHeight="1">
      <c r="A290" s="2"/>
      <c r="B290" s="2"/>
      <c r="C290" s="2"/>
      <c r="D290" s="2"/>
      <c r="E290" s="2"/>
      <c r="F290" s="2"/>
      <c r="G290" s="2"/>
      <c r="H290" s="2"/>
      <c r="I290" s="2"/>
      <c r="J290" s="2"/>
      <c r="K290" s="2"/>
    </row>
    <row r="291" spans="1:11" ht="15.75" customHeight="1">
      <c r="A291" s="2"/>
      <c r="B291" s="2"/>
      <c r="C291" s="2"/>
      <c r="D291" s="2"/>
      <c r="E291" s="2"/>
      <c r="F291" s="2"/>
      <c r="G291" s="2"/>
      <c r="H291" s="2"/>
      <c r="I291" s="2"/>
      <c r="J291" s="2"/>
      <c r="K291" s="2"/>
    </row>
    <row r="292" spans="1:11" ht="15.75" customHeight="1">
      <c r="A292" s="2"/>
      <c r="B292" s="2"/>
      <c r="C292" s="2"/>
      <c r="D292" s="2"/>
      <c r="E292" s="2"/>
      <c r="F292" s="2"/>
      <c r="G292" s="2"/>
      <c r="H292" s="2"/>
      <c r="I292" s="2"/>
      <c r="J292" s="2"/>
      <c r="K292" s="2"/>
    </row>
    <row r="293" spans="1:11" ht="15.75" customHeight="1">
      <c r="A293" s="2"/>
      <c r="B293" s="2"/>
      <c r="C293" s="2"/>
      <c r="D293" s="2"/>
      <c r="E293" s="2"/>
      <c r="F293" s="2"/>
      <c r="G293" s="2"/>
      <c r="H293" s="2"/>
      <c r="I293" s="2"/>
      <c r="J293" s="2"/>
      <c r="K293" s="2"/>
    </row>
    <row r="294" spans="1:11" ht="15.75" customHeight="1">
      <c r="A294" s="2"/>
      <c r="B294" s="2"/>
      <c r="C294" s="2"/>
      <c r="D294" s="2"/>
      <c r="E294" s="2"/>
      <c r="F294" s="2"/>
      <c r="G294" s="2"/>
      <c r="H294" s="2"/>
      <c r="I294" s="2"/>
      <c r="J294" s="2"/>
      <c r="K294" s="2"/>
    </row>
    <row r="295" spans="1:11" ht="15.75" customHeight="1">
      <c r="A295" s="2"/>
      <c r="B295" s="2"/>
      <c r="C295" s="2"/>
      <c r="D295" s="2"/>
      <c r="E295" s="2"/>
      <c r="F295" s="2"/>
      <c r="G295" s="2"/>
      <c r="H295" s="2"/>
      <c r="I295" s="2"/>
      <c r="J295" s="2"/>
      <c r="K295" s="2"/>
    </row>
    <row r="296" spans="1:11" ht="15.75" customHeight="1">
      <c r="A296" s="2"/>
      <c r="B296" s="2"/>
      <c r="C296" s="2"/>
      <c r="D296" s="2"/>
      <c r="E296" s="2"/>
      <c r="F296" s="2"/>
      <c r="G296" s="2"/>
      <c r="H296" s="2"/>
      <c r="I296" s="2"/>
      <c r="J296" s="2"/>
      <c r="K296" s="2"/>
    </row>
    <row r="297" spans="1:11" ht="15.75" customHeight="1">
      <c r="A297" s="2"/>
      <c r="B297" s="2"/>
      <c r="C297" s="2"/>
      <c r="D297" s="2"/>
      <c r="E297" s="2"/>
      <c r="F297" s="2"/>
      <c r="G297" s="2"/>
      <c r="H297" s="2"/>
      <c r="I297" s="2"/>
      <c r="J297" s="2"/>
      <c r="K297" s="2"/>
    </row>
    <row r="298" spans="1:11" ht="15.75" customHeight="1">
      <c r="A298" s="2"/>
      <c r="B298" s="2"/>
      <c r="C298" s="2"/>
      <c r="D298" s="2"/>
      <c r="E298" s="2"/>
      <c r="F298" s="2"/>
      <c r="G298" s="2"/>
      <c r="H298" s="2"/>
      <c r="I298" s="2"/>
      <c r="J298" s="2"/>
      <c r="K298" s="2"/>
    </row>
    <row r="299" spans="1:11" ht="15.75" customHeight="1">
      <c r="A299" s="2"/>
      <c r="B299" s="2"/>
      <c r="C299" s="2"/>
      <c r="D299" s="2"/>
      <c r="E299" s="2"/>
      <c r="F299" s="2"/>
      <c r="G299" s="2"/>
      <c r="H299" s="2"/>
      <c r="I299" s="2"/>
      <c r="J299" s="2"/>
      <c r="K299" s="2"/>
    </row>
    <row r="300" spans="1:11" ht="15.75" customHeight="1">
      <c r="A300" s="2"/>
      <c r="B300" s="2"/>
      <c r="C300" s="2"/>
      <c r="D300" s="2"/>
      <c r="E300" s="2"/>
      <c r="F300" s="2"/>
      <c r="G300" s="2"/>
      <c r="H300" s="2"/>
      <c r="I300" s="2"/>
      <c r="J300" s="2"/>
      <c r="K300" s="2"/>
    </row>
    <row r="301" spans="1:11" ht="15.75" customHeight="1">
      <c r="A301" s="2"/>
      <c r="B301" s="2"/>
      <c r="C301" s="2"/>
      <c r="D301" s="2"/>
      <c r="E301" s="2"/>
      <c r="F301" s="2"/>
      <c r="G301" s="2"/>
      <c r="H301" s="2"/>
      <c r="I301" s="2"/>
      <c r="J301" s="2"/>
      <c r="K301" s="2"/>
    </row>
    <row r="302" spans="1:11" ht="15.75" customHeight="1">
      <c r="A302" s="2"/>
      <c r="B302" s="2"/>
      <c r="C302" s="2"/>
      <c r="D302" s="2"/>
      <c r="E302" s="2"/>
      <c r="F302" s="2"/>
      <c r="G302" s="2"/>
      <c r="H302" s="2"/>
      <c r="I302" s="2"/>
      <c r="J302" s="2"/>
      <c r="K302" s="2"/>
    </row>
    <row r="303" spans="1:11" ht="15.75" customHeight="1">
      <c r="A303" s="2"/>
      <c r="B303" s="2"/>
      <c r="C303" s="2"/>
      <c r="D303" s="2"/>
      <c r="E303" s="2"/>
      <c r="F303" s="2"/>
      <c r="G303" s="2"/>
      <c r="H303" s="2"/>
      <c r="I303" s="2"/>
      <c r="J303" s="2"/>
      <c r="K303" s="2"/>
    </row>
    <row r="304" spans="1:11" ht="15.75" customHeight="1">
      <c r="A304" s="2"/>
      <c r="B304" s="2"/>
      <c r="C304" s="2"/>
      <c r="D304" s="2"/>
      <c r="E304" s="2"/>
      <c r="F304" s="2"/>
      <c r="G304" s="2"/>
      <c r="H304" s="2"/>
      <c r="I304" s="2"/>
      <c r="J304" s="2"/>
      <c r="K304" s="2"/>
    </row>
    <row r="305" spans="1:11" ht="15.75" customHeight="1">
      <c r="A305" s="2"/>
      <c r="B305" s="2"/>
      <c r="C305" s="2"/>
      <c r="D305" s="2"/>
      <c r="E305" s="2"/>
      <c r="F305" s="2"/>
      <c r="G305" s="2"/>
      <c r="H305" s="2"/>
      <c r="I305" s="2"/>
      <c r="J305" s="2"/>
      <c r="K305" s="2"/>
    </row>
    <row r="306" spans="1:11" ht="15.75" customHeight="1">
      <c r="A306" s="2"/>
      <c r="B306" s="2"/>
      <c r="C306" s="2"/>
      <c r="D306" s="2"/>
      <c r="E306" s="2"/>
      <c r="F306" s="2"/>
      <c r="G306" s="2"/>
      <c r="H306" s="2"/>
      <c r="I306" s="2"/>
      <c r="J306" s="2"/>
      <c r="K306" s="2"/>
    </row>
    <row r="307" spans="1:11" ht="15.75" customHeight="1">
      <c r="A307" s="2"/>
      <c r="B307" s="2"/>
      <c r="C307" s="2"/>
      <c r="D307" s="2"/>
      <c r="E307" s="2"/>
      <c r="F307" s="2"/>
      <c r="G307" s="2"/>
      <c r="H307" s="2"/>
      <c r="I307" s="2"/>
      <c r="J307" s="2"/>
      <c r="K307" s="2"/>
    </row>
    <row r="308" spans="1:11" ht="15.75" customHeight="1">
      <c r="A308" s="2"/>
      <c r="B308" s="2"/>
      <c r="C308" s="2"/>
      <c r="D308" s="2"/>
      <c r="E308" s="2"/>
      <c r="F308" s="2"/>
      <c r="G308" s="2"/>
      <c r="H308" s="2"/>
      <c r="I308" s="2"/>
      <c r="J308" s="2"/>
      <c r="K308" s="2"/>
    </row>
    <row r="309" spans="1:11" ht="15.75" customHeight="1">
      <c r="A309" s="2"/>
      <c r="B309" s="2"/>
      <c r="C309" s="2"/>
      <c r="D309" s="2"/>
      <c r="E309" s="2"/>
      <c r="F309" s="2"/>
      <c r="G309" s="2"/>
      <c r="H309" s="2"/>
      <c r="I309" s="2"/>
      <c r="J309" s="2"/>
      <c r="K309" s="2"/>
    </row>
    <row r="310" spans="1:11" ht="15.75" customHeight="1">
      <c r="A310" s="2"/>
      <c r="B310" s="2"/>
      <c r="C310" s="2"/>
      <c r="D310" s="2"/>
      <c r="E310" s="2"/>
      <c r="F310" s="2"/>
      <c r="G310" s="2"/>
      <c r="H310" s="2"/>
      <c r="I310" s="2"/>
      <c r="J310" s="2"/>
      <c r="K310" s="2"/>
    </row>
    <row r="311" spans="1:11" ht="15.75" customHeight="1">
      <c r="A311" s="2"/>
      <c r="B311" s="2"/>
      <c r="C311" s="2"/>
      <c r="D311" s="2"/>
      <c r="E311" s="2"/>
      <c r="F311" s="2"/>
      <c r="G311" s="2"/>
      <c r="H311" s="2"/>
      <c r="I311" s="2"/>
      <c r="J311" s="2"/>
      <c r="K311" s="2"/>
    </row>
    <row r="312" spans="1:11" ht="15.75" customHeight="1">
      <c r="A312" s="2"/>
      <c r="B312" s="2"/>
      <c r="C312" s="2"/>
      <c r="D312" s="2"/>
      <c r="E312" s="2"/>
      <c r="F312" s="2"/>
      <c r="G312" s="2"/>
      <c r="H312" s="2"/>
      <c r="I312" s="2"/>
      <c r="J312" s="2"/>
      <c r="K312" s="2"/>
    </row>
    <row r="313" spans="1:11" ht="15.75" customHeight="1">
      <c r="A313" s="2"/>
      <c r="B313" s="2"/>
      <c r="C313" s="2"/>
      <c r="D313" s="2"/>
      <c r="E313" s="2"/>
      <c r="F313" s="2"/>
      <c r="G313" s="2"/>
      <c r="H313" s="2"/>
      <c r="I313" s="2"/>
      <c r="J313" s="2"/>
      <c r="K313" s="2"/>
    </row>
    <row r="314" spans="1:11" ht="15.75" customHeight="1">
      <c r="A314" s="2"/>
      <c r="B314" s="2"/>
      <c r="C314" s="2"/>
      <c r="D314" s="2"/>
      <c r="E314" s="2"/>
      <c r="F314" s="2"/>
      <c r="G314" s="2"/>
      <c r="H314" s="2"/>
      <c r="I314" s="2"/>
      <c r="J314" s="2"/>
      <c r="K314" s="2"/>
    </row>
    <row r="315" spans="1:11" ht="15.75" customHeight="1">
      <c r="A315" s="2"/>
      <c r="B315" s="2"/>
      <c r="C315" s="2"/>
      <c r="D315" s="2"/>
      <c r="E315" s="2"/>
      <c r="F315" s="2"/>
      <c r="G315" s="2"/>
      <c r="H315" s="2"/>
      <c r="I315" s="2"/>
      <c r="J315" s="2"/>
      <c r="K315" s="2"/>
    </row>
    <row r="316" spans="1:11" ht="15.75" customHeight="1">
      <c r="A316" s="2"/>
      <c r="B316" s="2"/>
      <c r="C316" s="2"/>
      <c r="D316" s="2"/>
      <c r="E316" s="2"/>
      <c r="F316" s="2"/>
      <c r="G316" s="2"/>
      <c r="H316" s="2"/>
      <c r="I316" s="2"/>
      <c r="J316" s="2"/>
      <c r="K316" s="2"/>
    </row>
    <row r="317" spans="1:11" ht="15.75" customHeight="1">
      <c r="A317" s="2"/>
      <c r="B317" s="2"/>
      <c r="C317" s="2"/>
      <c r="D317" s="2"/>
      <c r="E317" s="2"/>
      <c r="F317" s="2"/>
      <c r="G317" s="2"/>
      <c r="H317" s="2"/>
      <c r="I317" s="2"/>
      <c r="J317" s="2"/>
      <c r="K317" s="2"/>
    </row>
    <row r="318" spans="1:11" ht="15.75" customHeight="1">
      <c r="A318" s="2"/>
      <c r="B318" s="2"/>
      <c r="C318" s="2"/>
      <c r="D318" s="2"/>
      <c r="E318" s="2"/>
      <c r="F318" s="2"/>
      <c r="G318" s="2"/>
      <c r="H318" s="2"/>
      <c r="I318" s="2"/>
      <c r="J318" s="2"/>
      <c r="K318" s="2"/>
    </row>
    <row r="319" spans="1:11" ht="15.75" customHeight="1">
      <c r="A319" s="2"/>
      <c r="B319" s="2"/>
      <c r="C319" s="2"/>
      <c r="D319" s="2"/>
      <c r="E319" s="2"/>
      <c r="F319" s="2"/>
      <c r="G319" s="2"/>
      <c r="H319" s="2"/>
      <c r="I319" s="2"/>
      <c r="J319" s="2"/>
      <c r="K319" s="2"/>
    </row>
    <row r="320" spans="1:11" ht="15.75" customHeight="1">
      <c r="A320" s="2"/>
      <c r="B320" s="2"/>
      <c r="C320" s="2"/>
      <c r="D320" s="2"/>
      <c r="E320" s="2"/>
      <c r="F320" s="2"/>
      <c r="G320" s="2"/>
      <c r="H320" s="2"/>
      <c r="I320" s="2"/>
      <c r="J320" s="2"/>
      <c r="K320" s="2"/>
    </row>
    <row r="321" spans="1:11" ht="15.75" customHeight="1">
      <c r="A321" s="2"/>
      <c r="B321" s="2"/>
      <c r="C321" s="2"/>
      <c r="D321" s="2"/>
      <c r="E321" s="2"/>
      <c r="F321" s="2"/>
      <c r="G321" s="2"/>
      <c r="H321" s="2"/>
      <c r="I321" s="2"/>
      <c r="J321" s="2"/>
      <c r="K321" s="2"/>
    </row>
    <row r="322" spans="1:11" ht="15.75" customHeight="1">
      <c r="A322" s="2"/>
      <c r="B322" s="2"/>
      <c r="C322" s="2"/>
      <c r="D322" s="2"/>
      <c r="E322" s="2"/>
      <c r="F322" s="2"/>
      <c r="G322" s="2"/>
      <c r="H322" s="2"/>
      <c r="I322" s="2"/>
      <c r="J322" s="2"/>
      <c r="K322" s="2"/>
    </row>
    <row r="323" spans="1:11" ht="15.75" customHeight="1">
      <c r="A323" s="2"/>
      <c r="B323" s="2"/>
      <c r="C323" s="2"/>
      <c r="D323" s="2"/>
      <c r="E323" s="2"/>
      <c r="F323" s="2"/>
      <c r="G323" s="2"/>
      <c r="H323" s="2"/>
      <c r="I323" s="2"/>
      <c r="J323" s="2"/>
      <c r="K323" s="2"/>
    </row>
    <row r="324" spans="1:11" ht="15.75" customHeight="1">
      <c r="A324" s="2"/>
      <c r="B324" s="2"/>
      <c r="C324" s="2"/>
      <c r="D324" s="2"/>
      <c r="E324" s="2"/>
      <c r="F324" s="2"/>
      <c r="G324" s="2"/>
      <c r="H324" s="2"/>
      <c r="I324" s="2"/>
      <c r="J324" s="2"/>
      <c r="K324" s="2"/>
    </row>
    <row r="325" spans="1:11" ht="15.75" customHeight="1">
      <c r="A325" s="2"/>
      <c r="B325" s="2"/>
      <c r="C325" s="2"/>
      <c r="D325" s="2"/>
      <c r="E325" s="2"/>
      <c r="F325" s="2"/>
      <c r="G325" s="2"/>
      <c r="H325" s="2"/>
      <c r="I325" s="2"/>
      <c r="J325" s="2"/>
      <c r="K325" s="2"/>
    </row>
    <row r="326" spans="1:11" ht="15.75" customHeight="1">
      <c r="A326" s="2"/>
      <c r="B326" s="2"/>
      <c r="C326" s="2"/>
      <c r="D326" s="2"/>
      <c r="E326" s="2"/>
      <c r="F326" s="2"/>
      <c r="G326" s="2"/>
      <c r="H326" s="2"/>
      <c r="I326" s="2"/>
      <c r="J326" s="2"/>
      <c r="K326" s="2"/>
    </row>
    <row r="327" spans="1:11" ht="15.75" customHeight="1">
      <c r="A327" s="2"/>
      <c r="B327" s="2"/>
      <c r="C327" s="2"/>
      <c r="D327" s="2"/>
      <c r="E327" s="2"/>
      <c r="F327" s="2"/>
      <c r="G327" s="2"/>
      <c r="H327" s="2"/>
      <c r="I327" s="2"/>
      <c r="J327" s="2"/>
      <c r="K327" s="2"/>
    </row>
    <row r="328" spans="1:11" ht="15.75" customHeight="1">
      <c r="A328" s="2"/>
      <c r="B328" s="2"/>
      <c r="C328" s="2"/>
      <c r="D328" s="2"/>
      <c r="E328" s="2"/>
      <c r="F328" s="2"/>
      <c r="G328" s="2"/>
      <c r="H328" s="2"/>
      <c r="I328" s="2"/>
      <c r="J328" s="2"/>
      <c r="K328" s="2"/>
    </row>
    <row r="329" spans="1:11" ht="15.75" customHeight="1">
      <c r="A329" s="2"/>
      <c r="B329" s="2"/>
      <c r="C329" s="2"/>
      <c r="D329" s="2"/>
      <c r="E329" s="2"/>
      <c r="F329" s="2"/>
      <c r="G329" s="2"/>
      <c r="H329" s="2"/>
      <c r="I329" s="2"/>
      <c r="J329" s="2"/>
      <c r="K329" s="2"/>
    </row>
    <row r="330" spans="1:11" ht="15.75" customHeight="1">
      <c r="A330" s="2"/>
      <c r="B330" s="2"/>
      <c r="C330" s="2"/>
      <c r="D330" s="2"/>
      <c r="E330" s="2"/>
      <c r="F330" s="2"/>
      <c r="G330" s="2"/>
      <c r="H330" s="2"/>
      <c r="I330" s="2"/>
      <c r="J330" s="2"/>
      <c r="K330" s="2"/>
    </row>
    <row r="331" spans="1:11" ht="15.75" customHeight="1">
      <c r="A331" s="2"/>
      <c r="B331" s="2"/>
      <c r="C331" s="2"/>
      <c r="D331" s="2"/>
      <c r="E331" s="2"/>
      <c r="F331" s="2"/>
      <c r="G331" s="2"/>
      <c r="H331" s="2"/>
      <c r="I331" s="2"/>
      <c r="J331" s="2"/>
      <c r="K331" s="2"/>
    </row>
    <row r="332" spans="1:11" ht="15.75" customHeight="1">
      <c r="A332" s="2"/>
      <c r="B332" s="2"/>
      <c r="C332" s="2"/>
      <c r="D332" s="2"/>
      <c r="E332" s="2"/>
      <c r="F332" s="2"/>
      <c r="G332" s="2"/>
      <c r="H332" s="2"/>
      <c r="I332" s="2"/>
      <c r="J332" s="2"/>
      <c r="K332" s="2"/>
    </row>
    <row r="333" spans="1:11" ht="15.75" customHeight="1">
      <c r="A333" s="2"/>
      <c r="B333" s="2"/>
      <c r="C333" s="2"/>
      <c r="D333" s="2"/>
      <c r="E333" s="2"/>
      <c r="F333" s="2"/>
      <c r="G333" s="2"/>
      <c r="H333" s="2"/>
      <c r="I333" s="2"/>
      <c r="J333" s="2"/>
      <c r="K333" s="2"/>
    </row>
    <row r="334" spans="1:11" ht="15.75" customHeight="1">
      <c r="A334" s="2"/>
      <c r="B334" s="2"/>
      <c r="C334" s="2"/>
      <c r="D334" s="2"/>
      <c r="E334" s="2"/>
      <c r="F334" s="2"/>
      <c r="G334" s="2"/>
      <c r="H334" s="2"/>
      <c r="I334" s="2"/>
      <c r="J334" s="2"/>
      <c r="K334" s="2"/>
    </row>
    <row r="335" spans="1:11" ht="15.75" customHeight="1">
      <c r="A335" s="2"/>
      <c r="B335" s="2"/>
      <c r="C335" s="2"/>
      <c r="D335" s="2"/>
      <c r="E335" s="2"/>
      <c r="F335" s="2"/>
      <c r="G335" s="2"/>
      <c r="H335" s="2"/>
      <c r="I335" s="2"/>
      <c r="J335" s="2"/>
      <c r="K335" s="2"/>
    </row>
    <row r="336" spans="1:11" ht="15.75" customHeight="1">
      <c r="A336" s="2"/>
      <c r="B336" s="2"/>
      <c r="C336" s="2"/>
      <c r="D336" s="2"/>
      <c r="E336" s="2"/>
      <c r="F336" s="2"/>
      <c r="G336" s="2"/>
      <c r="H336" s="2"/>
      <c r="I336" s="2"/>
      <c r="J336" s="2"/>
      <c r="K336" s="2"/>
    </row>
    <row r="337" spans="1:11" ht="15.75" customHeight="1">
      <c r="A337" s="2"/>
      <c r="B337" s="2"/>
      <c r="C337" s="2"/>
      <c r="D337" s="2"/>
      <c r="E337" s="2"/>
      <c r="F337" s="2"/>
      <c r="G337" s="2"/>
      <c r="H337" s="2"/>
      <c r="I337" s="2"/>
      <c r="J337" s="2"/>
      <c r="K337" s="2"/>
    </row>
    <row r="338" spans="1:11" ht="15.75" customHeight="1">
      <c r="A338" s="2"/>
      <c r="B338" s="2"/>
      <c r="C338" s="2"/>
      <c r="D338" s="2"/>
      <c r="E338" s="2"/>
      <c r="F338" s="2"/>
      <c r="G338" s="2"/>
      <c r="H338" s="2"/>
      <c r="I338" s="2"/>
      <c r="J338" s="2"/>
      <c r="K338" s="2"/>
    </row>
    <row r="339" spans="1:11" ht="15.75" customHeight="1">
      <c r="A339" s="2"/>
      <c r="B339" s="2"/>
      <c r="C339" s="2"/>
      <c r="D339" s="2"/>
      <c r="E339" s="2"/>
      <c r="F339" s="2"/>
      <c r="G339" s="2"/>
      <c r="H339" s="2"/>
      <c r="I339" s="2"/>
      <c r="J339" s="2"/>
      <c r="K339" s="2"/>
    </row>
    <row r="340" spans="1:11" ht="15.75" customHeight="1">
      <c r="A340" s="2"/>
      <c r="B340" s="2"/>
      <c r="C340" s="2"/>
      <c r="D340" s="2"/>
      <c r="E340" s="2"/>
      <c r="F340" s="2"/>
      <c r="G340" s="2"/>
      <c r="H340" s="2"/>
      <c r="I340" s="2"/>
      <c r="J340" s="2"/>
      <c r="K340" s="2"/>
    </row>
    <row r="341" spans="1:11" ht="15.75" customHeight="1">
      <c r="A341" s="2"/>
      <c r="B341" s="2"/>
      <c r="C341" s="2"/>
      <c r="D341" s="2"/>
      <c r="E341" s="2"/>
      <c r="F341" s="2"/>
      <c r="G341" s="2"/>
      <c r="H341" s="2"/>
      <c r="I341" s="2"/>
      <c r="J341" s="2"/>
      <c r="K341" s="2"/>
    </row>
    <row r="342" spans="1:11" ht="15.75" customHeight="1">
      <c r="A342" s="2"/>
      <c r="B342" s="2"/>
      <c r="C342" s="2"/>
      <c r="D342" s="2"/>
      <c r="E342" s="2"/>
      <c r="F342" s="2"/>
      <c r="G342" s="2"/>
      <c r="H342" s="2"/>
      <c r="I342" s="2"/>
      <c r="J342" s="2"/>
      <c r="K342" s="2"/>
    </row>
    <row r="343" spans="1:11" ht="15.75" customHeight="1">
      <c r="A343" s="2"/>
      <c r="B343" s="2"/>
      <c r="C343" s="2"/>
      <c r="D343" s="2"/>
      <c r="E343" s="2"/>
      <c r="F343" s="2"/>
      <c r="G343" s="2"/>
      <c r="H343" s="2"/>
      <c r="I343" s="2"/>
      <c r="J343" s="2"/>
      <c r="K343" s="2"/>
    </row>
    <row r="344" spans="1:11" ht="15.75" customHeight="1">
      <c r="A344" s="2"/>
      <c r="B344" s="2"/>
      <c r="C344" s="2"/>
      <c r="D344" s="2"/>
      <c r="E344" s="2"/>
      <c r="F344" s="2"/>
      <c r="G344" s="2"/>
      <c r="H344" s="2"/>
      <c r="I344" s="2"/>
      <c r="J344" s="2"/>
      <c r="K344" s="2"/>
    </row>
    <row r="345" spans="1:11" ht="15.75" customHeight="1">
      <c r="A345" s="2"/>
      <c r="B345" s="2"/>
      <c r="C345" s="2"/>
      <c r="D345" s="2"/>
      <c r="E345" s="2"/>
      <c r="F345" s="2"/>
      <c r="G345" s="2"/>
      <c r="H345" s="2"/>
      <c r="I345" s="2"/>
      <c r="J345" s="2"/>
      <c r="K345" s="2"/>
    </row>
    <row r="346" spans="1:11" ht="15.75" customHeight="1">
      <c r="A346" s="2"/>
      <c r="B346" s="2"/>
      <c r="C346" s="2"/>
      <c r="D346" s="2"/>
      <c r="E346" s="2"/>
      <c r="F346" s="2"/>
      <c r="G346" s="2"/>
      <c r="H346" s="2"/>
      <c r="I346" s="2"/>
      <c r="J346" s="2"/>
      <c r="K346" s="2"/>
    </row>
    <row r="347" spans="1:11" ht="15.75" customHeight="1">
      <c r="A347" s="2"/>
      <c r="B347" s="2"/>
      <c r="C347" s="2"/>
      <c r="D347" s="2"/>
      <c r="E347" s="2"/>
      <c r="F347" s="2"/>
      <c r="G347" s="2"/>
      <c r="H347" s="2"/>
      <c r="I347" s="2"/>
      <c r="J347" s="2"/>
      <c r="K347" s="2"/>
    </row>
    <row r="348" spans="1:11" ht="15.75" customHeight="1">
      <c r="A348" s="2"/>
      <c r="B348" s="2"/>
      <c r="C348" s="2"/>
      <c r="D348" s="2"/>
      <c r="E348" s="2"/>
      <c r="F348" s="2"/>
      <c r="G348" s="2"/>
      <c r="H348" s="2"/>
      <c r="I348" s="2"/>
      <c r="J348" s="2"/>
      <c r="K348" s="2"/>
    </row>
    <row r="349" spans="1:11" ht="15.75" customHeight="1">
      <c r="A349" s="2"/>
      <c r="B349" s="2"/>
      <c r="C349" s="2"/>
      <c r="D349" s="2"/>
      <c r="E349" s="2"/>
      <c r="F349" s="2"/>
      <c r="G349" s="2"/>
      <c r="H349" s="2"/>
      <c r="I349" s="2"/>
      <c r="J349" s="2"/>
      <c r="K349" s="2"/>
    </row>
    <row r="350" spans="1:11" ht="15.75" customHeight="1">
      <c r="A350" s="2"/>
      <c r="B350" s="2"/>
      <c r="C350" s="2"/>
      <c r="D350" s="2"/>
      <c r="E350" s="2"/>
      <c r="F350" s="2"/>
      <c r="G350" s="2"/>
      <c r="H350" s="2"/>
      <c r="I350" s="2"/>
      <c r="J350" s="2"/>
      <c r="K350" s="2"/>
    </row>
    <row r="351" spans="1:11" ht="15.75" customHeight="1">
      <c r="A351" s="2"/>
      <c r="B351" s="2"/>
      <c r="C351" s="2"/>
      <c r="D351" s="2"/>
      <c r="E351" s="2"/>
      <c r="F351" s="2"/>
      <c r="G351" s="2"/>
      <c r="H351" s="2"/>
      <c r="I351" s="2"/>
      <c r="J351" s="2"/>
      <c r="K351" s="2"/>
    </row>
    <row r="352" spans="1:11" ht="15.75" customHeight="1">
      <c r="A352" s="2"/>
      <c r="B352" s="2"/>
      <c r="C352" s="2"/>
      <c r="D352" s="2"/>
      <c r="E352" s="2"/>
      <c r="F352" s="2"/>
      <c r="G352" s="2"/>
      <c r="H352" s="2"/>
      <c r="I352" s="2"/>
      <c r="J352" s="2"/>
      <c r="K352" s="2"/>
    </row>
    <row r="353" spans="1:11" ht="15.75" customHeight="1">
      <c r="A353" s="2"/>
      <c r="B353" s="2"/>
      <c r="C353" s="2"/>
      <c r="D353" s="2"/>
      <c r="E353" s="2"/>
      <c r="F353" s="2"/>
      <c r="G353" s="2"/>
      <c r="H353" s="2"/>
      <c r="I353" s="2"/>
      <c r="J353" s="2"/>
      <c r="K353" s="2"/>
    </row>
    <row r="354" spans="1:11" ht="15.75" customHeight="1">
      <c r="A354" s="2"/>
      <c r="B354" s="2"/>
      <c r="C354" s="2"/>
      <c r="D354" s="2"/>
      <c r="E354" s="2"/>
      <c r="F354" s="2"/>
      <c r="G354" s="2"/>
      <c r="H354" s="2"/>
      <c r="I354" s="2"/>
      <c r="J354" s="2"/>
      <c r="K354" s="2"/>
    </row>
    <row r="355" spans="1:11" ht="15.75" customHeight="1">
      <c r="A355" s="2"/>
      <c r="B355" s="2"/>
      <c r="C355" s="2"/>
      <c r="D355" s="2"/>
      <c r="E355" s="2"/>
      <c r="F355" s="2"/>
      <c r="G355" s="2"/>
      <c r="H355" s="2"/>
      <c r="I355" s="2"/>
      <c r="J355" s="2"/>
      <c r="K355" s="2"/>
    </row>
    <row r="356" spans="1:11" ht="15.75" customHeight="1">
      <c r="A356" s="2"/>
      <c r="B356" s="2"/>
      <c r="C356" s="2"/>
      <c r="D356" s="2"/>
      <c r="E356" s="2"/>
      <c r="F356" s="2"/>
      <c r="G356" s="2"/>
      <c r="H356" s="2"/>
      <c r="I356" s="2"/>
      <c r="J356" s="2"/>
      <c r="K356" s="2"/>
    </row>
    <row r="357" spans="1:11" ht="15.75" customHeight="1">
      <c r="A357" s="2"/>
      <c r="B357" s="2"/>
      <c r="C357" s="2"/>
      <c r="D357" s="2"/>
      <c r="E357" s="2"/>
      <c r="F357" s="2"/>
      <c r="G357" s="2"/>
      <c r="H357" s="2"/>
      <c r="I357" s="2"/>
      <c r="J357" s="2"/>
      <c r="K357" s="2"/>
    </row>
    <row r="358" spans="1:11" ht="15.75" customHeight="1">
      <c r="A358" s="2"/>
      <c r="B358" s="2"/>
      <c r="C358" s="2"/>
      <c r="D358" s="2"/>
      <c r="E358" s="2"/>
      <c r="F358" s="2"/>
      <c r="G358" s="2"/>
      <c r="H358" s="2"/>
      <c r="I358" s="2"/>
      <c r="J358" s="2"/>
      <c r="K358" s="2"/>
    </row>
    <row r="359" spans="1:11" ht="15.75" customHeight="1">
      <c r="A359" s="2"/>
      <c r="B359" s="2"/>
      <c r="C359" s="2"/>
      <c r="D359" s="2"/>
      <c r="E359" s="2"/>
      <c r="F359" s="2"/>
      <c r="G359" s="2"/>
      <c r="H359" s="2"/>
      <c r="I359" s="2"/>
      <c r="J359" s="2"/>
      <c r="K359" s="2"/>
    </row>
    <row r="360" spans="1:11" ht="15.75" customHeight="1">
      <c r="A360" s="2"/>
      <c r="B360" s="2"/>
      <c r="C360" s="2"/>
      <c r="D360" s="2"/>
      <c r="E360" s="2"/>
      <c r="F360" s="2"/>
      <c r="G360" s="2"/>
      <c r="H360" s="2"/>
      <c r="I360" s="2"/>
      <c r="J360" s="2"/>
      <c r="K360" s="2"/>
    </row>
    <row r="361" spans="1:11" ht="15.75" customHeight="1">
      <c r="A361" s="2"/>
      <c r="B361" s="2"/>
      <c r="C361" s="2"/>
      <c r="D361" s="2"/>
      <c r="E361" s="2"/>
      <c r="F361" s="2"/>
      <c r="G361" s="2"/>
      <c r="H361" s="2"/>
      <c r="I361" s="2"/>
      <c r="J361" s="2"/>
      <c r="K361" s="2"/>
    </row>
    <row r="362" spans="1:11" ht="15.75" customHeight="1">
      <c r="A362" s="2"/>
      <c r="B362" s="2"/>
      <c r="C362" s="2"/>
      <c r="D362" s="2"/>
      <c r="E362" s="2"/>
      <c r="F362" s="2"/>
      <c r="G362" s="2"/>
      <c r="H362" s="2"/>
      <c r="I362" s="2"/>
      <c r="J362" s="2"/>
      <c r="K362" s="2"/>
    </row>
    <row r="363" spans="1:11" ht="15.75" customHeight="1">
      <c r="A363" s="2"/>
      <c r="B363" s="2"/>
      <c r="C363" s="2"/>
      <c r="D363" s="2"/>
      <c r="E363" s="2"/>
      <c r="F363" s="2"/>
      <c r="G363" s="2"/>
      <c r="H363" s="2"/>
      <c r="I363" s="2"/>
      <c r="J363" s="2"/>
      <c r="K363" s="2"/>
    </row>
    <row r="364" spans="1:11" ht="15.75" customHeight="1">
      <c r="A364" s="2"/>
      <c r="B364" s="2"/>
      <c r="C364" s="2"/>
      <c r="D364" s="2"/>
      <c r="E364" s="2"/>
      <c r="F364" s="2"/>
      <c r="G364" s="2"/>
      <c r="H364" s="2"/>
      <c r="I364" s="2"/>
      <c r="J364" s="2"/>
      <c r="K364" s="2"/>
    </row>
    <row r="365" spans="1:11" ht="15.75" customHeight="1">
      <c r="A365" s="2"/>
      <c r="B365" s="2"/>
      <c r="C365" s="2"/>
      <c r="D365" s="2"/>
      <c r="E365" s="2"/>
      <c r="F365" s="2"/>
      <c r="G365" s="2"/>
      <c r="H365" s="2"/>
      <c r="I365" s="2"/>
      <c r="J365" s="2"/>
      <c r="K365" s="2"/>
    </row>
    <row r="366" spans="1:11" ht="15.75" customHeight="1">
      <c r="A366" s="2"/>
      <c r="B366" s="2"/>
      <c r="C366" s="2"/>
      <c r="D366" s="2"/>
      <c r="E366" s="2"/>
      <c r="F366" s="2"/>
      <c r="G366" s="2"/>
      <c r="H366" s="2"/>
      <c r="I366" s="2"/>
      <c r="J366" s="2"/>
      <c r="K366" s="2"/>
    </row>
    <row r="367" spans="1:11" ht="15.75" customHeight="1">
      <c r="A367" s="2"/>
      <c r="B367" s="2"/>
      <c r="C367" s="2"/>
      <c r="D367" s="2"/>
      <c r="E367" s="2"/>
      <c r="F367" s="2"/>
      <c r="G367" s="2"/>
      <c r="H367" s="2"/>
      <c r="I367" s="2"/>
      <c r="J367" s="2"/>
      <c r="K367" s="2"/>
    </row>
    <row r="368" spans="1:11" ht="15.75" customHeight="1">
      <c r="A368" s="2"/>
      <c r="B368" s="2"/>
      <c r="C368" s="2"/>
      <c r="D368" s="2"/>
      <c r="E368" s="2"/>
      <c r="F368" s="2"/>
      <c r="G368" s="2"/>
      <c r="H368" s="2"/>
      <c r="I368" s="2"/>
      <c r="J368" s="2"/>
      <c r="K368" s="2"/>
    </row>
    <row r="369" spans="1:11" ht="15.75" customHeight="1">
      <c r="A369" s="2"/>
      <c r="B369" s="2"/>
      <c r="C369" s="2"/>
      <c r="D369" s="2"/>
      <c r="E369" s="2"/>
      <c r="F369" s="2"/>
      <c r="G369" s="2"/>
      <c r="H369" s="2"/>
      <c r="I369" s="2"/>
      <c r="J369" s="2"/>
      <c r="K369" s="2"/>
    </row>
    <row r="370" spans="1:11" ht="15.75" customHeight="1">
      <c r="A370" s="2"/>
      <c r="B370" s="2"/>
      <c r="C370" s="2"/>
      <c r="D370" s="2"/>
      <c r="E370" s="2"/>
      <c r="F370" s="2"/>
      <c r="G370" s="2"/>
      <c r="H370" s="2"/>
      <c r="I370" s="2"/>
      <c r="J370" s="2"/>
      <c r="K370" s="2"/>
    </row>
    <row r="371" spans="1:11" ht="15.75" customHeight="1">
      <c r="A371" s="2"/>
      <c r="B371" s="2"/>
      <c r="C371" s="2"/>
      <c r="D371" s="2"/>
      <c r="E371" s="2"/>
      <c r="F371" s="2"/>
      <c r="G371" s="2"/>
      <c r="H371" s="2"/>
      <c r="I371" s="2"/>
      <c r="J371" s="2"/>
      <c r="K371" s="2"/>
    </row>
    <row r="372" spans="1:11" ht="15.75" customHeight="1">
      <c r="A372" s="2"/>
      <c r="B372" s="2"/>
      <c r="C372" s="2"/>
      <c r="D372" s="2"/>
      <c r="E372" s="2"/>
      <c r="F372" s="2"/>
      <c r="G372" s="2"/>
      <c r="H372" s="2"/>
      <c r="I372" s="2"/>
      <c r="J372" s="2"/>
      <c r="K372" s="2"/>
    </row>
    <row r="373" spans="1:11" ht="15.75" customHeight="1">
      <c r="A373" s="2"/>
      <c r="B373" s="2"/>
      <c r="C373" s="2"/>
      <c r="D373" s="2"/>
      <c r="E373" s="2"/>
      <c r="F373" s="2"/>
      <c r="G373" s="2"/>
      <c r="H373" s="2"/>
      <c r="I373" s="2"/>
      <c r="J373" s="2"/>
      <c r="K373" s="2"/>
    </row>
    <row r="374" spans="1:11" ht="15.75" customHeight="1">
      <c r="A374" s="2"/>
      <c r="B374" s="2"/>
      <c r="C374" s="2"/>
      <c r="D374" s="2"/>
      <c r="E374" s="2"/>
      <c r="F374" s="2"/>
      <c r="G374" s="2"/>
      <c r="H374" s="2"/>
      <c r="I374" s="2"/>
      <c r="J374" s="2"/>
      <c r="K374" s="2"/>
    </row>
    <row r="375" spans="1:11" ht="15.75" customHeight="1">
      <c r="A375" s="2"/>
      <c r="B375" s="2"/>
      <c r="C375" s="2"/>
      <c r="D375" s="2"/>
      <c r="E375" s="2"/>
      <c r="F375" s="2"/>
      <c r="G375" s="2"/>
      <c r="H375" s="2"/>
      <c r="I375" s="2"/>
      <c r="J375" s="2"/>
      <c r="K375" s="2"/>
    </row>
    <row r="376" spans="1:11" ht="15.75" customHeight="1">
      <c r="A376" s="2"/>
      <c r="B376" s="2"/>
      <c r="C376" s="2"/>
      <c r="D376" s="2"/>
      <c r="E376" s="2"/>
      <c r="F376" s="2"/>
      <c r="G376" s="2"/>
      <c r="H376" s="2"/>
      <c r="I376" s="2"/>
      <c r="J376" s="2"/>
      <c r="K376" s="2"/>
    </row>
    <row r="377" spans="1:11" ht="15.75" customHeight="1">
      <c r="A377" s="2"/>
      <c r="B377" s="2"/>
      <c r="C377" s="2"/>
      <c r="D377" s="2"/>
      <c r="E377" s="2"/>
      <c r="F377" s="2"/>
      <c r="G377" s="2"/>
      <c r="H377" s="2"/>
      <c r="I377" s="2"/>
      <c r="J377" s="2"/>
      <c r="K377" s="2"/>
    </row>
    <row r="378" spans="1:11" ht="15.75" customHeight="1">
      <c r="A378" s="2"/>
      <c r="B378" s="2"/>
      <c r="C378" s="2"/>
      <c r="D378" s="2"/>
      <c r="E378" s="2"/>
      <c r="F378" s="2"/>
      <c r="G378" s="2"/>
      <c r="H378" s="2"/>
      <c r="I378" s="2"/>
      <c r="J378" s="2"/>
      <c r="K378" s="2"/>
    </row>
    <row r="379" spans="1:11" ht="15.75" customHeight="1">
      <c r="A379" s="2"/>
      <c r="B379" s="2"/>
      <c r="C379" s="2"/>
      <c r="D379" s="2"/>
      <c r="E379" s="2"/>
      <c r="F379" s="2"/>
      <c r="G379" s="2"/>
      <c r="H379" s="2"/>
      <c r="I379" s="2"/>
      <c r="J379" s="2"/>
      <c r="K379" s="2"/>
    </row>
    <row r="380" spans="1:11" ht="15.75" customHeight="1">
      <c r="A380" s="2"/>
      <c r="B380" s="2"/>
      <c r="C380" s="2"/>
      <c r="D380" s="2"/>
      <c r="E380" s="2"/>
      <c r="F380" s="2"/>
      <c r="G380" s="2"/>
      <c r="H380" s="2"/>
      <c r="I380" s="2"/>
      <c r="J380" s="2"/>
      <c r="K380" s="2"/>
    </row>
    <row r="381" spans="1:11" ht="15.75" customHeight="1">
      <c r="A381" s="2"/>
      <c r="B381" s="2"/>
      <c r="C381" s="2"/>
      <c r="D381" s="2"/>
      <c r="E381" s="2"/>
      <c r="F381" s="2"/>
      <c r="G381" s="2"/>
      <c r="H381" s="2"/>
      <c r="I381" s="2"/>
      <c r="J381" s="2"/>
      <c r="K381" s="2"/>
    </row>
    <row r="382" spans="1:11" ht="15.75" customHeight="1">
      <c r="A382" s="2"/>
      <c r="B382" s="2"/>
      <c r="C382" s="2"/>
      <c r="D382" s="2"/>
      <c r="E382" s="2"/>
      <c r="F382" s="2"/>
      <c r="G382" s="2"/>
      <c r="H382" s="2"/>
      <c r="I382" s="2"/>
      <c r="J382" s="2"/>
      <c r="K382" s="2"/>
    </row>
    <row r="383" spans="1:11" ht="15.75" customHeight="1">
      <c r="A383" s="2"/>
      <c r="B383" s="2"/>
      <c r="C383" s="2"/>
      <c r="D383" s="2"/>
      <c r="E383" s="2"/>
      <c r="F383" s="2"/>
      <c r="G383" s="2"/>
      <c r="H383" s="2"/>
      <c r="I383" s="2"/>
      <c r="J383" s="2"/>
      <c r="K383" s="2"/>
    </row>
    <row r="384" spans="1:11" ht="15.75" customHeight="1">
      <c r="A384" s="2"/>
      <c r="B384" s="2"/>
      <c r="C384" s="2"/>
      <c r="D384" s="2"/>
      <c r="E384" s="2"/>
      <c r="F384" s="2"/>
      <c r="G384" s="2"/>
      <c r="H384" s="2"/>
      <c r="I384" s="2"/>
      <c r="J384" s="2"/>
      <c r="K384" s="2"/>
    </row>
    <row r="385" spans="1:11" ht="15.75" customHeight="1">
      <c r="A385" s="2"/>
      <c r="B385" s="2"/>
      <c r="C385" s="2"/>
      <c r="D385" s="2"/>
      <c r="E385" s="2"/>
      <c r="F385" s="2"/>
      <c r="G385" s="2"/>
      <c r="H385" s="2"/>
      <c r="I385" s="2"/>
      <c r="J385" s="2"/>
      <c r="K385" s="2"/>
    </row>
    <row r="386" spans="1:11" ht="15.75" customHeight="1">
      <c r="A386" s="2"/>
      <c r="B386" s="2"/>
      <c r="C386" s="2"/>
      <c r="D386" s="2"/>
      <c r="E386" s="2"/>
      <c r="F386" s="2"/>
      <c r="G386" s="2"/>
      <c r="H386" s="2"/>
      <c r="I386" s="2"/>
      <c r="J386" s="2"/>
      <c r="K386" s="2"/>
    </row>
    <row r="387" spans="1:11" ht="15.75" customHeight="1">
      <c r="A387" s="2"/>
      <c r="B387" s="2"/>
      <c r="C387" s="2"/>
      <c r="D387" s="2"/>
      <c r="E387" s="2"/>
      <c r="F387" s="2"/>
      <c r="G387" s="2"/>
      <c r="H387" s="2"/>
      <c r="I387" s="2"/>
      <c r="J387" s="2"/>
      <c r="K387" s="2"/>
    </row>
    <row r="388" spans="1:11" ht="15.75" customHeight="1">
      <c r="A388" s="2"/>
      <c r="B388" s="2"/>
      <c r="C388" s="2"/>
      <c r="D388" s="2"/>
      <c r="E388" s="2"/>
      <c r="F388" s="2"/>
      <c r="G388" s="2"/>
      <c r="H388" s="2"/>
      <c r="I388" s="2"/>
      <c r="J388" s="2"/>
      <c r="K388" s="2"/>
    </row>
    <row r="389" spans="1:11" ht="15.75" customHeight="1">
      <c r="A389" s="2"/>
      <c r="B389" s="2"/>
      <c r="C389" s="2"/>
      <c r="D389" s="2"/>
      <c r="E389" s="2"/>
      <c r="F389" s="2"/>
      <c r="G389" s="2"/>
      <c r="H389" s="2"/>
      <c r="I389" s="2"/>
      <c r="J389" s="2"/>
      <c r="K389" s="2"/>
    </row>
    <row r="390" spans="1:11" ht="15.75" customHeight="1">
      <c r="A390" s="2"/>
      <c r="B390" s="2"/>
      <c r="C390" s="2"/>
      <c r="D390" s="2"/>
      <c r="E390" s="2"/>
      <c r="F390" s="2"/>
      <c r="G390" s="2"/>
      <c r="H390" s="2"/>
      <c r="I390" s="2"/>
      <c r="J390" s="2"/>
      <c r="K390" s="2"/>
    </row>
    <row r="391" spans="1:11" ht="15.75" customHeight="1">
      <c r="A391" s="2"/>
      <c r="B391" s="2"/>
      <c r="C391" s="2"/>
      <c r="D391" s="2"/>
      <c r="E391" s="2"/>
      <c r="F391" s="2"/>
      <c r="G391" s="2"/>
      <c r="H391" s="2"/>
      <c r="I391" s="2"/>
      <c r="J391" s="2"/>
      <c r="K391" s="2"/>
    </row>
    <row r="392" spans="1:11" ht="15.75" customHeight="1">
      <c r="A392" s="2"/>
      <c r="B392" s="2"/>
      <c r="C392" s="2"/>
      <c r="D392" s="2"/>
      <c r="E392" s="2"/>
      <c r="F392" s="2"/>
      <c r="G392" s="2"/>
      <c r="H392" s="2"/>
      <c r="I392" s="2"/>
      <c r="J392" s="2"/>
      <c r="K392" s="2"/>
    </row>
    <row r="393" spans="1:11" ht="15.75" customHeight="1">
      <c r="A393" s="2"/>
      <c r="B393" s="2"/>
      <c r="C393" s="2"/>
      <c r="D393" s="2"/>
      <c r="E393" s="2"/>
      <c r="F393" s="2"/>
      <c r="G393" s="2"/>
      <c r="H393" s="2"/>
      <c r="I393" s="2"/>
      <c r="J393" s="2"/>
      <c r="K393" s="2"/>
    </row>
    <row r="394" spans="1:11" ht="15.75" customHeight="1">
      <c r="A394" s="2"/>
      <c r="B394" s="2"/>
      <c r="C394" s="2"/>
      <c r="D394" s="2"/>
      <c r="E394" s="2"/>
      <c r="F394" s="2"/>
      <c r="G394" s="2"/>
      <c r="H394" s="2"/>
      <c r="I394" s="2"/>
      <c r="J394" s="2"/>
      <c r="K394" s="2"/>
    </row>
    <row r="395" spans="1:11" ht="15.75" customHeight="1">
      <c r="A395" s="2"/>
      <c r="B395" s="2"/>
      <c r="C395" s="2"/>
      <c r="D395" s="2"/>
      <c r="E395" s="2"/>
      <c r="F395" s="2"/>
      <c r="G395" s="2"/>
      <c r="H395" s="2"/>
      <c r="I395" s="2"/>
      <c r="J395" s="2"/>
      <c r="K395" s="2"/>
    </row>
    <row r="396" spans="1:11" ht="15.75" customHeight="1">
      <c r="A396" s="2"/>
      <c r="B396" s="2"/>
      <c r="C396" s="2"/>
      <c r="D396" s="2"/>
      <c r="E396" s="2"/>
      <c r="F396" s="2"/>
      <c r="G396" s="2"/>
      <c r="H396" s="2"/>
      <c r="I396" s="2"/>
      <c r="J396" s="2"/>
      <c r="K396" s="2"/>
    </row>
    <row r="397" spans="1:11" ht="15.75" customHeight="1">
      <c r="A397" s="2"/>
      <c r="B397" s="2"/>
      <c r="C397" s="2"/>
      <c r="D397" s="2"/>
      <c r="E397" s="2"/>
      <c r="F397" s="2"/>
      <c r="G397" s="2"/>
      <c r="H397" s="2"/>
      <c r="I397" s="2"/>
      <c r="J397" s="2"/>
      <c r="K397" s="2"/>
    </row>
    <row r="398" spans="1:11" ht="15.75" customHeight="1">
      <c r="A398" s="2"/>
      <c r="B398" s="2"/>
      <c r="C398" s="2"/>
      <c r="D398" s="2"/>
      <c r="E398" s="2"/>
      <c r="F398" s="2"/>
      <c r="G398" s="2"/>
      <c r="H398" s="2"/>
      <c r="I398" s="2"/>
      <c r="J398" s="2"/>
      <c r="K398" s="2"/>
    </row>
    <row r="399" spans="1:11" ht="15.75" customHeight="1">
      <c r="A399" s="2"/>
      <c r="B399" s="2"/>
      <c r="C399" s="2"/>
      <c r="D399" s="2"/>
      <c r="E399" s="2"/>
      <c r="F399" s="2"/>
      <c r="G399" s="2"/>
      <c r="H399" s="2"/>
      <c r="I399" s="2"/>
      <c r="J399" s="2"/>
      <c r="K399" s="2"/>
    </row>
    <row r="400" spans="1:11" ht="15.75" customHeight="1">
      <c r="A400" s="2"/>
      <c r="B400" s="2"/>
      <c r="C400" s="2"/>
      <c r="D400" s="2"/>
      <c r="E400" s="2"/>
      <c r="F400" s="2"/>
      <c r="G400" s="2"/>
      <c r="H400" s="2"/>
      <c r="I400" s="2"/>
      <c r="J400" s="2"/>
      <c r="K400" s="2"/>
    </row>
    <row r="401" spans="1:11" ht="15.75" customHeight="1">
      <c r="A401" s="2"/>
      <c r="B401" s="2"/>
      <c r="C401" s="2"/>
      <c r="D401" s="2"/>
      <c r="E401" s="2"/>
      <c r="F401" s="2"/>
      <c r="G401" s="2"/>
      <c r="H401" s="2"/>
      <c r="I401" s="2"/>
      <c r="J401" s="2"/>
      <c r="K401" s="2"/>
    </row>
    <row r="402" spans="1:11" ht="15.75" customHeight="1">
      <c r="A402" s="2"/>
      <c r="B402" s="2"/>
      <c r="C402" s="2"/>
      <c r="D402" s="2"/>
      <c r="E402" s="2"/>
      <c r="F402" s="2"/>
      <c r="G402" s="2"/>
      <c r="H402" s="2"/>
      <c r="I402" s="2"/>
      <c r="J402" s="2"/>
      <c r="K402" s="2"/>
    </row>
    <row r="403" spans="1:11" ht="15.75" customHeight="1">
      <c r="A403" s="2"/>
      <c r="B403" s="2"/>
      <c r="C403" s="2"/>
      <c r="D403" s="2"/>
      <c r="E403" s="2"/>
      <c r="F403" s="2"/>
      <c r="G403" s="2"/>
      <c r="H403" s="2"/>
      <c r="I403" s="2"/>
      <c r="J403" s="2"/>
      <c r="K403" s="2"/>
    </row>
    <row r="404" spans="1:11" ht="15.75" customHeight="1">
      <c r="A404" s="2"/>
      <c r="B404" s="2"/>
      <c r="C404" s="2"/>
      <c r="D404" s="2"/>
      <c r="E404" s="2"/>
      <c r="F404" s="2"/>
      <c r="G404" s="2"/>
      <c r="H404" s="2"/>
      <c r="I404" s="2"/>
      <c r="J404" s="2"/>
      <c r="K404" s="2"/>
    </row>
    <row r="405" spans="1:11" ht="15.75" customHeight="1">
      <c r="A405" s="2"/>
      <c r="B405" s="2"/>
      <c r="C405" s="2"/>
      <c r="D405" s="2"/>
      <c r="E405" s="2"/>
      <c r="F405" s="2"/>
      <c r="G405" s="2"/>
      <c r="H405" s="2"/>
      <c r="I405" s="2"/>
      <c r="J405" s="2"/>
      <c r="K405" s="2"/>
    </row>
    <row r="406" spans="1:11" ht="15.75" customHeight="1">
      <c r="A406" s="2"/>
      <c r="B406" s="2"/>
      <c r="C406" s="2"/>
      <c r="D406" s="2"/>
      <c r="E406" s="2"/>
      <c r="F406" s="2"/>
      <c r="G406" s="2"/>
      <c r="H406" s="2"/>
      <c r="I406" s="2"/>
      <c r="J406" s="2"/>
      <c r="K406" s="2"/>
    </row>
    <row r="407" spans="1:11" ht="15.75" customHeight="1">
      <c r="A407" s="2"/>
      <c r="B407" s="2"/>
      <c r="C407" s="2"/>
      <c r="D407" s="2"/>
      <c r="E407" s="2"/>
      <c r="F407" s="2"/>
      <c r="G407" s="2"/>
      <c r="H407" s="2"/>
      <c r="I407" s="2"/>
      <c r="J407" s="2"/>
      <c r="K407" s="2"/>
    </row>
    <row r="408" spans="1:11" ht="15.75" customHeight="1">
      <c r="A408" s="2"/>
      <c r="B408" s="2"/>
      <c r="C408" s="2"/>
      <c r="D408" s="2"/>
      <c r="E408" s="2"/>
      <c r="F408" s="2"/>
      <c r="G408" s="2"/>
      <c r="H408" s="2"/>
      <c r="I408" s="2"/>
      <c r="J408" s="2"/>
      <c r="K408" s="2"/>
    </row>
    <row r="409" spans="1:11" ht="15.75" customHeight="1">
      <c r="A409" s="2"/>
      <c r="B409" s="2"/>
      <c r="C409" s="2"/>
      <c r="D409" s="2"/>
      <c r="E409" s="2"/>
      <c r="F409" s="2"/>
      <c r="G409" s="2"/>
      <c r="H409" s="2"/>
      <c r="I409" s="2"/>
      <c r="J409" s="2"/>
      <c r="K409" s="2"/>
    </row>
    <row r="410" spans="1:11" ht="15.75" customHeight="1">
      <c r="A410" s="2"/>
      <c r="B410" s="2"/>
      <c r="C410" s="2"/>
      <c r="D410" s="2"/>
      <c r="E410" s="2"/>
      <c r="F410" s="2"/>
      <c r="G410" s="2"/>
      <c r="H410" s="2"/>
      <c r="I410" s="2"/>
      <c r="J410" s="2"/>
      <c r="K410" s="2"/>
    </row>
    <row r="411" spans="1:11" ht="15.75" customHeight="1">
      <c r="A411" s="2"/>
      <c r="B411" s="2"/>
      <c r="C411" s="2"/>
      <c r="D411" s="2"/>
      <c r="E411" s="2"/>
      <c r="F411" s="2"/>
      <c r="G411" s="2"/>
      <c r="H411" s="2"/>
      <c r="I411" s="2"/>
      <c r="J411" s="2"/>
      <c r="K411" s="2"/>
    </row>
    <row r="412" spans="1:11" ht="15.75" customHeight="1">
      <c r="A412" s="2"/>
      <c r="B412" s="2"/>
      <c r="C412" s="2"/>
      <c r="D412" s="2"/>
      <c r="E412" s="2"/>
      <c r="F412" s="2"/>
      <c r="G412" s="2"/>
      <c r="H412" s="2"/>
      <c r="I412" s="2"/>
      <c r="J412" s="2"/>
      <c r="K412" s="2"/>
    </row>
    <row r="413" spans="1:11" ht="15.75" customHeight="1">
      <c r="A413" s="2"/>
      <c r="B413" s="2"/>
      <c r="C413" s="2"/>
      <c r="D413" s="2"/>
      <c r="E413" s="2"/>
      <c r="F413" s="2"/>
      <c r="G413" s="2"/>
      <c r="H413" s="2"/>
      <c r="I413" s="2"/>
      <c r="J413" s="2"/>
      <c r="K413" s="2"/>
    </row>
    <row r="414" spans="1:11" ht="15.75" customHeight="1">
      <c r="A414" s="2"/>
      <c r="B414" s="2"/>
      <c r="C414" s="2"/>
      <c r="D414" s="2"/>
      <c r="E414" s="2"/>
      <c r="F414" s="2"/>
      <c r="G414" s="2"/>
      <c r="H414" s="2"/>
      <c r="I414" s="2"/>
      <c r="J414" s="2"/>
      <c r="K414" s="2"/>
    </row>
    <row r="415" spans="1:11" ht="15.75" customHeight="1">
      <c r="A415" s="2"/>
      <c r="B415" s="2"/>
      <c r="C415" s="2"/>
      <c r="D415" s="2"/>
      <c r="E415" s="2"/>
      <c r="F415" s="2"/>
      <c r="G415" s="2"/>
      <c r="H415" s="2"/>
      <c r="I415" s="2"/>
      <c r="J415" s="2"/>
      <c r="K415" s="2"/>
    </row>
    <row r="416" spans="1:11" ht="15.75" customHeight="1">
      <c r="A416" s="2"/>
      <c r="B416" s="2"/>
      <c r="C416" s="2"/>
      <c r="D416" s="2"/>
      <c r="E416" s="2"/>
      <c r="F416" s="2"/>
      <c r="G416" s="2"/>
      <c r="H416" s="2"/>
      <c r="I416" s="2"/>
      <c r="J416" s="2"/>
      <c r="K416" s="2"/>
    </row>
    <row r="417" spans="1:11" ht="15.75" customHeight="1">
      <c r="A417" s="2"/>
      <c r="B417" s="2"/>
      <c r="C417" s="2"/>
      <c r="D417" s="2"/>
      <c r="E417" s="2"/>
      <c r="F417" s="2"/>
      <c r="G417" s="2"/>
      <c r="H417" s="2"/>
      <c r="I417" s="2"/>
      <c r="J417" s="2"/>
      <c r="K417" s="2"/>
    </row>
    <row r="418" spans="1:11" ht="15.75" customHeight="1">
      <c r="A418" s="2"/>
      <c r="B418" s="2"/>
      <c r="C418" s="2"/>
      <c r="D418" s="2"/>
      <c r="E418" s="2"/>
      <c r="F418" s="2"/>
      <c r="G418" s="2"/>
      <c r="H418" s="2"/>
      <c r="I418" s="2"/>
      <c r="J418" s="2"/>
      <c r="K418" s="2"/>
    </row>
    <row r="419" spans="1:11" ht="15.75" customHeight="1">
      <c r="A419" s="2"/>
      <c r="B419" s="2"/>
      <c r="C419" s="2"/>
      <c r="D419" s="2"/>
      <c r="E419" s="2"/>
      <c r="F419" s="2"/>
      <c r="G419" s="2"/>
      <c r="H419" s="2"/>
      <c r="I419" s="2"/>
      <c r="J419" s="2"/>
      <c r="K419" s="2"/>
    </row>
    <row r="420" spans="1:11" ht="15.75" customHeight="1">
      <c r="A420" s="2"/>
      <c r="B420" s="2"/>
      <c r="C420" s="2"/>
      <c r="D420" s="2"/>
      <c r="E420" s="2"/>
      <c r="F420" s="2"/>
      <c r="G420" s="2"/>
      <c r="H420" s="2"/>
      <c r="I420" s="2"/>
      <c r="J420" s="2"/>
      <c r="K420" s="2"/>
    </row>
    <row r="421" spans="1:11" ht="15.75" customHeight="1">
      <c r="A421" s="2"/>
      <c r="B421" s="2"/>
      <c r="C421" s="2"/>
      <c r="D421" s="2"/>
      <c r="E421" s="2"/>
      <c r="F421" s="2"/>
      <c r="G421" s="2"/>
      <c r="H421" s="2"/>
      <c r="I421" s="2"/>
      <c r="J421" s="2"/>
      <c r="K421" s="2"/>
    </row>
    <row r="422" spans="1:11" ht="15.75" customHeight="1">
      <c r="A422" s="2"/>
      <c r="B422" s="2"/>
      <c r="C422" s="2"/>
      <c r="D422" s="2"/>
      <c r="E422" s="2"/>
      <c r="F422" s="2"/>
      <c r="G422" s="2"/>
      <c r="H422" s="2"/>
      <c r="I422" s="2"/>
      <c r="J422" s="2"/>
      <c r="K422" s="2"/>
    </row>
    <row r="423" spans="1:11" ht="15.75" customHeight="1">
      <c r="A423" s="2"/>
      <c r="B423" s="2"/>
      <c r="C423" s="2"/>
      <c r="D423" s="2"/>
      <c r="E423" s="2"/>
      <c r="F423" s="2"/>
      <c r="G423" s="2"/>
      <c r="H423" s="2"/>
      <c r="I423" s="2"/>
      <c r="J423" s="2"/>
      <c r="K423" s="2"/>
    </row>
    <row r="424" spans="1:11" ht="15.75" customHeight="1">
      <c r="A424" s="2"/>
      <c r="B424" s="2"/>
      <c r="C424" s="2"/>
      <c r="D424" s="2"/>
      <c r="E424" s="2"/>
      <c r="F424" s="2"/>
      <c r="G424" s="2"/>
      <c r="H424" s="2"/>
      <c r="I424" s="2"/>
      <c r="J424" s="2"/>
      <c r="K424" s="2"/>
    </row>
    <row r="425" spans="1:11" ht="15.75" customHeight="1">
      <c r="A425" s="2"/>
      <c r="B425" s="2"/>
      <c r="C425" s="2"/>
      <c r="D425" s="2"/>
      <c r="E425" s="2"/>
      <c r="F425" s="2"/>
      <c r="G425" s="2"/>
      <c r="H425" s="2"/>
      <c r="I425" s="2"/>
      <c r="J425" s="2"/>
      <c r="K425" s="2"/>
    </row>
    <row r="426" spans="1:11" ht="15.75" customHeight="1">
      <c r="A426" s="2"/>
      <c r="B426" s="2"/>
      <c r="C426" s="2"/>
      <c r="D426" s="2"/>
      <c r="E426" s="2"/>
      <c r="F426" s="2"/>
      <c r="G426" s="2"/>
      <c r="H426" s="2"/>
      <c r="I426" s="2"/>
      <c r="J426" s="2"/>
      <c r="K426" s="2"/>
    </row>
    <row r="427" spans="1:11" ht="15.75" customHeight="1">
      <c r="A427" s="2"/>
      <c r="B427" s="2"/>
      <c r="C427" s="2"/>
      <c r="D427" s="2"/>
      <c r="E427" s="2"/>
      <c r="F427" s="2"/>
      <c r="G427" s="2"/>
      <c r="H427" s="2"/>
      <c r="I427" s="2"/>
      <c r="J427" s="2"/>
      <c r="K427" s="2"/>
    </row>
    <row r="428" spans="1:11" ht="15.75" customHeight="1">
      <c r="A428" s="2"/>
      <c r="B428" s="2"/>
      <c r="C428" s="2"/>
      <c r="D428" s="2"/>
      <c r="E428" s="2"/>
      <c r="F428" s="2"/>
      <c r="G428" s="2"/>
      <c r="H428" s="2"/>
      <c r="I428" s="2"/>
      <c r="J428" s="2"/>
      <c r="K428" s="2"/>
    </row>
    <row r="429" spans="1:11" ht="15.75" customHeight="1">
      <c r="A429" s="2"/>
      <c r="B429" s="2"/>
      <c r="C429" s="2"/>
      <c r="D429" s="2"/>
      <c r="E429" s="2"/>
      <c r="F429" s="2"/>
      <c r="G429" s="2"/>
      <c r="H429" s="2"/>
      <c r="I429" s="2"/>
      <c r="J429" s="2"/>
      <c r="K429" s="2"/>
    </row>
    <row r="430" spans="1:11" ht="15.75" customHeight="1">
      <c r="A430" s="2"/>
      <c r="B430" s="2"/>
      <c r="C430" s="2"/>
      <c r="D430" s="2"/>
      <c r="E430" s="2"/>
      <c r="F430" s="2"/>
      <c r="G430" s="2"/>
      <c r="H430" s="2"/>
      <c r="I430" s="2"/>
      <c r="J430" s="2"/>
      <c r="K430" s="2"/>
    </row>
    <row r="431" spans="1:11" ht="15.75" customHeight="1">
      <c r="A431" s="2"/>
      <c r="B431" s="2"/>
      <c r="C431" s="2"/>
      <c r="D431" s="2"/>
      <c r="E431" s="2"/>
      <c r="F431" s="2"/>
      <c r="G431" s="2"/>
      <c r="H431" s="2"/>
      <c r="I431" s="2"/>
      <c r="J431" s="2"/>
      <c r="K431" s="2"/>
    </row>
    <row r="432" spans="1:11" ht="15.75" customHeight="1">
      <c r="A432" s="2"/>
      <c r="B432" s="2"/>
      <c r="C432" s="2"/>
      <c r="D432" s="2"/>
      <c r="E432" s="2"/>
      <c r="F432" s="2"/>
      <c r="G432" s="2"/>
      <c r="H432" s="2"/>
      <c r="I432" s="2"/>
      <c r="J432" s="2"/>
      <c r="K432" s="2"/>
    </row>
    <row r="433" spans="1:11" ht="15.75" customHeight="1">
      <c r="A433" s="2"/>
      <c r="B433" s="2"/>
      <c r="C433" s="2"/>
      <c r="D433" s="2"/>
      <c r="E433" s="2"/>
      <c r="F433" s="2"/>
      <c r="G433" s="2"/>
      <c r="H433" s="2"/>
      <c r="I433" s="2"/>
      <c r="J433" s="2"/>
      <c r="K433" s="2"/>
    </row>
    <row r="434" spans="1:11" ht="15.75" customHeight="1">
      <c r="A434" s="2"/>
      <c r="B434" s="2"/>
      <c r="C434" s="2"/>
      <c r="D434" s="2"/>
      <c r="E434" s="2"/>
      <c r="F434" s="2"/>
      <c r="G434" s="2"/>
      <c r="H434" s="2"/>
      <c r="I434" s="2"/>
      <c r="J434" s="2"/>
      <c r="K434" s="2"/>
    </row>
    <row r="435" spans="1:11" ht="15.75" customHeight="1">
      <c r="A435" s="2"/>
      <c r="B435" s="2"/>
      <c r="C435" s="2"/>
      <c r="D435" s="2"/>
      <c r="E435" s="2"/>
      <c r="F435" s="2"/>
      <c r="G435" s="2"/>
      <c r="H435" s="2"/>
      <c r="I435" s="2"/>
      <c r="J435" s="2"/>
      <c r="K435" s="2"/>
    </row>
    <row r="436" spans="1:11" ht="15.75" customHeight="1">
      <c r="A436" s="2"/>
      <c r="B436" s="2"/>
      <c r="C436" s="2"/>
      <c r="D436" s="2"/>
      <c r="E436" s="2"/>
      <c r="F436" s="2"/>
      <c r="G436" s="2"/>
      <c r="H436" s="2"/>
      <c r="I436" s="2"/>
      <c r="J436" s="2"/>
      <c r="K436" s="2"/>
    </row>
    <row r="437" spans="1:11" ht="15.75" customHeight="1">
      <c r="A437" s="2"/>
      <c r="B437" s="2"/>
      <c r="C437" s="2"/>
      <c r="D437" s="2"/>
      <c r="E437" s="2"/>
      <c r="F437" s="2"/>
      <c r="G437" s="2"/>
      <c r="H437" s="2"/>
      <c r="I437" s="2"/>
      <c r="J437" s="2"/>
      <c r="K437" s="2"/>
    </row>
    <row r="438" spans="1:11" ht="15.75" customHeight="1">
      <c r="A438" s="2"/>
      <c r="B438" s="2"/>
      <c r="C438" s="2"/>
      <c r="D438" s="2"/>
      <c r="E438" s="2"/>
      <c r="F438" s="2"/>
      <c r="G438" s="2"/>
      <c r="H438" s="2"/>
      <c r="I438" s="2"/>
      <c r="J438" s="2"/>
      <c r="K438" s="2"/>
    </row>
    <row r="439" spans="1:11" ht="15.75" customHeight="1">
      <c r="A439" s="2"/>
      <c r="B439" s="2"/>
      <c r="C439" s="2"/>
      <c r="D439" s="2"/>
      <c r="E439" s="2"/>
      <c r="F439" s="2"/>
      <c r="G439" s="2"/>
      <c r="H439" s="2"/>
      <c r="I439" s="2"/>
      <c r="J439" s="2"/>
      <c r="K439" s="2"/>
    </row>
    <row r="440" spans="1:11" ht="15.75" customHeight="1">
      <c r="A440" s="2"/>
      <c r="B440" s="2"/>
      <c r="C440" s="2"/>
      <c r="D440" s="2"/>
      <c r="E440" s="2"/>
      <c r="F440" s="2"/>
      <c r="G440" s="2"/>
      <c r="H440" s="2"/>
      <c r="I440" s="2"/>
      <c r="J440" s="2"/>
      <c r="K440" s="2"/>
    </row>
    <row r="441" spans="1:11" ht="15.75" customHeight="1">
      <c r="A441" s="2"/>
      <c r="B441" s="2"/>
      <c r="C441" s="2"/>
      <c r="D441" s="2"/>
      <c r="E441" s="2"/>
      <c r="F441" s="2"/>
      <c r="G441" s="2"/>
      <c r="H441" s="2"/>
      <c r="I441" s="2"/>
      <c r="J441" s="2"/>
      <c r="K441" s="2"/>
    </row>
    <row r="442" spans="1:11" ht="15.75" customHeight="1">
      <c r="A442" s="2"/>
      <c r="B442" s="2"/>
      <c r="C442" s="2"/>
      <c r="D442" s="2"/>
      <c r="E442" s="2"/>
      <c r="F442" s="2"/>
      <c r="G442" s="2"/>
      <c r="H442" s="2"/>
      <c r="I442" s="2"/>
      <c r="J442" s="2"/>
      <c r="K442" s="2"/>
    </row>
    <row r="443" spans="1:11" ht="15.75" customHeight="1">
      <c r="A443" s="2"/>
      <c r="B443" s="2"/>
      <c r="C443" s="2"/>
      <c r="D443" s="2"/>
      <c r="E443" s="2"/>
      <c r="F443" s="2"/>
      <c r="G443" s="2"/>
      <c r="H443" s="2"/>
      <c r="I443" s="2"/>
      <c r="J443" s="2"/>
      <c r="K443" s="2"/>
    </row>
    <row r="444" spans="1:11" ht="15.75" customHeight="1">
      <c r="A444" s="2"/>
      <c r="B444" s="2"/>
      <c r="C444" s="2"/>
      <c r="D444" s="2"/>
      <c r="E444" s="2"/>
      <c r="F444" s="2"/>
      <c r="G444" s="2"/>
      <c r="H444" s="2"/>
      <c r="I444" s="2"/>
      <c r="J444" s="2"/>
      <c r="K444" s="2"/>
    </row>
    <row r="445" spans="1:11" ht="15.75" customHeight="1">
      <c r="A445" s="2"/>
      <c r="B445" s="2"/>
      <c r="C445" s="2"/>
      <c r="D445" s="2"/>
      <c r="E445" s="2"/>
      <c r="F445" s="2"/>
      <c r="G445" s="2"/>
      <c r="H445" s="2"/>
      <c r="I445" s="2"/>
      <c r="J445" s="2"/>
      <c r="K445" s="2"/>
    </row>
    <row r="446" spans="1:11" ht="15.75" customHeight="1">
      <c r="A446" s="2"/>
      <c r="B446" s="2"/>
      <c r="C446" s="2"/>
      <c r="D446" s="2"/>
      <c r="E446" s="2"/>
      <c r="F446" s="2"/>
      <c r="G446" s="2"/>
      <c r="H446" s="2"/>
      <c r="I446" s="2"/>
      <c r="J446" s="2"/>
      <c r="K446" s="2"/>
    </row>
    <row r="447" spans="1:11" ht="15.75" customHeight="1">
      <c r="A447" s="2"/>
      <c r="B447" s="2"/>
      <c r="C447" s="2"/>
      <c r="D447" s="2"/>
      <c r="E447" s="2"/>
      <c r="F447" s="2"/>
      <c r="G447" s="2"/>
      <c r="H447" s="2"/>
      <c r="I447" s="2"/>
      <c r="J447" s="2"/>
      <c r="K447" s="2"/>
    </row>
    <row r="448" spans="1:11" ht="15.75" customHeight="1">
      <c r="A448" s="2"/>
      <c r="B448" s="2"/>
      <c r="C448" s="2"/>
      <c r="D448" s="2"/>
      <c r="E448" s="2"/>
      <c r="F448" s="2"/>
      <c r="G448" s="2"/>
      <c r="H448" s="2"/>
      <c r="I448" s="2"/>
      <c r="J448" s="2"/>
      <c r="K448" s="2"/>
    </row>
    <row r="449" spans="1:11" ht="15.75" customHeight="1">
      <c r="A449" s="2"/>
      <c r="B449" s="2"/>
      <c r="C449" s="2"/>
      <c r="D449" s="2"/>
      <c r="E449" s="2"/>
      <c r="F449" s="2"/>
      <c r="G449" s="2"/>
      <c r="H449" s="2"/>
      <c r="I449" s="2"/>
      <c r="J449" s="2"/>
      <c r="K449" s="2"/>
    </row>
    <row r="450" spans="1:11" ht="15.75" customHeight="1">
      <c r="A450" s="2"/>
      <c r="B450" s="2"/>
      <c r="C450" s="2"/>
      <c r="D450" s="2"/>
      <c r="E450" s="2"/>
      <c r="F450" s="2"/>
      <c r="G450" s="2"/>
      <c r="H450" s="2"/>
      <c r="I450" s="2"/>
      <c r="J450" s="2"/>
      <c r="K450" s="2"/>
    </row>
    <row r="451" spans="1:11" ht="15.75" customHeight="1">
      <c r="A451" s="2"/>
      <c r="B451" s="2"/>
      <c r="C451" s="2"/>
      <c r="D451" s="2"/>
      <c r="E451" s="2"/>
      <c r="F451" s="2"/>
      <c r="G451" s="2"/>
      <c r="H451" s="2"/>
      <c r="I451" s="2"/>
      <c r="J451" s="2"/>
      <c r="K451" s="2"/>
    </row>
    <row r="452" spans="1:11" ht="15.75" customHeight="1">
      <c r="A452" s="2"/>
      <c r="B452" s="2"/>
      <c r="C452" s="2"/>
      <c r="D452" s="2"/>
      <c r="E452" s="2"/>
      <c r="F452" s="2"/>
      <c r="G452" s="2"/>
      <c r="H452" s="2"/>
      <c r="I452" s="2"/>
      <c r="J452" s="2"/>
      <c r="K452" s="2"/>
    </row>
    <row r="453" spans="1:11" ht="15.75" customHeight="1">
      <c r="A453" s="2"/>
      <c r="B453" s="2"/>
      <c r="C453" s="2"/>
      <c r="D453" s="2"/>
      <c r="E453" s="2"/>
      <c r="F453" s="2"/>
      <c r="G453" s="2"/>
      <c r="H453" s="2"/>
      <c r="I453" s="2"/>
      <c r="J453" s="2"/>
      <c r="K453" s="2"/>
    </row>
    <row r="454" spans="1:11" ht="15.75" customHeight="1">
      <c r="A454" s="2"/>
      <c r="B454" s="2"/>
      <c r="C454" s="2"/>
      <c r="D454" s="2"/>
      <c r="E454" s="2"/>
      <c r="F454" s="2"/>
      <c r="G454" s="2"/>
      <c r="H454" s="2"/>
      <c r="I454" s="2"/>
      <c r="J454" s="2"/>
      <c r="K454" s="2"/>
    </row>
    <row r="455" spans="1:11" ht="15.75" customHeight="1">
      <c r="A455" s="2"/>
      <c r="B455" s="2"/>
      <c r="C455" s="2"/>
      <c r="D455" s="2"/>
      <c r="E455" s="2"/>
      <c r="F455" s="2"/>
      <c r="G455" s="2"/>
      <c r="H455" s="2"/>
      <c r="I455" s="2"/>
      <c r="J455" s="2"/>
      <c r="K455" s="2"/>
    </row>
    <row r="456" spans="1:11" ht="15.75" customHeight="1">
      <c r="A456" s="2"/>
      <c r="B456" s="2"/>
      <c r="C456" s="2"/>
      <c r="D456" s="2"/>
      <c r="E456" s="2"/>
      <c r="F456" s="2"/>
      <c r="G456" s="2"/>
      <c r="H456" s="2"/>
      <c r="I456" s="2"/>
      <c r="J456" s="2"/>
      <c r="K456" s="2"/>
    </row>
    <row r="457" spans="1:11" ht="15.75" customHeight="1">
      <c r="A457" s="2"/>
      <c r="B457" s="2"/>
      <c r="C457" s="2"/>
      <c r="D457" s="2"/>
      <c r="E457" s="2"/>
      <c r="F457" s="2"/>
      <c r="G457" s="2"/>
      <c r="H457" s="2"/>
      <c r="I457" s="2"/>
      <c r="J457" s="2"/>
      <c r="K457" s="2"/>
    </row>
    <row r="458" spans="1:11" ht="15.75" customHeight="1">
      <c r="A458" s="2"/>
      <c r="B458" s="2"/>
      <c r="C458" s="2"/>
      <c r="D458" s="2"/>
      <c r="E458" s="2"/>
      <c r="F458" s="2"/>
      <c r="G458" s="2"/>
      <c r="H458" s="2"/>
      <c r="I458" s="2"/>
      <c r="J458" s="2"/>
      <c r="K458" s="2"/>
    </row>
    <row r="459" spans="1:11" ht="15.75" customHeight="1">
      <c r="A459" s="2"/>
      <c r="B459" s="2"/>
      <c r="C459" s="2"/>
      <c r="D459" s="2"/>
      <c r="E459" s="2"/>
      <c r="F459" s="2"/>
      <c r="G459" s="2"/>
      <c r="H459" s="2"/>
      <c r="I459" s="2"/>
      <c r="J459" s="2"/>
      <c r="K459" s="2"/>
    </row>
    <row r="460" spans="1:11" ht="15.75" customHeight="1">
      <c r="A460" s="2"/>
      <c r="B460" s="2"/>
      <c r="C460" s="2"/>
      <c r="D460" s="2"/>
      <c r="E460" s="2"/>
      <c r="F460" s="2"/>
      <c r="G460" s="2"/>
      <c r="H460" s="2"/>
      <c r="I460" s="2"/>
      <c r="J460" s="2"/>
      <c r="K460" s="2"/>
    </row>
    <row r="461" spans="1:11" ht="15.75" customHeight="1">
      <c r="A461" s="2"/>
      <c r="B461" s="2"/>
      <c r="C461" s="2"/>
      <c r="D461" s="2"/>
      <c r="E461" s="2"/>
      <c r="F461" s="2"/>
      <c r="G461" s="2"/>
      <c r="H461" s="2"/>
      <c r="I461" s="2"/>
      <c r="J461" s="2"/>
      <c r="K461" s="2"/>
    </row>
    <row r="462" spans="1:11" ht="15.75" customHeight="1">
      <c r="A462" s="2"/>
      <c r="B462" s="2"/>
      <c r="C462" s="2"/>
      <c r="D462" s="2"/>
      <c r="E462" s="2"/>
      <c r="F462" s="2"/>
      <c r="G462" s="2"/>
      <c r="H462" s="2"/>
      <c r="I462" s="2"/>
      <c r="J462" s="2"/>
      <c r="K462" s="2"/>
    </row>
    <row r="463" spans="1:11" ht="15.75" customHeight="1">
      <c r="A463" s="2"/>
      <c r="B463" s="2"/>
      <c r="C463" s="2"/>
      <c r="D463" s="2"/>
      <c r="E463" s="2"/>
      <c r="F463" s="2"/>
      <c r="G463" s="2"/>
      <c r="H463" s="2"/>
      <c r="I463" s="2"/>
      <c r="J463" s="2"/>
      <c r="K463" s="2"/>
    </row>
    <row r="464" spans="1:11" ht="15.75" customHeight="1">
      <c r="A464" s="2"/>
      <c r="B464" s="2"/>
      <c r="C464" s="2"/>
      <c r="D464" s="2"/>
      <c r="E464" s="2"/>
      <c r="F464" s="2"/>
      <c r="G464" s="2"/>
      <c r="H464" s="2"/>
      <c r="I464" s="2"/>
      <c r="J464" s="2"/>
      <c r="K464" s="2"/>
    </row>
    <row r="465" spans="1:11" ht="15.75" customHeight="1">
      <c r="A465" s="2"/>
      <c r="B465" s="2"/>
      <c r="C465" s="2"/>
      <c r="D465" s="2"/>
      <c r="E465" s="2"/>
      <c r="F465" s="2"/>
      <c r="G465" s="2"/>
      <c r="H465" s="2"/>
      <c r="I465" s="2"/>
      <c r="J465" s="2"/>
      <c r="K465" s="2"/>
    </row>
    <row r="466" spans="1:11" ht="15.75" customHeight="1">
      <c r="A466" s="2"/>
      <c r="B466" s="2"/>
      <c r="C466" s="2"/>
      <c r="D466" s="2"/>
      <c r="E466" s="2"/>
      <c r="F466" s="2"/>
      <c r="G466" s="2"/>
      <c r="H466" s="2"/>
      <c r="I466" s="2"/>
      <c r="J466" s="2"/>
      <c r="K466" s="2"/>
    </row>
    <row r="467" spans="1:11" ht="15.75" customHeight="1">
      <c r="A467" s="2"/>
      <c r="B467" s="2"/>
      <c r="C467" s="2"/>
      <c r="D467" s="2"/>
      <c r="E467" s="2"/>
      <c r="F467" s="2"/>
      <c r="G467" s="2"/>
      <c r="H467" s="2"/>
      <c r="I467" s="2"/>
      <c r="J467" s="2"/>
      <c r="K467" s="2"/>
    </row>
    <row r="468" spans="1:11" ht="15.75" customHeight="1">
      <c r="A468" s="2"/>
      <c r="B468" s="2"/>
      <c r="C468" s="2"/>
      <c r="D468" s="2"/>
      <c r="E468" s="2"/>
      <c r="F468" s="2"/>
      <c r="G468" s="2"/>
      <c r="H468" s="2"/>
      <c r="I468" s="2"/>
      <c r="J468" s="2"/>
      <c r="K468" s="2"/>
    </row>
    <row r="469" spans="1:11" ht="15.75" customHeight="1">
      <c r="A469" s="2"/>
      <c r="B469" s="2"/>
      <c r="C469" s="2"/>
      <c r="D469" s="2"/>
      <c r="E469" s="2"/>
      <c r="F469" s="2"/>
      <c r="G469" s="2"/>
      <c r="H469" s="2"/>
      <c r="I469" s="2"/>
      <c r="J469" s="2"/>
      <c r="K469" s="2"/>
    </row>
    <row r="470" spans="1:11" ht="15.75" customHeight="1">
      <c r="A470" s="2"/>
      <c r="B470" s="2"/>
      <c r="C470" s="2"/>
      <c r="D470" s="2"/>
      <c r="E470" s="2"/>
      <c r="F470" s="2"/>
      <c r="G470" s="2"/>
      <c r="H470" s="2"/>
      <c r="I470" s="2"/>
      <c r="J470" s="2"/>
      <c r="K470" s="2"/>
    </row>
    <row r="471" spans="1:11" ht="15.75" customHeight="1">
      <c r="A471" s="2"/>
      <c r="B471" s="2"/>
      <c r="C471" s="2"/>
      <c r="D471" s="2"/>
      <c r="E471" s="2"/>
      <c r="F471" s="2"/>
      <c r="G471" s="2"/>
      <c r="H471" s="2"/>
      <c r="I471" s="2"/>
      <c r="J471" s="2"/>
      <c r="K471" s="2"/>
    </row>
    <row r="472" spans="1:11" ht="15.75" customHeight="1">
      <c r="A472" s="2"/>
      <c r="B472" s="2"/>
      <c r="C472" s="2"/>
      <c r="D472" s="2"/>
      <c r="E472" s="2"/>
      <c r="F472" s="2"/>
      <c r="G472" s="2"/>
      <c r="H472" s="2"/>
      <c r="I472" s="2"/>
      <c r="J472" s="2"/>
      <c r="K472" s="2"/>
    </row>
    <row r="473" spans="1:11" ht="15.75" customHeight="1">
      <c r="A473" s="2"/>
      <c r="B473" s="2"/>
      <c r="C473" s="2"/>
      <c r="D473" s="2"/>
      <c r="E473" s="2"/>
      <c r="F473" s="2"/>
      <c r="G473" s="2"/>
      <c r="H473" s="2"/>
      <c r="I473" s="2"/>
      <c r="J473" s="2"/>
      <c r="K473" s="2"/>
    </row>
    <row r="474" spans="1:11" ht="15.75" customHeight="1">
      <c r="A474" s="2"/>
      <c r="B474" s="2"/>
      <c r="C474" s="2"/>
      <c r="D474" s="2"/>
      <c r="E474" s="2"/>
      <c r="F474" s="2"/>
      <c r="G474" s="2"/>
      <c r="H474" s="2"/>
      <c r="I474" s="2"/>
      <c r="J474" s="2"/>
      <c r="K474" s="2"/>
    </row>
    <row r="475" spans="1:11" ht="15.75" customHeight="1">
      <c r="A475" s="2"/>
      <c r="B475" s="2"/>
      <c r="C475" s="2"/>
      <c r="D475" s="2"/>
      <c r="E475" s="2"/>
      <c r="F475" s="2"/>
      <c r="G475" s="2"/>
      <c r="H475" s="2"/>
      <c r="I475" s="2"/>
      <c r="J475" s="2"/>
      <c r="K475" s="2"/>
    </row>
    <row r="476" spans="1:11" ht="15.75" customHeight="1">
      <c r="A476" s="2"/>
      <c r="B476" s="2"/>
      <c r="C476" s="2"/>
      <c r="D476" s="2"/>
      <c r="E476" s="2"/>
      <c r="F476" s="2"/>
      <c r="G476" s="2"/>
      <c r="H476" s="2"/>
      <c r="I476" s="2"/>
      <c r="J476" s="2"/>
      <c r="K476" s="2"/>
    </row>
    <row r="477" spans="1:11" ht="15.75" customHeight="1">
      <c r="A477" s="2"/>
      <c r="B477" s="2"/>
      <c r="C477" s="2"/>
      <c r="D477" s="2"/>
      <c r="E477" s="2"/>
      <c r="F477" s="2"/>
      <c r="G477" s="2"/>
      <c r="H477" s="2"/>
      <c r="I477" s="2"/>
      <c r="J477" s="2"/>
      <c r="K477" s="2"/>
    </row>
    <row r="478" spans="1:11" ht="15.75" customHeight="1">
      <c r="A478" s="2"/>
      <c r="B478" s="2"/>
      <c r="C478" s="2"/>
      <c r="D478" s="2"/>
      <c r="E478" s="2"/>
      <c r="F478" s="2"/>
      <c r="G478" s="2"/>
      <c r="H478" s="2"/>
      <c r="I478" s="2"/>
      <c r="J478" s="2"/>
      <c r="K478" s="2"/>
    </row>
    <row r="479" spans="1:11" ht="15.75" customHeight="1">
      <c r="A479" s="2"/>
      <c r="B479" s="2"/>
      <c r="C479" s="2"/>
      <c r="D479" s="2"/>
      <c r="E479" s="2"/>
      <c r="F479" s="2"/>
      <c r="G479" s="2"/>
      <c r="H479" s="2"/>
      <c r="I479" s="2"/>
      <c r="J479" s="2"/>
      <c r="K479" s="2"/>
    </row>
    <row r="480" spans="1:11" ht="15.75" customHeight="1">
      <c r="A480" s="2"/>
      <c r="B480" s="2"/>
      <c r="C480" s="2"/>
      <c r="D480" s="2"/>
      <c r="E480" s="2"/>
      <c r="F480" s="2"/>
      <c r="G480" s="2"/>
      <c r="H480" s="2"/>
      <c r="I480" s="2"/>
      <c r="J480" s="2"/>
      <c r="K480" s="2"/>
    </row>
    <row r="481" spans="1:11" ht="15.75" customHeight="1">
      <c r="A481" s="2"/>
      <c r="B481" s="2"/>
      <c r="C481" s="2"/>
      <c r="D481" s="2"/>
      <c r="E481" s="2"/>
      <c r="F481" s="2"/>
      <c r="G481" s="2"/>
      <c r="H481" s="2"/>
      <c r="I481" s="2"/>
      <c r="J481" s="2"/>
      <c r="K481" s="2"/>
    </row>
    <row r="482" spans="1:11" ht="15.75" customHeight="1">
      <c r="A482" s="2"/>
      <c r="B482" s="2"/>
      <c r="C482" s="2"/>
      <c r="D482" s="2"/>
      <c r="E482" s="2"/>
      <c r="F482" s="2"/>
      <c r="G482" s="2"/>
      <c r="H482" s="2"/>
      <c r="I482" s="2"/>
      <c r="J482" s="2"/>
      <c r="K482" s="2"/>
    </row>
    <row r="483" spans="1:11" ht="15.75" customHeight="1">
      <c r="A483" s="2"/>
      <c r="B483" s="2"/>
      <c r="C483" s="2"/>
      <c r="D483" s="2"/>
      <c r="E483" s="2"/>
      <c r="F483" s="2"/>
      <c r="G483" s="2"/>
      <c r="H483" s="2"/>
      <c r="I483" s="2"/>
      <c r="J483" s="2"/>
      <c r="K483" s="2"/>
    </row>
    <row r="484" spans="1:11" ht="15.75" customHeight="1">
      <c r="A484" s="2"/>
      <c r="B484" s="2"/>
      <c r="C484" s="2"/>
      <c r="D484" s="2"/>
      <c r="E484" s="2"/>
      <c r="F484" s="2"/>
      <c r="G484" s="2"/>
      <c r="H484" s="2"/>
      <c r="I484" s="2"/>
      <c r="J484" s="2"/>
      <c r="K484" s="2"/>
    </row>
    <row r="485" spans="1:11" ht="15.75" customHeight="1">
      <c r="A485" s="2"/>
      <c r="B485" s="2"/>
      <c r="C485" s="2"/>
      <c r="D485" s="2"/>
      <c r="E485" s="2"/>
      <c r="F485" s="2"/>
      <c r="G485" s="2"/>
      <c r="H485" s="2"/>
      <c r="I485" s="2"/>
      <c r="J485" s="2"/>
      <c r="K485" s="2"/>
    </row>
    <row r="486" spans="1:11" ht="15.75" customHeight="1">
      <c r="A486" s="2"/>
      <c r="B486" s="2"/>
      <c r="C486" s="2"/>
      <c r="D486" s="2"/>
      <c r="E486" s="2"/>
      <c r="F486" s="2"/>
      <c r="G486" s="2"/>
      <c r="H486" s="2"/>
      <c r="I486" s="2"/>
      <c r="J486" s="2"/>
      <c r="K486" s="2"/>
    </row>
    <row r="487" spans="1:11" ht="15.75" customHeight="1">
      <c r="A487" s="2"/>
      <c r="B487" s="2"/>
      <c r="C487" s="2"/>
      <c r="D487" s="2"/>
      <c r="E487" s="2"/>
      <c r="F487" s="2"/>
      <c r="G487" s="2"/>
      <c r="H487" s="2"/>
      <c r="I487" s="2"/>
      <c r="J487" s="2"/>
      <c r="K487" s="2"/>
    </row>
    <row r="488" spans="1:11" ht="15.75" customHeight="1">
      <c r="A488" s="2"/>
      <c r="B488" s="2"/>
      <c r="C488" s="2"/>
      <c r="D488" s="2"/>
      <c r="E488" s="2"/>
      <c r="F488" s="2"/>
      <c r="G488" s="2"/>
      <c r="H488" s="2"/>
      <c r="I488" s="2"/>
      <c r="J488" s="2"/>
      <c r="K488" s="2"/>
    </row>
    <row r="489" spans="1:11" ht="15.75" customHeight="1">
      <c r="A489" s="2"/>
      <c r="B489" s="2"/>
      <c r="C489" s="2"/>
      <c r="D489" s="2"/>
      <c r="E489" s="2"/>
      <c r="F489" s="2"/>
      <c r="G489" s="2"/>
      <c r="H489" s="2"/>
      <c r="I489" s="2"/>
      <c r="J489" s="2"/>
      <c r="K489" s="2"/>
    </row>
    <row r="490" spans="1:11" ht="15.75" customHeight="1">
      <c r="A490" s="2"/>
      <c r="B490" s="2"/>
      <c r="C490" s="2"/>
      <c r="D490" s="2"/>
      <c r="E490" s="2"/>
      <c r="F490" s="2"/>
      <c r="G490" s="2"/>
      <c r="H490" s="2"/>
      <c r="I490" s="2"/>
      <c r="J490" s="2"/>
      <c r="K490" s="2"/>
    </row>
    <row r="491" spans="1:11" ht="15.75" customHeight="1">
      <c r="A491" s="2"/>
      <c r="B491" s="2"/>
      <c r="C491" s="2"/>
      <c r="D491" s="2"/>
      <c r="E491" s="2"/>
      <c r="F491" s="2"/>
      <c r="G491" s="2"/>
      <c r="H491" s="2"/>
      <c r="I491" s="2"/>
      <c r="J491" s="2"/>
      <c r="K491" s="2"/>
    </row>
    <row r="492" spans="1:11" ht="15.75" customHeight="1">
      <c r="A492" s="2"/>
      <c r="B492" s="2"/>
      <c r="C492" s="2"/>
      <c r="D492" s="2"/>
      <c r="E492" s="2"/>
      <c r="F492" s="2"/>
      <c r="G492" s="2"/>
      <c r="H492" s="2"/>
      <c r="I492" s="2"/>
      <c r="J492" s="2"/>
      <c r="K492" s="2"/>
    </row>
    <row r="493" spans="1:11" ht="15.75" customHeight="1">
      <c r="A493" s="2"/>
      <c r="B493" s="2"/>
      <c r="C493" s="2"/>
      <c r="D493" s="2"/>
      <c r="E493" s="2"/>
      <c r="F493" s="2"/>
      <c r="G493" s="2"/>
      <c r="H493" s="2"/>
      <c r="I493" s="2"/>
      <c r="J493" s="2"/>
      <c r="K493" s="2"/>
    </row>
    <row r="494" spans="1:11" ht="15.75" customHeight="1">
      <c r="A494" s="2"/>
      <c r="B494" s="2"/>
      <c r="C494" s="2"/>
      <c r="D494" s="2"/>
      <c r="E494" s="2"/>
      <c r="F494" s="2"/>
      <c r="G494" s="2"/>
      <c r="H494" s="2"/>
      <c r="I494" s="2"/>
      <c r="J494" s="2"/>
      <c r="K494" s="2"/>
    </row>
    <row r="495" spans="1:11" ht="15.75" customHeight="1">
      <c r="A495" s="2"/>
      <c r="B495" s="2"/>
      <c r="C495" s="2"/>
      <c r="D495" s="2"/>
      <c r="E495" s="2"/>
      <c r="F495" s="2"/>
      <c r="G495" s="2"/>
      <c r="H495" s="2"/>
      <c r="I495" s="2"/>
      <c r="J495" s="2"/>
      <c r="K495" s="2"/>
    </row>
    <row r="496" spans="1:11" ht="15.75" customHeight="1">
      <c r="A496" s="2"/>
      <c r="B496" s="2"/>
      <c r="C496" s="2"/>
      <c r="D496" s="2"/>
      <c r="E496" s="2"/>
      <c r="F496" s="2"/>
      <c r="G496" s="2"/>
      <c r="H496" s="2"/>
      <c r="I496" s="2"/>
      <c r="J496" s="2"/>
      <c r="K496" s="2"/>
    </row>
    <row r="497" spans="1:11" ht="15.75" customHeight="1">
      <c r="A497" s="2"/>
      <c r="B497" s="2"/>
      <c r="C497" s="2"/>
      <c r="D497" s="2"/>
      <c r="E497" s="2"/>
      <c r="F497" s="2"/>
      <c r="G497" s="2"/>
      <c r="H497" s="2"/>
      <c r="I497" s="2"/>
      <c r="J497" s="2"/>
      <c r="K497" s="2"/>
    </row>
    <row r="498" spans="1:11" ht="15.75" customHeight="1">
      <c r="A498" s="2"/>
      <c r="B498" s="2"/>
      <c r="C498" s="2"/>
      <c r="D498" s="2"/>
      <c r="E498" s="2"/>
      <c r="F498" s="2"/>
      <c r="G498" s="2"/>
      <c r="H498" s="2"/>
      <c r="I498" s="2"/>
      <c r="J498" s="2"/>
      <c r="K498" s="2"/>
    </row>
    <row r="499" spans="1:11" ht="15.75" customHeight="1">
      <c r="A499" s="2"/>
      <c r="B499" s="2"/>
      <c r="C499" s="2"/>
      <c r="D499" s="2"/>
      <c r="E499" s="2"/>
      <c r="F499" s="2"/>
      <c r="G499" s="2"/>
      <c r="H499" s="2"/>
      <c r="I499" s="2"/>
      <c r="J499" s="2"/>
      <c r="K499" s="2"/>
    </row>
    <row r="500" spans="1:11" ht="15.75" customHeight="1">
      <c r="A500" s="2"/>
      <c r="B500" s="2"/>
      <c r="C500" s="2"/>
      <c r="D500" s="2"/>
      <c r="E500" s="2"/>
      <c r="F500" s="2"/>
      <c r="G500" s="2"/>
      <c r="H500" s="2"/>
      <c r="I500" s="2"/>
      <c r="J500" s="2"/>
      <c r="K500" s="2"/>
    </row>
    <row r="501" spans="1:11" ht="15.75" customHeight="1">
      <c r="A501" s="2"/>
      <c r="B501" s="2"/>
      <c r="C501" s="2"/>
      <c r="D501" s="2"/>
      <c r="E501" s="2"/>
      <c r="F501" s="2"/>
      <c r="G501" s="2"/>
      <c r="H501" s="2"/>
      <c r="I501" s="2"/>
      <c r="J501" s="2"/>
      <c r="K501" s="2"/>
    </row>
    <row r="502" spans="1:11" ht="15.75" customHeight="1">
      <c r="A502" s="2"/>
      <c r="B502" s="2"/>
      <c r="C502" s="2"/>
      <c r="D502" s="2"/>
      <c r="E502" s="2"/>
      <c r="F502" s="2"/>
      <c r="G502" s="2"/>
      <c r="H502" s="2"/>
      <c r="I502" s="2"/>
      <c r="J502" s="2"/>
      <c r="K502" s="2"/>
    </row>
    <row r="503" spans="1:11" ht="15.75" customHeight="1">
      <c r="A503" s="2"/>
      <c r="B503" s="2"/>
      <c r="C503" s="2"/>
      <c r="D503" s="2"/>
      <c r="E503" s="2"/>
      <c r="F503" s="2"/>
      <c r="G503" s="2"/>
      <c r="H503" s="2"/>
      <c r="I503" s="2"/>
      <c r="J503" s="2"/>
      <c r="K503" s="2"/>
    </row>
    <row r="504" spans="1:11" ht="15.75" customHeight="1">
      <c r="A504" s="2"/>
      <c r="B504" s="2"/>
      <c r="C504" s="2"/>
      <c r="D504" s="2"/>
      <c r="E504" s="2"/>
      <c r="F504" s="2"/>
      <c r="G504" s="2"/>
      <c r="H504" s="2"/>
      <c r="I504" s="2"/>
      <c r="J504" s="2"/>
      <c r="K504" s="2"/>
    </row>
    <row r="505" spans="1:11" ht="15.75" customHeight="1">
      <c r="A505" s="2"/>
      <c r="B505" s="2"/>
      <c r="C505" s="2"/>
      <c r="D505" s="2"/>
      <c r="E505" s="2"/>
      <c r="F505" s="2"/>
      <c r="G505" s="2"/>
      <c r="H505" s="2"/>
      <c r="I505" s="2"/>
      <c r="J505" s="2"/>
      <c r="K505" s="2"/>
    </row>
    <row r="506" spans="1:11" ht="15.75" customHeight="1">
      <c r="A506" s="2"/>
      <c r="B506" s="2"/>
      <c r="C506" s="2"/>
      <c r="D506" s="2"/>
      <c r="E506" s="2"/>
      <c r="F506" s="2"/>
      <c r="G506" s="2"/>
      <c r="H506" s="2"/>
      <c r="I506" s="2"/>
      <c r="J506" s="2"/>
      <c r="K506" s="2"/>
    </row>
    <row r="507" spans="1:11" ht="15.75" customHeight="1">
      <c r="A507" s="2"/>
      <c r="B507" s="2"/>
      <c r="C507" s="2"/>
      <c r="D507" s="2"/>
      <c r="E507" s="2"/>
      <c r="F507" s="2"/>
      <c r="G507" s="2"/>
      <c r="H507" s="2"/>
      <c r="I507" s="2"/>
      <c r="J507" s="2"/>
      <c r="K507" s="2"/>
    </row>
    <row r="508" spans="1:11" ht="15.75" customHeight="1">
      <c r="A508" s="2"/>
      <c r="B508" s="2"/>
      <c r="C508" s="2"/>
      <c r="D508" s="2"/>
      <c r="E508" s="2"/>
      <c r="F508" s="2"/>
      <c r="G508" s="2"/>
      <c r="H508" s="2"/>
      <c r="I508" s="2"/>
      <c r="J508" s="2"/>
      <c r="K508" s="2"/>
    </row>
    <row r="509" spans="1:11" ht="15.75" customHeight="1">
      <c r="A509" s="2"/>
      <c r="B509" s="2"/>
      <c r="C509" s="2"/>
      <c r="D509" s="2"/>
      <c r="E509" s="2"/>
      <c r="F509" s="2"/>
      <c r="G509" s="2"/>
      <c r="H509" s="2"/>
      <c r="I509" s="2"/>
      <c r="J509" s="2"/>
      <c r="K509" s="2"/>
    </row>
    <row r="510" spans="1:11" ht="15.75" customHeight="1">
      <c r="A510" s="2"/>
      <c r="B510" s="2"/>
      <c r="C510" s="2"/>
      <c r="D510" s="2"/>
      <c r="E510" s="2"/>
      <c r="F510" s="2"/>
      <c r="G510" s="2"/>
      <c r="H510" s="2"/>
      <c r="I510" s="2"/>
      <c r="J510" s="2"/>
      <c r="K510" s="2"/>
    </row>
    <row r="511" spans="1:11" ht="15.75" customHeight="1">
      <c r="A511" s="2"/>
      <c r="B511" s="2"/>
      <c r="C511" s="2"/>
      <c r="D511" s="2"/>
      <c r="E511" s="2"/>
      <c r="F511" s="2"/>
      <c r="G511" s="2"/>
      <c r="H511" s="2"/>
      <c r="I511" s="2"/>
      <c r="J511" s="2"/>
      <c r="K511" s="2"/>
    </row>
    <row r="512" spans="1:11" ht="15.75" customHeight="1">
      <c r="A512" s="2"/>
      <c r="B512" s="2"/>
      <c r="C512" s="2"/>
      <c r="D512" s="2"/>
      <c r="E512" s="2"/>
      <c r="F512" s="2"/>
      <c r="G512" s="2"/>
      <c r="H512" s="2"/>
      <c r="I512" s="2"/>
      <c r="J512" s="2"/>
      <c r="K512" s="2"/>
    </row>
    <row r="513" spans="1:11" ht="15.75" customHeight="1">
      <c r="A513" s="2"/>
      <c r="B513" s="2"/>
      <c r="C513" s="2"/>
      <c r="D513" s="2"/>
      <c r="E513" s="2"/>
      <c r="F513" s="2"/>
      <c r="G513" s="2"/>
      <c r="H513" s="2"/>
      <c r="I513" s="2"/>
      <c r="J513" s="2"/>
      <c r="K513" s="2"/>
    </row>
    <row r="514" spans="1:11" ht="15.75" customHeight="1">
      <c r="A514" s="2"/>
      <c r="B514" s="2"/>
      <c r="C514" s="2"/>
      <c r="D514" s="2"/>
      <c r="E514" s="2"/>
      <c r="F514" s="2"/>
      <c r="G514" s="2"/>
      <c r="H514" s="2"/>
      <c r="I514" s="2"/>
      <c r="J514" s="2"/>
      <c r="K514" s="2"/>
    </row>
    <row r="515" spans="1:11" ht="15.75" customHeight="1">
      <c r="A515" s="2"/>
      <c r="B515" s="2"/>
      <c r="C515" s="2"/>
      <c r="D515" s="2"/>
      <c r="E515" s="2"/>
      <c r="F515" s="2"/>
      <c r="G515" s="2"/>
      <c r="H515" s="2"/>
      <c r="I515" s="2"/>
      <c r="J515" s="2"/>
      <c r="K515" s="2"/>
    </row>
    <row r="516" spans="1:11" ht="15.75" customHeight="1">
      <c r="A516" s="2"/>
      <c r="B516" s="2"/>
      <c r="C516" s="2"/>
      <c r="D516" s="2"/>
      <c r="E516" s="2"/>
      <c r="F516" s="2"/>
      <c r="G516" s="2"/>
      <c r="H516" s="2"/>
      <c r="I516" s="2"/>
      <c r="J516" s="2"/>
      <c r="K516" s="2"/>
    </row>
    <row r="517" spans="1:11" ht="15.75" customHeight="1">
      <c r="A517" s="2"/>
      <c r="B517" s="2"/>
      <c r="C517" s="2"/>
      <c r="D517" s="2"/>
      <c r="E517" s="2"/>
      <c r="F517" s="2"/>
      <c r="G517" s="2"/>
      <c r="H517" s="2"/>
      <c r="I517" s="2"/>
      <c r="J517" s="2"/>
      <c r="K517" s="2"/>
    </row>
    <row r="518" spans="1:11" ht="15.75" customHeight="1">
      <c r="A518" s="2"/>
      <c r="B518" s="2"/>
      <c r="C518" s="2"/>
      <c r="D518" s="2"/>
      <c r="E518" s="2"/>
      <c r="F518" s="2"/>
      <c r="G518" s="2"/>
      <c r="H518" s="2"/>
      <c r="I518" s="2"/>
      <c r="J518" s="2"/>
      <c r="K518" s="2"/>
    </row>
    <row r="519" spans="1:11" ht="15.75" customHeight="1">
      <c r="A519" s="2"/>
      <c r="B519" s="2"/>
      <c r="C519" s="2"/>
      <c r="D519" s="2"/>
      <c r="E519" s="2"/>
      <c r="F519" s="2"/>
      <c r="G519" s="2"/>
      <c r="H519" s="2"/>
      <c r="I519" s="2"/>
      <c r="J519" s="2"/>
      <c r="K519" s="2"/>
    </row>
    <row r="520" spans="1:11" ht="15.75" customHeight="1">
      <c r="A520" s="2"/>
      <c r="B520" s="2"/>
      <c r="C520" s="2"/>
      <c r="D520" s="2"/>
      <c r="E520" s="2"/>
      <c r="F520" s="2"/>
      <c r="G520" s="2"/>
      <c r="H520" s="2"/>
      <c r="I520" s="2"/>
      <c r="J520" s="2"/>
      <c r="K520" s="2"/>
    </row>
    <row r="521" spans="1:11" ht="15.75" customHeight="1">
      <c r="A521" s="2"/>
      <c r="B521" s="2"/>
      <c r="C521" s="2"/>
      <c r="D521" s="2"/>
      <c r="E521" s="2"/>
      <c r="F521" s="2"/>
      <c r="G521" s="2"/>
      <c r="H521" s="2"/>
      <c r="I521" s="2"/>
      <c r="J521" s="2"/>
      <c r="K521" s="2"/>
    </row>
    <row r="522" spans="1:11" ht="15.75" customHeight="1">
      <c r="A522" s="2"/>
      <c r="B522" s="2"/>
      <c r="C522" s="2"/>
      <c r="D522" s="2"/>
      <c r="E522" s="2"/>
      <c r="F522" s="2"/>
      <c r="G522" s="2"/>
      <c r="H522" s="2"/>
      <c r="I522" s="2"/>
      <c r="J522" s="2"/>
      <c r="K522" s="2"/>
    </row>
    <row r="523" spans="1:11" ht="15.75" customHeight="1">
      <c r="A523" s="2"/>
      <c r="B523" s="2"/>
      <c r="C523" s="2"/>
      <c r="D523" s="2"/>
      <c r="E523" s="2"/>
      <c r="F523" s="2"/>
      <c r="G523" s="2"/>
      <c r="H523" s="2"/>
      <c r="I523" s="2"/>
      <c r="J523" s="2"/>
      <c r="K523" s="2"/>
    </row>
    <row r="524" spans="1:11" ht="15.75" customHeight="1">
      <c r="A524" s="2"/>
      <c r="B524" s="2"/>
      <c r="C524" s="2"/>
      <c r="D524" s="2"/>
      <c r="E524" s="2"/>
      <c r="F524" s="2"/>
      <c r="G524" s="2"/>
      <c r="H524" s="2"/>
      <c r="I524" s="2"/>
      <c r="J524" s="2"/>
      <c r="K524" s="2"/>
    </row>
    <row r="525" spans="1:11" ht="15.75" customHeight="1">
      <c r="A525" s="2"/>
      <c r="B525" s="2"/>
      <c r="C525" s="2"/>
      <c r="D525" s="2"/>
      <c r="E525" s="2"/>
      <c r="F525" s="2"/>
      <c r="G525" s="2"/>
      <c r="H525" s="2"/>
      <c r="I525" s="2"/>
      <c r="J525" s="2"/>
      <c r="K525" s="2"/>
    </row>
    <row r="526" spans="1:11" ht="15.75" customHeight="1">
      <c r="A526" s="2"/>
      <c r="B526" s="2"/>
      <c r="C526" s="2"/>
      <c r="D526" s="2"/>
      <c r="E526" s="2"/>
      <c r="F526" s="2"/>
      <c r="G526" s="2"/>
      <c r="H526" s="2"/>
      <c r="I526" s="2"/>
      <c r="J526" s="2"/>
      <c r="K526" s="2"/>
    </row>
    <row r="527" spans="1:11" ht="15.75" customHeight="1">
      <c r="A527" s="2"/>
      <c r="B527" s="2"/>
      <c r="C527" s="2"/>
      <c r="D527" s="2"/>
      <c r="E527" s="2"/>
      <c r="F527" s="2"/>
      <c r="G527" s="2"/>
      <c r="H527" s="2"/>
      <c r="I527" s="2"/>
      <c r="J527" s="2"/>
      <c r="K527" s="2"/>
    </row>
    <row r="528" spans="1:11" ht="15.75" customHeight="1">
      <c r="A528" s="2"/>
      <c r="B528" s="2"/>
      <c r="C528" s="2"/>
      <c r="D528" s="2"/>
      <c r="E528" s="2"/>
      <c r="F528" s="2"/>
      <c r="G528" s="2"/>
      <c r="H528" s="2"/>
      <c r="I528" s="2"/>
      <c r="J528" s="2"/>
      <c r="K528" s="2"/>
    </row>
    <row r="529" spans="1:11" ht="15.75" customHeight="1">
      <c r="A529" s="2"/>
      <c r="B529" s="2"/>
      <c r="C529" s="2"/>
      <c r="D529" s="2"/>
      <c r="E529" s="2"/>
      <c r="F529" s="2"/>
      <c r="G529" s="2"/>
      <c r="H529" s="2"/>
      <c r="I529" s="2"/>
      <c r="J529" s="2"/>
      <c r="K529" s="2"/>
    </row>
    <row r="530" spans="1:11" ht="15.75" customHeight="1">
      <c r="A530" s="2"/>
      <c r="B530" s="2"/>
      <c r="C530" s="2"/>
      <c r="D530" s="2"/>
      <c r="E530" s="2"/>
      <c r="F530" s="2"/>
      <c r="G530" s="2"/>
      <c r="H530" s="2"/>
      <c r="I530" s="2"/>
      <c r="J530" s="2"/>
      <c r="K530" s="2"/>
    </row>
    <row r="531" spans="1:11" ht="15.75" customHeight="1">
      <c r="A531" s="2"/>
      <c r="B531" s="2"/>
      <c r="C531" s="2"/>
      <c r="D531" s="2"/>
      <c r="E531" s="2"/>
      <c r="F531" s="2"/>
      <c r="G531" s="2"/>
      <c r="H531" s="2"/>
      <c r="I531" s="2"/>
      <c r="J531" s="2"/>
      <c r="K531" s="2"/>
    </row>
    <row r="532" spans="1:11" ht="15.75" customHeight="1">
      <c r="A532" s="2"/>
      <c r="B532" s="2"/>
      <c r="C532" s="2"/>
      <c r="D532" s="2"/>
      <c r="E532" s="2"/>
      <c r="F532" s="2"/>
      <c r="G532" s="2"/>
      <c r="H532" s="2"/>
      <c r="I532" s="2"/>
      <c r="J532" s="2"/>
      <c r="K532" s="2"/>
    </row>
    <row r="533" spans="1:11" ht="15.75" customHeight="1">
      <c r="A533" s="2"/>
      <c r="B533" s="2"/>
      <c r="C533" s="2"/>
      <c r="D533" s="2"/>
      <c r="E533" s="2"/>
      <c r="F533" s="2"/>
      <c r="G533" s="2"/>
      <c r="H533" s="2"/>
      <c r="I533" s="2"/>
      <c r="J533" s="2"/>
      <c r="K533" s="2"/>
    </row>
    <row r="534" spans="1:11" ht="15.75" customHeight="1">
      <c r="A534" s="2"/>
      <c r="B534" s="2"/>
      <c r="C534" s="2"/>
      <c r="D534" s="2"/>
      <c r="E534" s="2"/>
      <c r="F534" s="2"/>
      <c r="G534" s="2"/>
      <c r="H534" s="2"/>
      <c r="I534" s="2"/>
      <c r="J534" s="2"/>
      <c r="K534" s="2"/>
    </row>
    <row r="535" spans="1:11" ht="15.75" customHeight="1">
      <c r="A535" s="2"/>
      <c r="B535" s="2"/>
      <c r="C535" s="2"/>
      <c r="D535" s="2"/>
      <c r="E535" s="2"/>
      <c r="F535" s="2"/>
      <c r="G535" s="2"/>
      <c r="H535" s="2"/>
      <c r="I535" s="2"/>
      <c r="J535" s="2"/>
      <c r="K535" s="2"/>
    </row>
    <row r="536" spans="1:11" ht="15.75" customHeight="1">
      <c r="A536" s="2"/>
      <c r="B536" s="2"/>
      <c r="C536" s="2"/>
      <c r="D536" s="2"/>
      <c r="E536" s="2"/>
      <c r="F536" s="2"/>
      <c r="G536" s="2"/>
      <c r="H536" s="2"/>
      <c r="I536" s="2"/>
      <c r="J536" s="2"/>
      <c r="K536" s="2"/>
    </row>
    <row r="537" spans="1:11" ht="15.75" customHeight="1">
      <c r="A537" s="2"/>
      <c r="B537" s="2"/>
      <c r="C537" s="2"/>
      <c r="D537" s="2"/>
      <c r="E537" s="2"/>
      <c r="F537" s="2"/>
      <c r="G537" s="2"/>
      <c r="H537" s="2"/>
      <c r="I537" s="2"/>
      <c r="J537" s="2"/>
      <c r="K537" s="2"/>
    </row>
    <row r="538" spans="1:11" ht="15.75" customHeight="1">
      <c r="A538" s="2"/>
      <c r="B538" s="2"/>
      <c r="C538" s="2"/>
      <c r="D538" s="2"/>
      <c r="E538" s="2"/>
      <c r="F538" s="2"/>
      <c r="G538" s="2"/>
      <c r="H538" s="2"/>
      <c r="I538" s="2"/>
      <c r="J538" s="2"/>
      <c r="K538" s="2"/>
    </row>
    <row r="539" spans="1:11" ht="15.75" customHeight="1">
      <c r="A539" s="2"/>
      <c r="B539" s="2"/>
      <c r="C539" s="2"/>
      <c r="D539" s="2"/>
      <c r="E539" s="2"/>
      <c r="F539" s="2"/>
      <c r="G539" s="2"/>
      <c r="H539" s="2"/>
      <c r="I539" s="2"/>
      <c r="J539" s="2"/>
      <c r="K539" s="2"/>
    </row>
    <row r="540" spans="1:11" ht="15.75" customHeight="1">
      <c r="A540" s="2"/>
      <c r="B540" s="2"/>
      <c r="C540" s="2"/>
      <c r="D540" s="2"/>
      <c r="E540" s="2"/>
      <c r="F540" s="2"/>
      <c r="G540" s="2"/>
      <c r="H540" s="2"/>
      <c r="I540" s="2"/>
      <c r="J540" s="2"/>
      <c r="K540" s="2"/>
    </row>
    <row r="541" spans="1:11" ht="15.75" customHeight="1">
      <c r="A541" s="2"/>
      <c r="B541" s="2"/>
      <c r="C541" s="2"/>
      <c r="D541" s="2"/>
      <c r="E541" s="2"/>
      <c r="F541" s="2"/>
      <c r="G541" s="2"/>
      <c r="H541" s="2"/>
      <c r="I541" s="2"/>
      <c r="J541" s="2"/>
      <c r="K541" s="2"/>
    </row>
    <row r="542" spans="1:11" ht="15.75" customHeight="1">
      <c r="A542" s="2"/>
      <c r="B542" s="2"/>
      <c r="C542" s="2"/>
      <c r="D542" s="2"/>
      <c r="E542" s="2"/>
      <c r="F542" s="2"/>
      <c r="G542" s="2"/>
      <c r="H542" s="2"/>
      <c r="I542" s="2"/>
      <c r="J542" s="2"/>
      <c r="K542" s="2"/>
    </row>
    <row r="543" spans="1:11" ht="15.75" customHeight="1">
      <c r="A543" s="2"/>
      <c r="B543" s="2"/>
      <c r="C543" s="2"/>
      <c r="D543" s="2"/>
      <c r="E543" s="2"/>
      <c r="F543" s="2"/>
      <c r="G543" s="2"/>
      <c r="H543" s="2"/>
      <c r="I543" s="2"/>
      <c r="J543" s="2"/>
      <c r="K543" s="2"/>
    </row>
    <row r="544" spans="1:11" ht="15.75" customHeight="1">
      <c r="A544" s="2"/>
      <c r="B544" s="2"/>
      <c r="C544" s="2"/>
      <c r="D544" s="2"/>
      <c r="E544" s="2"/>
      <c r="F544" s="2"/>
      <c r="G544" s="2"/>
      <c r="H544" s="2"/>
      <c r="I544" s="2"/>
      <c r="J544" s="2"/>
      <c r="K544" s="2"/>
    </row>
    <row r="545" spans="1:11" ht="15.75" customHeight="1">
      <c r="A545" s="2"/>
      <c r="B545" s="2"/>
      <c r="C545" s="2"/>
      <c r="D545" s="2"/>
      <c r="E545" s="2"/>
      <c r="F545" s="2"/>
      <c r="G545" s="2"/>
      <c r="H545" s="2"/>
      <c r="I545" s="2"/>
      <c r="J545" s="2"/>
      <c r="K545" s="2"/>
    </row>
    <row r="546" spans="1:11" ht="15.75" customHeight="1">
      <c r="A546" s="2"/>
      <c r="B546" s="2"/>
      <c r="C546" s="2"/>
      <c r="D546" s="2"/>
      <c r="E546" s="2"/>
      <c r="F546" s="2"/>
      <c r="G546" s="2"/>
      <c r="H546" s="2"/>
      <c r="I546" s="2"/>
      <c r="J546" s="2"/>
      <c r="K546" s="2"/>
    </row>
    <row r="547" spans="1:11" ht="15.75" customHeight="1">
      <c r="A547" s="2"/>
      <c r="B547" s="2"/>
      <c r="C547" s="2"/>
      <c r="D547" s="2"/>
      <c r="E547" s="2"/>
      <c r="F547" s="2"/>
      <c r="G547" s="2"/>
      <c r="H547" s="2"/>
      <c r="I547" s="2"/>
      <c r="J547" s="2"/>
      <c r="K547" s="2"/>
    </row>
    <row r="548" spans="1:11" ht="15.75" customHeight="1">
      <c r="A548" s="2"/>
      <c r="B548" s="2"/>
      <c r="C548" s="2"/>
      <c r="D548" s="2"/>
      <c r="E548" s="2"/>
      <c r="F548" s="2"/>
      <c r="G548" s="2"/>
      <c r="H548" s="2"/>
      <c r="I548" s="2"/>
      <c r="J548" s="2"/>
      <c r="K548" s="2"/>
    </row>
    <row r="549" spans="1:11" ht="15.75" customHeight="1">
      <c r="A549" s="2"/>
      <c r="B549" s="2"/>
      <c r="C549" s="2"/>
      <c r="D549" s="2"/>
      <c r="E549" s="2"/>
      <c r="F549" s="2"/>
      <c r="G549" s="2"/>
      <c r="H549" s="2"/>
      <c r="I549" s="2"/>
      <c r="J549" s="2"/>
      <c r="K549" s="2"/>
    </row>
    <row r="550" spans="1:11" ht="15.75" customHeight="1">
      <c r="A550" s="2"/>
      <c r="B550" s="2"/>
      <c r="C550" s="2"/>
      <c r="D550" s="2"/>
      <c r="E550" s="2"/>
      <c r="F550" s="2"/>
      <c r="G550" s="2"/>
      <c r="H550" s="2"/>
      <c r="I550" s="2"/>
      <c r="J550" s="2"/>
      <c r="K550" s="2"/>
    </row>
    <row r="551" spans="1:11" ht="15.75" customHeight="1">
      <c r="A551" s="2"/>
      <c r="B551" s="2"/>
      <c r="C551" s="2"/>
      <c r="D551" s="2"/>
      <c r="E551" s="2"/>
      <c r="F551" s="2"/>
      <c r="G551" s="2"/>
      <c r="H551" s="2"/>
      <c r="I551" s="2"/>
      <c r="J551" s="2"/>
      <c r="K551" s="2"/>
    </row>
    <row r="552" spans="1:11" ht="15.75" customHeight="1">
      <c r="A552" s="2"/>
      <c r="B552" s="2"/>
      <c r="C552" s="2"/>
      <c r="D552" s="2"/>
      <c r="E552" s="2"/>
      <c r="F552" s="2"/>
      <c r="G552" s="2"/>
      <c r="H552" s="2"/>
      <c r="I552" s="2"/>
      <c r="J552" s="2"/>
      <c r="K552" s="2"/>
    </row>
    <row r="553" spans="1:11" ht="15.75" customHeight="1">
      <c r="A553" s="2"/>
      <c r="B553" s="2"/>
      <c r="C553" s="2"/>
      <c r="D553" s="2"/>
      <c r="E553" s="2"/>
      <c r="F553" s="2"/>
      <c r="G553" s="2"/>
      <c r="H553" s="2"/>
      <c r="I553" s="2"/>
      <c r="J553" s="2"/>
      <c r="K553" s="2"/>
    </row>
    <row r="554" spans="1:11" ht="15.75" customHeight="1">
      <c r="A554" s="2"/>
      <c r="B554" s="2"/>
      <c r="C554" s="2"/>
      <c r="D554" s="2"/>
      <c r="E554" s="2"/>
      <c r="F554" s="2"/>
      <c r="G554" s="2"/>
      <c r="H554" s="2"/>
      <c r="I554" s="2"/>
      <c r="J554" s="2"/>
      <c r="K554" s="2"/>
    </row>
    <row r="555" spans="1:11" ht="15.75" customHeight="1">
      <c r="A555" s="2"/>
      <c r="B555" s="2"/>
      <c r="C555" s="2"/>
      <c r="D555" s="2"/>
      <c r="E555" s="2"/>
      <c r="F555" s="2"/>
      <c r="G555" s="2"/>
      <c r="H555" s="2"/>
      <c r="I555" s="2"/>
      <c r="J555" s="2"/>
      <c r="K555" s="2"/>
    </row>
    <row r="556" spans="1:11" ht="15.75" customHeight="1">
      <c r="A556" s="2"/>
      <c r="B556" s="2"/>
      <c r="C556" s="2"/>
      <c r="D556" s="2"/>
      <c r="E556" s="2"/>
      <c r="F556" s="2"/>
      <c r="G556" s="2"/>
      <c r="H556" s="2"/>
      <c r="I556" s="2"/>
      <c r="J556" s="2"/>
      <c r="K556" s="2"/>
    </row>
    <row r="557" spans="1:11" ht="15.75" customHeight="1">
      <c r="A557" s="2"/>
      <c r="B557" s="2"/>
      <c r="C557" s="2"/>
      <c r="D557" s="2"/>
      <c r="E557" s="2"/>
      <c r="F557" s="2"/>
      <c r="G557" s="2"/>
      <c r="H557" s="2"/>
      <c r="I557" s="2"/>
      <c r="J557" s="2"/>
      <c r="K557" s="2"/>
    </row>
    <row r="558" spans="1:11" ht="15.75" customHeight="1">
      <c r="A558" s="2"/>
      <c r="B558" s="2"/>
      <c r="C558" s="2"/>
      <c r="D558" s="2"/>
      <c r="E558" s="2"/>
      <c r="F558" s="2"/>
      <c r="G558" s="2"/>
      <c r="H558" s="2"/>
      <c r="I558" s="2"/>
      <c r="J558" s="2"/>
      <c r="K558" s="2"/>
    </row>
    <row r="559" spans="1:11" ht="15.75" customHeight="1">
      <c r="A559" s="2"/>
      <c r="B559" s="2"/>
      <c r="C559" s="2"/>
      <c r="D559" s="2"/>
      <c r="E559" s="2"/>
      <c r="F559" s="2"/>
      <c r="G559" s="2"/>
      <c r="H559" s="2"/>
      <c r="I559" s="2"/>
      <c r="J559" s="2"/>
      <c r="K559" s="2"/>
    </row>
    <row r="560" spans="1:11" ht="15.75" customHeight="1">
      <c r="A560" s="2"/>
      <c r="B560" s="2"/>
      <c r="C560" s="2"/>
      <c r="D560" s="2"/>
      <c r="E560" s="2"/>
      <c r="F560" s="2"/>
      <c r="G560" s="2"/>
      <c r="H560" s="2"/>
      <c r="I560" s="2"/>
      <c r="J560" s="2"/>
      <c r="K560" s="2"/>
    </row>
    <row r="561" spans="1:11" ht="15.75" customHeight="1">
      <c r="A561" s="2"/>
      <c r="B561" s="2"/>
      <c r="C561" s="2"/>
      <c r="D561" s="2"/>
      <c r="E561" s="2"/>
      <c r="F561" s="2"/>
      <c r="G561" s="2"/>
      <c r="H561" s="2"/>
      <c r="I561" s="2"/>
      <c r="J561" s="2"/>
      <c r="K561" s="2"/>
    </row>
    <row r="562" spans="1:11" ht="15.75" customHeight="1">
      <c r="A562" s="2"/>
      <c r="B562" s="2"/>
      <c r="C562" s="2"/>
      <c r="D562" s="2"/>
      <c r="E562" s="2"/>
      <c r="F562" s="2"/>
      <c r="G562" s="2"/>
      <c r="H562" s="2"/>
      <c r="I562" s="2"/>
      <c r="J562" s="2"/>
      <c r="K562" s="2"/>
    </row>
    <row r="563" spans="1:11" ht="15.75" customHeight="1">
      <c r="A563" s="2"/>
      <c r="B563" s="2"/>
      <c r="C563" s="2"/>
      <c r="D563" s="2"/>
      <c r="E563" s="2"/>
      <c r="F563" s="2"/>
      <c r="G563" s="2"/>
      <c r="H563" s="2"/>
      <c r="I563" s="2"/>
      <c r="J563" s="2"/>
      <c r="K563" s="2"/>
    </row>
    <row r="564" spans="1:11" ht="15.75" customHeight="1">
      <c r="A564" s="2"/>
      <c r="B564" s="2"/>
      <c r="C564" s="2"/>
      <c r="D564" s="2"/>
      <c r="E564" s="2"/>
      <c r="F564" s="2"/>
      <c r="G564" s="2"/>
      <c r="H564" s="2"/>
      <c r="I564" s="2"/>
      <c r="J564" s="2"/>
      <c r="K564" s="2"/>
    </row>
    <row r="565" spans="1:11" ht="15.75" customHeight="1">
      <c r="A565" s="2"/>
      <c r="B565" s="2"/>
      <c r="C565" s="2"/>
      <c r="D565" s="2"/>
      <c r="E565" s="2"/>
      <c r="F565" s="2"/>
      <c r="G565" s="2"/>
      <c r="H565" s="2"/>
      <c r="I565" s="2"/>
      <c r="J565" s="2"/>
      <c r="K565" s="2"/>
    </row>
    <row r="566" spans="1:11" ht="15.75" customHeight="1">
      <c r="A566" s="2"/>
      <c r="B566" s="2"/>
      <c r="C566" s="2"/>
      <c r="D566" s="2"/>
      <c r="E566" s="2"/>
      <c r="F566" s="2"/>
      <c r="G566" s="2"/>
      <c r="H566" s="2"/>
      <c r="I566" s="2"/>
      <c r="J566" s="2"/>
      <c r="K566" s="2"/>
    </row>
    <row r="567" spans="1:11" ht="15.75" customHeight="1">
      <c r="A567" s="2"/>
      <c r="B567" s="2"/>
      <c r="C567" s="2"/>
      <c r="D567" s="2"/>
      <c r="E567" s="2"/>
      <c r="F567" s="2"/>
      <c r="G567" s="2"/>
      <c r="H567" s="2"/>
      <c r="I567" s="2"/>
      <c r="J567" s="2"/>
      <c r="K567" s="2"/>
    </row>
    <row r="568" spans="1:11" ht="15.75" customHeight="1">
      <c r="A568" s="2"/>
      <c r="B568" s="2"/>
      <c r="C568" s="2"/>
      <c r="D568" s="2"/>
      <c r="E568" s="2"/>
      <c r="F568" s="2"/>
      <c r="G568" s="2"/>
      <c r="H568" s="2"/>
      <c r="I568" s="2"/>
      <c r="J568" s="2"/>
      <c r="K568" s="2"/>
    </row>
    <row r="569" spans="1:11" ht="15.75" customHeight="1">
      <c r="A569" s="2"/>
      <c r="B569" s="2"/>
      <c r="C569" s="2"/>
      <c r="D569" s="2"/>
      <c r="E569" s="2"/>
      <c r="F569" s="2"/>
      <c r="G569" s="2"/>
      <c r="H569" s="2"/>
      <c r="I569" s="2"/>
      <c r="J569" s="2"/>
      <c r="K569" s="2"/>
    </row>
    <row r="570" spans="1:11" ht="15.75" customHeight="1">
      <c r="A570" s="2"/>
      <c r="B570" s="2"/>
      <c r="C570" s="2"/>
      <c r="D570" s="2"/>
      <c r="E570" s="2"/>
      <c r="F570" s="2"/>
      <c r="G570" s="2"/>
      <c r="H570" s="2"/>
      <c r="I570" s="2"/>
      <c r="J570" s="2"/>
      <c r="K570" s="2"/>
    </row>
    <row r="571" spans="1:11" ht="15.75" customHeight="1">
      <c r="A571" s="2"/>
      <c r="B571" s="2"/>
      <c r="C571" s="2"/>
      <c r="D571" s="2"/>
      <c r="E571" s="2"/>
      <c r="F571" s="2"/>
      <c r="G571" s="2"/>
      <c r="H571" s="2"/>
      <c r="I571" s="2"/>
      <c r="J571" s="2"/>
      <c r="K571" s="2"/>
    </row>
    <row r="572" spans="1:11" ht="15.75" customHeight="1">
      <c r="A572" s="2"/>
      <c r="B572" s="2"/>
      <c r="C572" s="2"/>
      <c r="D572" s="2"/>
      <c r="E572" s="2"/>
      <c r="F572" s="2"/>
      <c r="G572" s="2"/>
      <c r="H572" s="2"/>
      <c r="I572" s="2"/>
      <c r="J572" s="2"/>
      <c r="K572" s="2"/>
    </row>
    <row r="573" spans="1:11" ht="15.75" customHeight="1">
      <c r="A573" s="2"/>
      <c r="B573" s="2"/>
      <c r="C573" s="2"/>
      <c r="D573" s="2"/>
      <c r="E573" s="2"/>
      <c r="F573" s="2"/>
      <c r="G573" s="2"/>
      <c r="H573" s="2"/>
      <c r="I573" s="2"/>
      <c r="J573" s="2"/>
      <c r="K573" s="2"/>
    </row>
    <row r="574" spans="1:11" ht="15.75" customHeight="1">
      <c r="A574" s="2"/>
      <c r="B574" s="2"/>
      <c r="C574" s="2"/>
      <c r="D574" s="2"/>
      <c r="E574" s="2"/>
      <c r="F574" s="2"/>
      <c r="G574" s="2"/>
      <c r="H574" s="2"/>
      <c r="I574" s="2"/>
      <c r="J574" s="2"/>
      <c r="K574" s="2"/>
    </row>
    <row r="575" spans="1:11" ht="15.75" customHeight="1">
      <c r="A575" s="2"/>
      <c r="B575" s="2"/>
      <c r="C575" s="2"/>
      <c r="D575" s="2"/>
      <c r="E575" s="2"/>
      <c r="F575" s="2"/>
      <c r="G575" s="2"/>
      <c r="H575" s="2"/>
      <c r="I575" s="2"/>
      <c r="J575" s="2"/>
      <c r="K575" s="2"/>
    </row>
    <row r="576" spans="1:11" ht="15.75" customHeight="1">
      <c r="A576" s="2"/>
      <c r="B576" s="2"/>
      <c r="C576" s="2"/>
      <c r="D576" s="2"/>
      <c r="E576" s="2"/>
      <c r="F576" s="2"/>
      <c r="G576" s="2"/>
      <c r="H576" s="2"/>
      <c r="I576" s="2"/>
      <c r="J576" s="2"/>
      <c r="K576" s="2"/>
    </row>
    <row r="577" spans="1:11" ht="15.75" customHeight="1">
      <c r="A577" s="2"/>
      <c r="B577" s="2"/>
      <c r="C577" s="2"/>
      <c r="D577" s="2"/>
      <c r="E577" s="2"/>
      <c r="F577" s="2"/>
      <c r="G577" s="2"/>
      <c r="H577" s="2"/>
      <c r="I577" s="2"/>
      <c r="J577" s="2"/>
      <c r="K577" s="2"/>
    </row>
    <row r="578" spans="1:11" ht="15.75" customHeight="1">
      <c r="A578" s="2"/>
      <c r="B578" s="2"/>
      <c r="C578" s="2"/>
      <c r="D578" s="2"/>
      <c r="E578" s="2"/>
      <c r="F578" s="2"/>
      <c r="G578" s="2"/>
      <c r="H578" s="2"/>
      <c r="I578" s="2"/>
      <c r="J578" s="2"/>
      <c r="K578" s="2"/>
    </row>
    <row r="579" spans="1:11" ht="15.75" customHeight="1">
      <c r="A579" s="2"/>
      <c r="B579" s="2"/>
      <c r="C579" s="2"/>
      <c r="D579" s="2"/>
      <c r="E579" s="2"/>
      <c r="F579" s="2"/>
      <c r="G579" s="2"/>
      <c r="H579" s="2"/>
      <c r="I579" s="2"/>
      <c r="J579" s="2"/>
      <c r="K579" s="2"/>
    </row>
    <row r="580" spans="1:11" ht="15.75" customHeight="1">
      <c r="A580" s="2"/>
      <c r="B580" s="2"/>
      <c r="C580" s="2"/>
      <c r="D580" s="2"/>
      <c r="E580" s="2"/>
      <c r="F580" s="2"/>
      <c r="G580" s="2"/>
      <c r="H580" s="2"/>
      <c r="I580" s="2"/>
      <c r="J580" s="2"/>
      <c r="K580" s="2"/>
    </row>
    <row r="581" spans="1:11" ht="15.75" customHeight="1">
      <c r="A581" s="2"/>
      <c r="B581" s="2"/>
      <c r="C581" s="2"/>
      <c r="D581" s="2"/>
      <c r="E581" s="2"/>
      <c r="F581" s="2"/>
      <c r="G581" s="2"/>
      <c r="H581" s="2"/>
      <c r="I581" s="2"/>
      <c r="J581" s="2"/>
      <c r="K581" s="2"/>
    </row>
    <row r="582" spans="1:11" ht="15.75" customHeight="1">
      <c r="A582" s="2"/>
      <c r="B582" s="2"/>
      <c r="C582" s="2"/>
      <c r="D582" s="2"/>
      <c r="E582" s="2"/>
      <c r="F582" s="2"/>
      <c r="G582" s="2"/>
      <c r="H582" s="2"/>
      <c r="I582" s="2"/>
      <c r="J582" s="2"/>
      <c r="K582" s="2"/>
    </row>
    <row r="583" spans="1:11" ht="15.75" customHeight="1">
      <c r="A583" s="2"/>
      <c r="B583" s="2"/>
      <c r="C583" s="2"/>
      <c r="D583" s="2"/>
      <c r="E583" s="2"/>
      <c r="F583" s="2"/>
      <c r="G583" s="2"/>
      <c r="H583" s="2"/>
      <c r="I583" s="2"/>
      <c r="J583" s="2"/>
      <c r="K583" s="2"/>
    </row>
    <row r="584" spans="1:11" ht="15.75" customHeight="1">
      <c r="A584" s="2"/>
      <c r="B584" s="2"/>
      <c r="C584" s="2"/>
      <c r="D584" s="2"/>
      <c r="E584" s="2"/>
      <c r="F584" s="2"/>
      <c r="G584" s="2"/>
      <c r="H584" s="2"/>
      <c r="I584" s="2"/>
      <c r="J584" s="2"/>
      <c r="K584" s="2"/>
    </row>
    <row r="585" spans="1:11" ht="15.75" customHeight="1">
      <c r="A585" s="2"/>
      <c r="B585" s="2"/>
      <c r="C585" s="2"/>
      <c r="D585" s="2"/>
      <c r="E585" s="2"/>
      <c r="F585" s="2"/>
      <c r="G585" s="2"/>
      <c r="H585" s="2"/>
      <c r="I585" s="2"/>
      <c r="J585" s="2"/>
      <c r="K585" s="2"/>
    </row>
    <row r="586" spans="1:11" ht="15.75" customHeight="1">
      <c r="A586" s="2"/>
      <c r="B586" s="2"/>
      <c r="C586" s="2"/>
      <c r="D586" s="2"/>
      <c r="E586" s="2"/>
      <c r="F586" s="2"/>
      <c r="G586" s="2"/>
      <c r="H586" s="2"/>
      <c r="I586" s="2"/>
      <c r="J586" s="2"/>
      <c r="K586" s="2"/>
    </row>
    <row r="587" spans="1:11" ht="15.75" customHeight="1">
      <c r="A587" s="2"/>
      <c r="B587" s="2"/>
      <c r="C587" s="2"/>
      <c r="D587" s="2"/>
      <c r="E587" s="2"/>
      <c r="F587" s="2"/>
      <c r="G587" s="2"/>
      <c r="H587" s="2"/>
      <c r="I587" s="2"/>
      <c r="J587" s="2"/>
      <c r="K587" s="2"/>
    </row>
    <row r="588" spans="1:11" ht="15.75" customHeight="1">
      <c r="A588" s="2"/>
      <c r="B588" s="2"/>
      <c r="C588" s="2"/>
      <c r="D588" s="2"/>
      <c r="E588" s="2"/>
      <c r="F588" s="2"/>
      <c r="G588" s="2"/>
      <c r="H588" s="2"/>
      <c r="I588" s="2"/>
      <c r="J588" s="2"/>
      <c r="K588" s="2"/>
    </row>
    <row r="589" spans="1:11" ht="15.75" customHeight="1">
      <c r="A589" s="2"/>
      <c r="B589" s="2"/>
      <c r="C589" s="2"/>
      <c r="D589" s="2"/>
      <c r="E589" s="2"/>
      <c r="F589" s="2"/>
      <c r="G589" s="2"/>
      <c r="H589" s="2"/>
      <c r="I589" s="2"/>
      <c r="J589" s="2"/>
      <c r="K589" s="2"/>
    </row>
    <row r="590" spans="1:11" ht="15.75" customHeight="1">
      <c r="A590" s="2"/>
      <c r="B590" s="2"/>
      <c r="C590" s="2"/>
      <c r="D590" s="2"/>
      <c r="E590" s="2"/>
      <c r="F590" s="2"/>
      <c r="G590" s="2"/>
      <c r="H590" s="2"/>
      <c r="I590" s="2"/>
      <c r="J590" s="2"/>
      <c r="K590" s="2"/>
    </row>
    <row r="591" spans="1:11" ht="15.75" customHeight="1">
      <c r="A591" s="2"/>
      <c r="B591" s="2"/>
      <c r="C591" s="2"/>
      <c r="D591" s="2"/>
      <c r="E591" s="2"/>
      <c r="F591" s="2"/>
      <c r="G591" s="2"/>
      <c r="H591" s="2"/>
      <c r="I591" s="2"/>
      <c r="J591" s="2"/>
      <c r="K591" s="2"/>
    </row>
    <row r="592" spans="1:11" ht="15.75" customHeight="1">
      <c r="A592" s="2"/>
      <c r="B592" s="2"/>
      <c r="C592" s="2"/>
      <c r="D592" s="2"/>
      <c r="E592" s="2"/>
      <c r="F592" s="2"/>
      <c r="G592" s="2"/>
      <c r="H592" s="2"/>
      <c r="I592" s="2"/>
      <c r="J592" s="2"/>
      <c r="K592" s="2"/>
    </row>
    <row r="593" spans="1:11" ht="15.75" customHeight="1">
      <c r="A593" s="2"/>
      <c r="B593" s="2"/>
      <c r="C593" s="2"/>
      <c r="D593" s="2"/>
      <c r="E593" s="2"/>
      <c r="F593" s="2"/>
      <c r="G593" s="2"/>
      <c r="H593" s="2"/>
      <c r="I593" s="2"/>
      <c r="J593" s="2"/>
      <c r="K593" s="2"/>
    </row>
    <row r="594" spans="1:11" ht="15.75" customHeight="1">
      <c r="A594" s="2"/>
      <c r="B594" s="2"/>
      <c r="C594" s="2"/>
      <c r="D594" s="2"/>
      <c r="E594" s="2"/>
      <c r="F594" s="2"/>
      <c r="G594" s="2"/>
      <c r="H594" s="2"/>
      <c r="I594" s="2"/>
      <c r="J594" s="2"/>
      <c r="K594" s="2"/>
    </row>
    <row r="595" spans="1:11" ht="15.75" customHeight="1">
      <c r="A595" s="2"/>
      <c r="B595" s="2"/>
      <c r="C595" s="2"/>
      <c r="D595" s="2"/>
      <c r="E595" s="2"/>
      <c r="F595" s="2"/>
      <c r="G595" s="2"/>
      <c r="H595" s="2"/>
      <c r="I595" s="2"/>
      <c r="J595" s="2"/>
      <c r="K595" s="2"/>
    </row>
    <row r="596" spans="1:11" ht="15.75" customHeight="1">
      <c r="A596" s="2"/>
      <c r="B596" s="2"/>
      <c r="C596" s="2"/>
      <c r="D596" s="2"/>
      <c r="E596" s="2"/>
      <c r="F596" s="2"/>
      <c r="G596" s="2"/>
      <c r="H596" s="2"/>
      <c r="I596" s="2"/>
      <c r="J596" s="2"/>
      <c r="K596" s="2"/>
    </row>
    <row r="597" spans="1:11" ht="15.75" customHeight="1">
      <c r="A597" s="2"/>
      <c r="B597" s="2"/>
      <c r="C597" s="2"/>
      <c r="D597" s="2"/>
      <c r="E597" s="2"/>
      <c r="F597" s="2"/>
      <c r="G597" s="2"/>
      <c r="H597" s="2"/>
      <c r="I597" s="2"/>
      <c r="J597" s="2"/>
      <c r="K597" s="2"/>
    </row>
    <row r="598" spans="1:11" ht="15.75" customHeight="1">
      <c r="A598" s="2"/>
      <c r="B598" s="2"/>
      <c r="C598" s="2"/>
      <c r="D598" s="2"/>
      <c r="E598" s="2"/>
      <c r="F598" s="2"/>
      <c r="G598" s="2"/>
      <c r="H598" s="2"/>
      <c r="I598" s="2"/>
      <c r="J598" s="2"/>
      <c r="K598" s="2"/>
    </row>
    <row r="599" spans="1:11" ht="15.75" customHeight="1">
      <c r="A599" s="2"/>
      <c r="B599" s="2"/>
      <c r="C599" s="2"/>
      <c r="D599" s="2"/>
      <c r="E599" s="2"/>
      <c r="F599" s="2"/>
      <c r="G599" s="2"/>
      <c r="H599" s="2"/>
      <c r="I599" s="2"/>
      <c r="J599" s="2"/>
      <c r="K599" s="2"/>
    </row>
    <row r="600" spans="1:11" ht="15.75" customHeight="1">
      <c r="A600" s="2"/>
      <c r="B600" s="2"/>
      <c r="C600" s="2"/>
      <c r="D600" s="2"/>
      <c r="E600" s="2"/>
      <c r="F600" s="2"/>
      <c r="G600" s="2"/>
      <c r="H600" s="2"/>
      <c r="I600" s="2"/>
      <c r="J600" s="2"/>
      <c r="K600" s="2"/>
    </row>
    <row r="601" spans="1:11" ht="15.75" customHeight="1">
      <c r="A601" s="2"/>
      <c r="B601" s="2"/>
      <c r="C601" s="2"/>
      <c r="D601" s="2"/>
      <c r="E601" s="2"/>
      <c r="F601" s="2"/>
      <c r="G601" s="2"/>
      <c r="H601" s="2"/>
      <c r="I601" s="2"/>
      <c r="J601" s="2"/>
      <c r="K601" s="2"/>
    </row>
    <row r="602" spans="1:11" ht="15.75" customHeight="1">
      <c r="A602" s="2"/>
      <c r="B602" s="2"/>
      <c r="C602" s="2"/>
      <c r="D602" s="2"/>
      <c r="E602" s="2"/>
      <c r="F602" s="2"/>
      <c r="G602" s="2"/>
      <c r="H602" s="2"/>
      <c r="I602" s="2"/>
      <c r="J602" s="2"/>
      <c r="K602" s="2"/>
    </row>
    <row r="603" spans="1:11" ht="15.75" customHeight="1">
      <c r="A603" s="2"/>
      <c r="B603" s="2"/>
      <c r="C603" s="2"/>
      <c r="D603" s="2"/>
      <c r="E603" s="2"/>
      <c r="F603" s="2"/>
      <c r="G603" s="2"/>
      <c r="H603" s="2"/>
      <c r="I603" s="2"/>
      <c r="J603" s="2"/>
      <c r="K603" s="2"/>
    </row>
    <row r="604" spans="1:11" ht="15.75" customHeight="1">
      <c r="A604" s="2"/>
      <c r="B604" s="2"/>
      <c r="C604" s="2"/>
      <c r="D604" s="2"/>
      <c r="E604" s="2"/>
      <c r="F604" s="2"/>
      <c r="G604" s="2"/>
      <c r="H604" s="2"/>
      <c r="I604" s="2"/>
      <c r="J604" s="2"/>
      <c r="K604" s="2"/>
    </row>
    <row r="605" spans="1:11" ht="15.75" customHeight="1">
      <c r="A605" s="2"/>
      <c r="B605" s="2"/>
      <c r="C605" s="2"/>
      <c r="D605" s="2"/>
      <c r="E605" s="2"/>
      <c r="F605" s="2"/>
      <c r="G605" s="2"/>
      <c r="H605" s="2"/>
      <c r="I605" s="2"/>
      <c r="J605" s="2"/>
      <c r="K605" s="2"/>
    </row>
    <row r="606" spans="1:11" ht="15.75" customHeight="1">
      <c r="A606" s="2"/>
      <c r="B606" s="2"/>
      <c r="C606" s="2"/>
      <c r="D606" s="2"/>
      <c r="E606" s="2"/>
      <c r="F606" s="2"/>
      <c r="G606" s="2"/>
      <c r="H606" s="2"/>
      <c r="I606" s="2"/>
      <c r="J606" s="2"/>
      <c r="K606" s="2"/>
    </row>
    <row r="607" spans="1:11" ht="15.75" customHeight="1">
      <c r="A607" s="2"/>
      <c r="B607" s="2"/>
      <c r="C607" s="2"/>
      <c r="D607" s="2"/>
      <c r="E607" s="2"/>
      <c r="F607" s="2"/>
      <c r="G607" s="2"/>
      <c r="H607" s="2"/>
      <c r="I607" s="2"/>
      <c r="J607" s="2"/>
      <c r="K607" s="2"/>
    </row>
    <row r="608" spans="1:11" ht="15.75" customHeight="1">
      <c r="A608" s="2"/>
      <c r="B608" s="2"/>
      <c r="C608" s="2"/>
      <c r="D608" s="2"/>
      <c r="E608" s="2"/>
      <c r="F608" s="2"/>
      <c r="G608" s="2"/>
      <c r="H608" s="2"/>
      <c r="I608" s="2"/>
      <c r="J608" s="2"/>
      <c r="K608" s="2"/>
    </row>
    <row r="609" spans="1:11" ht="15.75" customHeight="1">
      <c r="A609" s="2"/>
      <c r="B609" s="2"/>
      <c r="C609" s="2"/>
      <c r="D609" s="2"/>
      <c r="E609" s="2"/>
      <c r="F609" s="2"/>
      <c r="G609" s="2"/>
      <c r="H609" s="2"/>
      <c r="I609" s="2"/>
      <c r="J609" s="2"/>
      <c r="K609" s="2"/>
    </row>
    <row r="610" spans="1:11" ht="15.75" customHeight="1">
      <c r="A610" s="2"/>
      <c r="B610" s="2"/>
      <c r="C610" s="2"/>
      <c r="D610" s="2"/>
      <c r="E610" s="2"/>
      <c r="F610" s="2"/>
      <c r="G610" s="2"/>
      <c r="H610" s="2"/>
      <c r="I610" s="2"/>
      <c r="J610" s="2"/>
      <c r="K610" s="2"/>
    </row>
    <row r="611" spans="1:11" ht="15.75" customHeight="1">
      <c r="A611" s="2"/>
      <c r="B611" s="2"/>
      <c r="C611" s="2"/>
      <c r="D611" s="2"/>
      <c r="E611" s="2"/>
      <c r="F611" s="2"/>
      <c r="G611" s="2"/>
      <c r="H611" s="2"/>
      <c r="I611" s="2"/>
      <c r="J611" s="2"/>
      <c r="K611" s="2"/>
    </row>
    <row r="612" spans="1:11" ht="15.75" customHeight="1">
      <c r="A612" s="2"/>
      <c r="B612" s="2"/>
      <c r="C612" s="2"/>
      <c r="D612" s="2"/>
      <c r="E612" s="2"/>
      <c r="F612" s="2"/>
      <c r="G612" s="2"/>
      <c r="H612" s="2"/>
      <c r="I612" s="2"/>
      <c r="J612" s="2"/>
      <c r="K612" s="2"/>
    </row>
    <row r="613" spans="1:11" ht="15.75" customHeight="1">
      <c r="A613" s="2"/>
      <c r="B613" s="2"/>
      <c r="C613" s="2"/>
      <c r="D613" s="2"/>
      <c r="E613" s="2"/>
      <c r="F613" s="2"/>
      <c r="G613" s="2"/>
      <c r="H613" s="2"/>
      <c r="I613" s="2"/>
      <c r="J613" s="2"/>
      <c r="K613" s="2"/>
    </row>
    <row r="614" spans="1:11" ht="15.75" customHeight="1">
      <c r="A614" s="2"/>
      <c r="B614" s="2"/>
      <c r="C614" s="2"/>
      <c r="D614" s="2"/>
      <c r="E614" s="2"/>
      <c r="F614" s="2"/>
      <c r="G614" s="2"/>
      <c r="H614" s="2"/>
      <c r="I614" s="2"/>
      <c r="J614" s="2"/>
      <c r="K614" s="2"/>
    </row>
    <row r="615" spans="1:11" ht="15.75" customHeight="1">
      <c r="A615" s="2"/>
      <c r="B615" s="2"/>
      <c r="C615" s="2"/>
      <c r="D615" s="2"/>
      <c r="E615" s="2"/>
      <c r="F615" s="2"/>
      <c r="G615" s="2"/>
      <c r="H615" s="2"/>
      <c r="I615" s="2"/>
      <c r="J615" s="2"/>
      <c r="K615" s="2"/>
    </row>
    <row r="616" spans="1:11" ht="15.75" customHeight="1">
      <c r="A616" s="2"/>
      <c r="B616" s="2"/>
      <c r="C616" s="2"/>
      <c r="D616" s="2"/>
      <c r="E616" s="2"/>
      <c r="F616" s="2"/>
      <c r="G616" s="2"/>
      <c r="H616" s="2"/>
      <c r="I616" s="2"/>
      <c r="J616" s="2"/>
      <c r="K616" s="2"/>
    </row>
    <row r="617" spans="1:11" ht="15.75" customHeight="1">
      <c r="A617" s="2"/>
      <c r="B617" s="2"/>
      <c r="C617" s="2"/>
      <c r="D617" s="2"/>
      <c r="E617" s="2"/>
      <c r="F617" s="2"/>
      <c r="G617" s="2"/>
      <c r="H617" s="2"/>
      <c r="I617" s="2"/>
      <c r="J617" s="2"/>
      <c r="K617" s="2"/>
    </row>
    <row r="618" spans="1:11" ht="15.75" customHeight="1">
      <c r="A618" s="2"/>
      <c r="B618" s="2"/>
      <c r="C618" s="2"/>
      <c r="D618" s="2"/>
      <c r="E618" s="2"/>
      <c r="F618" s="2"/>
      <c r="G618" s="2"/>
      <c r="H618" s="2"/>
      <c r="I618" s="2"/>
      <c r="J618" s="2"/>
      <c r="K618" s="2"/>
    </row>
    <row r="619" spans="1:11" ht="15.75" customHeight="1">
      <c r="A619" s="2"/>
      <c r="B619" s="2"/>
      <c r="C619" s="2"/>
      <c r="D619" s="2"/>
      <c r="E619" s="2"/>
      <c r="F619" s="2"/>
      <c r="G619" s="2"/>
      <c r="H619" s="2"/>
      <c r="I619" s="2"/>
      <c r="J619" s="2"/>
      <c r="K619" s="2"/>
    </row>
    <row r="620" spans="1:11" ht="15.75" customHeight="1">
      <c r="A620" s="2"/>
      <c r="B620" s="2"/>
      <c r="C620" s="2"/>
      <c r="D620" s="2"/>
      <c r="E620" s="2"/>
      <c r="F620" s="2"/>
      <c r="G620" s="2"/>
      <c r="H620" s="2"/>
      <c r="I620" s="2"/>
      <c r="J620" s="2"/>
      <c r="K620" s="2"/>
    </row>
    <row r="621" spans="1:11" ht="15.75" customHeight="1">
      <c r="A621" s="2"/>
      <c r="B621" s="2"/>
      <c r="C621" s="2"/>
      <c r="D621" s="2"/>
      <c r="E621" s="2"/>
      <c r="F621" s="2"/>
      <c r="G621" s="2"/>
      <c r="H621" s="2"/>
      <c r="I621" s="2"/>
      <c r="J621" s="2"/>
      <c r="K621" s="2"/>
    </row>
    <row r="622" spans="1:11" ht="15.75" customHeight="1">
      <c r="A622" s="2"/>
      <c r="B622" s="2"/>
      <c r="C622" s="2"/>
      <c r="D622" s="2"/>
      <c r="E622" s="2"/>
      <c r="F622" s="2"/>
      <c r="G622" s="2"/>
      <c r="H622" s="2"/>
      <c r="I622" s="2"/>
      <c r="J622" s="2"/>
      <c r="K622" s="2"/>
    </row>
    <row r="623" spans="1:11" ht="15.75" customHeight="1">
      <c r="A623" s="2"/>
      <c r="B623" s="2"/>
      <c r="C623" s="2"/>
      <c r="D623" s="2"/>
      <c r="E623" s="2"/>
      <c r="F623" s="2"/>
      <c r="G623" s="2"/>
      <c r="H623" s="2"/>
      <c r="I623" s="2"/>
      <c r="J623" s="2"/>
      <c r="K623" s="2"/>
    </row>
    <row r="624" spans="1:11" ht="15.75" customHeight="1">
      <c r="A624" s="2"/>
      <c r="B624" s="2"/>
      <c r="C624" s="2"/>
      <c r="D624" s="2"/>
      <c r="E624" s="2"/>
      <c r="F624" s="2"/>
      <c r="G624" s="2"/>
      <c r="H624" s="2"/>
      <c r="I624" s="2"/>
      <c r="J624" s="2"/>
      <c r="K624" s="2"/>
    </row>
    <row r="625" spans="1:11" ht="15.75" customHeight="1">
      <c r="A625" s="2"/>
      <c r="B625" s="2"/>
      <c r="C625" s="2"/>
      <c r="D625" s="2"/>
      <c r="E625" s="2"/>
      <c r="F625" s="2"/>
      <c r="G625" s="2"/>
      <c r="H625" s="2"/>
      <c r="I625" s="2"/>
      <c r="J625" s="2"/>
      <c r="K625" s="2"/>
    </row>
    <row r="626" spans="1:11" ht="15.75" customHeight="1">
      <c r="A626" s="2"/>
      <c r="B626" s="2"/>
      <c r="C626" s="2"/>
      <c r="D626" s="2"/>
      <c r="E626" s="2"/>
      <c r="F626" s="2"/>
      <c r="G626" s="2"/>
      <c r="H626" s="2"/>
      <c r="I626" s="2"/>
      <c r="J626" s="2"/>
      <c r="K626" s="2"/>
    </row>
    <row r="627" spans="1:11" ht="15.75" customHeight="1">
      <c r="A627" s="2"/>
      <c r="B627" s="2"/>
      <c r="C627" s="2"/>
      <c r="D627" s="2"/>
      <c r="E627" s="2"/>
      <c r="F627" s="2"/>
      <c r="G627" s="2"/>
      <c r="H627" s="2"/>
      <c r="I627" s="2"/>
      <c r="J627" s="2"/>
      <c r="K627" s="2"/>
    </row>
    <row r="628" spans="1:11" ht="15.75" customHeight="1">
      <c r="A628" s="2"/>
      <c r="B628" s="2"/>
      <c r="C628" s="2"/>
      <c r="D628" s="2"/>
      <c r="E628" s="2"/>
      <c r="F628" s="2"/>
      <c r="G628" s="2"/>
      <c r="H628" s="2"/>
      <c r="I628" s="2"/>
      <c r="J628" s="2"/>
      <c r="K628" s="2"/>
    </row>
    <row r="629" spans="1:11" ht="15.75" customHeight="1">
      <c r="A629" s="2"/>
      <c r="B629" s="2"/>
      <c r="C629" s="2"/>
      <c r="D629" s="2"/>
      <c r="E629" s="2"/>
      <c r="F629" s="2"/>
      <c r="G629" s="2"/>
      <c r="H629" s="2"/>
      <c r="I629" s="2"/>
      <c r="J629" s="2"/>
      <c r="K629" s="2"/>
    </row>
    <row r="630" spans="1:11" ht="15.75" customHeight="1">
      <c r="A630" s="2"/>
      <c r="B630" s="2"/>
      <c r="C630" s="2"/>
      <c r="D630" s="2"/>
      <c r="E630" s="2"/>
      <c r="F630" s="2"/>
      <c r="G630" s="2"/>
      <c r="H630" s="2"/>
      <c r="I630" s="2"/>
      <c r="J630" s="2"/>
      <c r="K630" s="2"/>
    </row>
    <row r="631" spans="1:11" ht="15.75" customHeight="1">
      <c r="A631" s="2"/>
      <c r="B631" s="2"/>
      <c r="C631" s="2"/>
      <c r="D631" s="2"/>
      <c r="E631" s="2"/>
      <c r="F631" s="2"/>
      <c r="G631" s="2"/>
      <c r="H631" s="2"/>
      <c r="I631" s="2"/>
      <c r="J631" s="2"/>
      <c r="K631" s="2"/>
    </row>
    <row r="632" spans="1:11" ht="15.75" customHeight="1">
      <c r="A632" s="2"/>
      <c r="B632" s="2"/>
      <c r="C632" s="2"/>
      <c r="D632" s="2"/>
      <c r="E632" s="2"/>
      <c r="F632" s="2"/>
      <c r="G632" s="2"/>
      <c r="H632" s="2"/>
      <c r="I632" s="2"/>
      <c r="J632" s="2"/>
      <c r="K632" s="2"/>
    </row>
    <row r="633" spans="1:11" ht="15.75" customHeight="1">
      <c r="A633" s="2"/>
      <c r="B633" s="2"/>
      <c r="C633" s="2"/>
      <c r="D633" s="2"/>
      <c r="E633" s="2"/>
      <c r="F633" s="2"/>
      <c r="G633" s="2"/>
      <c r="H633" s="2"/>
      <c r="I633" s="2"/>
      <c r="J633" s="2"/>
      <c r="K633" s="2"/>
    </row>
    <row r="634" spans="1:11" ht="15.75" customHeight="1">
      <c r="A634" s="2"/>
      <c r="B634" s="2"/>
      <c r="C634" s="2"/>
      <c r="D634" s="2"/>
      <c r="E634" s="2"/>
      <c r="F634" s="2"/>
      <c r="G634" s="2"/>
      <c r="H634" s="2"/>
      <c r="I634" s="2"/>
      <c r="J634" s="2"/>
      <c r="K634" s="2"/>
    </row>
    <row r="635" spans="1:11" ht="15.75" customHeight="1">
      <c r="A635" s="2"/>
      <c r="B635" s="2"/>
      <c r="C635" s="2"/>
      <c r="D635" s="2"/>
      <c r="E635" s="2"/>
      <c r="F635" s="2"/>
      <c r="G635" s="2"/>
      <c r="H635" s="2"/>
      <c r="I635" s="2"/>
      <c r="J635" s="2"/>
      <c r="K635" s="2"/>
    </row>
    <row r="636" spans="1:11" ht="15.75" customHeight="1">
      <c r="A636" s="2"/>
      <c r="B636" s="2"/>
      <c r="C636" s="2"/>
      <c r="D636" s="2"/>
      <c r="E636" s="2"/>
      <c r="F636" s="2"/>
      <c r="G636" s="2"/>
      <c r="H636" s="2"/>
      <c r="I636" s="2"/>
      <c r="J636" s="2"/>
      <c r="K636" s="2"/>
    </row>
    <row r="637" spans="1:11" ht="15.75" customHeight="1">
      <c r="A637" s="2"/>
      <c r="B637" s="2"/>
      <c r="C637" s="2"/>
      <c r="D637" s="2"/>
      <c r="E637" s="2"/>
      <c r="F637" s="2"/>
      <c r="G637" s="2"/>
      <c r="H637" s="2"/>
      <c r="I637" s="2"/>
      <c r="J637" s="2"/>
      <c r="K637" s="2"/>
    </row>
    <row r="638" spans="1:11" ht="15.75" customHeight="1">
      <c r="A638" s="2"/>
      <c r="B638" s="2"/>
      <c r="C638" s="2"/>
      <c r="D638" s="2"/>
      <c r="E638" s="2"/>
      <c r="F638" s="2"/>
      <c r="G638" s="2"/>
      <c r="H638" s="2"/>
      <c r="I638" s="2"/>
      <c r="J638" s="2"/>
      <c r="K638" s="2"/>
    </row>
    <row r="639" spans="1:11" ht="15.75" customHeight="1">
      <c r="A639" s="2"/>
      <c r="B639" s="2"/>
      <c r="C639" s="2"/>
      <c r="D639" s="2"/>
      <c r="E639" s="2"/>
      <c r="F639" s="2"/>
      <c r="G639" s="2"/>
      <c r="H639" s="2"/>
      <c r="I639" s="2"/>
      <c r="J639" s="2"/>
      <c r="K639" s="2"/>
    </row>
    <row r="640" spans="1:11" ht="15.75" customHeight="1">
      <c r="A640" s="2"/>
      <c r="B640" s="2"/>
      <c r="C640" s="2"/>
      <c r="D640" s="2"/>
      <c r="E640" s="2"/>
      <c r="F640" s="2"/>
      <c r="G640" s="2"/>
      <c r="H640" s="2"/>
      <c r="I640" s="2"/>
      <c r="J640" s="2"/>
      <c r="K640" s="2"/>
    </row>
    <row r="641" spans="1:11" ht="15.75" customHeight="1">
      <c r="A641" s="2"/>
      <c r="B641" s="2"/>
      <c r="C641" s="2"/>
      <c r="D641" s="2"/>
      <c r="E641" s="2"/>
      <c r="F641" s="2"/>
      <c r="G641" s="2"/>
      <c r="H641" s="2"/>
      <c r="I641" s="2"/>
      <c r="J641" s="2"/>
      <c r="K641" s="2"/>
    </row>
    <row r="642" spans="1:11" ht="15.75" customHeight="1">
      <c r="A642" s="2"/>
      <c r="B642" s="2"/>
      <c r="C642" s="2"/>
      <c r="D642" s="2"/>
      <c r="E642" s="2"/>
      <c r="F642" s="2"/>
      <c r="G642" s="2"/>
      <c r="H642" s="2"/>
      <c r="I642" s="2"/>
      <c r="J642" s="2"/>
      <c r="K642" s="2"/>
    </row>
    <row r="643" spans="1:11" ht="15.75" customHeight="1">
      <c r="A643" s="2"/>
      <c r="B643" s="2"/>
      <c r="C643" s="2"/>
      <c r="D643" s="2"/>
      <c r="E643" s="2"/>
      <c r="F643" s="2"/>
      <c r="G643" s="2"/>
      <c r="H643" s="2"/>
      <c r="I643" s="2"/>
      <c r="J643" s="2"/>
      <c r="K643" s="2"/>
    </row>
    <row r="644" spans="1:11" ht="15.75" customHeight="1">
      <c r="A644" s="2"/>
      <c r="B644" s="2"/>
      <c r="C644" s="2"/>
      <c r="D644" s="2"/>
      <c r="E644" s="2"/>
      <c r="F644" s="2"/>
      <c r="G644" s="2"/>
      <c r="H644" s="2"/>
      <c r="I644" s="2"/>
      <c r="J644" s="2"/>
      <c r="K644" s="2"/>
    </row>
    <row r="645" spans="1:11" ht="15.75" customHeight="1">
      <c r="A645" s="2"/>
      <c r="B645" s="2"/>
      <c r="C645" s="2"/>
      <c r="D645" s="2"/>
      <c r="E645" s="2"/>
      <c r="F645" s="2"/>
      <c r="G645" s="2"/>
      <c r="H645" s="2"/>
      <c r="I645" s="2"/>
      <c r="J645" s="2"/>
      <c r="K645" s="2"/>
    </row>
    <row r="646" spans="1:11" ht="15.75" customHeight="1">
      <c r="A646" s="2"/>
      <c r="B646" s="2"/>
      <c r="C646" s="2"/>
      <c r="D646" s="2"/>
      <c r="E646" s="2"/>
      <c r="F646" s="2"/>
      <c r="G646" s="2"/>
      <c r="H646" s="2"/>
      <c r="I646" s="2"/>
      <c r="J646" s="2"/>
      <c r="K646" s="2"/>
    </row>
    <row r="647" spans="1:11" ht="15.75" customHeight="1">
      <c r="A647" s="2"/>
      <c r="B647" s="2"/>
      <c r="C647" s="2"/>
      <c r="D647" s="2"/>
      <c r="E647" s="2"/>
      <c r="F647" s="2"/>
      <c r="G647" s="2"/>
      <c r="H647" s="2"/>
      <c r="I647" s="2"/>
      <c r="J647" s="2"/>
      <c r="K647" s="2"/>
    </row>
    <row r="648" spans="1:11" ht="15.75" customHeight="1">
      <c r="A648" s="2"/>
      <c r="B648" s="2"/>
      <c r="C648" s="2"/>
      <c r="D648" s="2"/>
      <c r="E648" s="2"/>
      <c r="F648" s="2"/>
      <c r="G648" s="2"/>
      <c r="H648" s="2"/>
      <c r="I648" s="2"/>
      <c r="J648" s="2"/>
      <c r="K648" s="2"/>
    </row>
    <row r="649" spans="1:11" ht="15.75" customHeight="1">
      <c r="A649" s="2"/>
      <c r="B649" s="2"/>
      <c r="C649" s="2"/>
      <c r="D649" s="2"/>
      <c r="E649" s="2"/>
      <c r="F649" s="2"/>
      <c r="G649" s="2"/>
      <c r="H649" s="2"/>
      <c r="I649" s="2"/>
      <c r="J649" s="2"/>
      <c r="K649" s="2"/>
    </row>
    <row r="650" spans="1:11" ht="15.75" customHeight="1">
      <c r="A650" s="2"/>
      <c r="B650" s="2"/>
      <c r="C650" s="2"/>
      <c r="D650" s="2"/>
      <c r="E650" s="2"/>
      <c r="F650" s="2"/>
      <c r="G650" s="2"/>
      <c r="H650" s="2"/>
      <c r="I650" s="2"/>
      <c r="J650" s="2"/>
      <c r="K650" s="2"/>
    </row>
    <row r="651" spans="1:11" ht="15.75" customHeight="1">
      <c r="A651" s="2"/>
      <c r="B651" s="2"/>
      <c r="C651" s="2"/>
      <c r="D651" s="2"/>
      <c r="E651" s="2"/>
      <c r="F651" s="2"/>
      <c r="G651" s="2"/>
      <c r="H651" s="2"/>
      <c r="I651" s="2"/>
      <c r="J651" s="2"/>
      <c r="K651" s="2"/>
    </row>
    <row r="652" spans="1:11" ht="15.75" customHeight="1">
      <c r="A652" s="2"/>
      <c r="B652" s="2"/>
      <c r="C652" s="2"/>
      <c r="D652" s="2"/>
      <c r="E652" s="2"/>
      <c r="F652" s="2"/>
      <c r="G652" s="2"/>
      <c r="H652" s="2"/>
      <c r="I652" s="2"/>
      <c r="J652" s="2"/>
      <c r="K652" s="2"/>
    </row>
    <row r="653" spans="1:11" ht="15.75" customHeight="1">
      <c r="A653" s="2"/>
      <c r="B653" s="2"/>
      <c r="C653" s="2"/>
      <c r="D653" s="2"/>
      <c r="E653" s="2"/>
      <c r="F653" s="2"/>
      <c r="G653" s="2"/>
      <c r="H653" s="2"/>
      <c r="I653" s="2"/>
      <c r="J653" s="2"/>
      <c r="K653" s="2"/>
    </row>
    <row r="654" spans="1:11" ht="15.75" customHeight="1">
      <c r="A654" s="2"/>
      <c r="B654" s="2"/>
      <c r="C654" s="2"/>
      <c r="D654" s="2"/>
      <c r="E654" s="2"/>
      <c r="F654" s="2"/>
      <c r="G654" s="2"/>
      <c r="H654" s="2"/>
      <c r="I654" s="2"/>
      <c r="J654" s="2"/>
      <c r="K654" s="2"/>
    </row>
    <row r="655" spans="1:11" ht="15.75" customHeight="1">
      <c r="A655" s="2"/>
      <c r="B655" s="2"/>
      <c r="C655" s="2"/>
      <c r="D655" s="2"/>
      <c r="E655" s="2"/>
      <c r="F655" s="2"/>
      <c r="G655" s="2"/>
      <c r="H655" s="2"/>
      <c r="I655" s="2"/>
      <c r="J655" s="2"/>
      <c r="K655" s="2"/>
    </row>
    <row r="656" spans="1:11" ht="15.75" customHeight="1">
      <c r="A656" s="2"/>
      <c r="B656" s="2"/>
      <c r="C656" s="2"/>
      <c r="D656" s="2"/>
      <c r="E656" s="2"/>
      <c r="F656" s="2"/>
      <c r="G656" s="2"/>
      <c r="H656" s="2"/>
      <c r="I656" s="2"/>
      <c r="J656" s="2"/>
      <c r="K656" s="2"/>
    </row>
    <row r="657" spans="1:11" ht="15.75" customHeight="1">
      <c r="A657" s="2"/>
      <c r="B657" s="2"/>
      <c r="C657" s="2"/>
      <c r="D657" s="2"/>
      <c r="E657" s="2"/>
      <c r="F657" s="2"/>
      <c r="G657" s="2"/>
      <c r="H657" s="2"/>
      <c r="I657" s="2"/>
      <c r="J657" s="2"/>
      <c r="K657" s="2"/>
    </row>
    <row r="658" spans="1:11" ht="15.75" customHeight="1">
      <c r="A658" s="2"/>
      <c r="B658" s="2"/>
      <c r="C658" s="2"/>
      <c r="D658" s="2"/>
      <c r="E658" s="2"/>
      <c r="F658" s="2"/>
      <c r="G658" s="2"/>
      <c r="H658" s="2"/>
      <c r="I658" s="2"/>
      <c r="J658" s="2"/>
      <c r="K658" s="2"/>
    </row>
    <row r="659" spans="1:11" ht="15.75" customHeight="1">
      <c r="A659" s="2"/>
      <c r="B659" s="2"/>
      <c r="C659" s="2"/>
      <c r="D659" s="2"/>
      <c r="E659" s="2"/>
      <c r="F659" s="2"/>
      <c r="G659" s="2"/>
      <c r="H659" s="2"/>
      <c r="I659" s="2"/>
      <c r="J659" s="2"/>
      <c r="K659" s="2"/>
    </row>
    <row r="660" spans="1:11" ht="15.75" customHeight="1">
      <c r="A660" s="2"/>
      <c r="B660" s="2"/>
      <c r="C660" s="2"/>
      <c r="D660" s="2"/>
      <c r="E660" s="2"/>
      <c r="F660" s="2"/>
      <c r="G660" s="2"/>
      <c r="H660" s="2"/>
      <c r="I660" s="2"/>
      <c r="J660" s="2"/>
      <c r="K660" s="2"/>
    </row>
    <row r="661" spans="1:11" ht="15.75" customHeight="1">
      <c r="A661" s="2"/>
      <c r="B661" s="2"/>
      <c r="C661" s="2"/>
      <c r="D661" s="2"/>
      <c r="E661" s="2"/>
      <c r="F661" s="2"/>
      <c r="G661" s="2"/>
      <c r="H661" s="2"/>
      <c r="I661" s="2"/>
      <c r="J661" s="2"/>
      <c r="K661" s="2"/>
    </row>
    <row r="662" spans="1:11" ht="15.75" customHeight="1">
      <c r="A662" s="2"/>
      <c r="B662" s="2"/>
      <c r="C662" s="2"/>
      <c r="D662" s="2"/>
      <c r="E662" s="2"/>
      <c r="F662" s="2"/>
      <c r="G662" s="2"/>
      <c r="H662" s="2"/>
      <c r="I662" s="2"/>
      <c r="J662" s="2"/>
      <c r="K662" s="2"/>
    </row>
    <row r="663" spans="1:11" ht="15.75" customHeight="1">
      <c r="A663" s="2"/>
      <c r="B663" s="2"/>
      <c r="C663" s="2"/>
      <c r="D663" s="2"/>
      <c r="E663" s="2"/>
      <c r="F663" s="2"/>
      <c r="G663" s="2"/>
      <c r="H663" s="2"/>
      <c r="I663" s="2"/>
      <c r="J663" s="2"/>
      <c r="K663" s="2"/>
    </row>
    <row r="664" spans="1:11" ht="15.75" customHeight="1">
      <c r="A664" s="2"/>
      <c r="B664" s="2"/>
      <c r="C664" s="2"/>
      <c r="D664" s="2"/>
      <c r="E664" s="2"/>
      <c r="F664" s="2"/>
      <c r="G664" s="2"/>
      <c r="H664" s="2"/>
      <c r="I664" s="2"/>
      <c r="J664" s="2"/>
      <c r="K664" s="2"/>
    </row>
    <row r="665" spans="1:11" ht="15.75" customHeight="1">
      <c r="A665" s="2"/>
      <c r="B665" s="2"/>
      <c r="C665" s="2"/>
      <c r="D665" s="2"/>
      <c r="E665" s="2"/>
      <c r="F665" s="2"/>
      <c r="G665" s="2"/>
      <c r="H665" s="2"/>
      <c r="I665" s="2"/>
      <c r="J665" s="2"/>
      <c r="K665" s="2"/>
    </row>
    <row r="666" spans="1:11" ht="15.75" customHeight="1">
      <c r="A666" s="2"/>
      <c r="B666" s="2"/>
      <c r="C666" s="2"/>
      <c r="D666" s="2"/>
      <c r="E666" s="2"/>
      <c r="F666" s="2"/>
      <c r="G666" s="2"/>
      <c r="H666" s="2"/>
      <c r="I666" s="2"/>
      <c r="J666" s="2"/>
      <c r="K666" s="2"/>
    </row>
    <row r="667" spans="1:11" ht="15.75" customHeight="1">
      <c r="A667" s="2"/>
      <c r="B667" s="2"/>
      <c r="C667" s="2"/>
      <c r="D667" s="2"/>
      <c r="E667" s="2"/>
      <c r="F667" s="2"/>
      <c r="G667" s="2"/>
      <c r="H667" s="2"/>
      <c r="I667" s="2"/>
      <c r="J667" s="2"/>
      <c r="K667" s="2"/>
    </row>
    <row r="668" spans="1:11" ht="15.75" customHeight="1">
      <c r="A668" s="2"/>
      <c r="B668" s="2"/>
      <c r="C668" s="2"/>
      <c r="D668" s="2"/>
      <c r="E668" s="2"/>
      <c r="F668" s="2"/>
      <c r="G668" s="2"/>
      <c r="H668" s="2"/>
      <c r="I668" s="2"/>
      <c r="J668" s="2"/>
      <c r="K668" s="2"/>
    </row>
    <row r="669" spans="1:11" ht="15.75" customHeight="1">
      <c r="A669" s="2"/>
      <c r="B669" s="2"/>
      <c r="C669" s="2"/>
      <c r="D669" s="2"/>
      <c r="E669" s="2"/>
      <c r="F669" s="2"/>
      <c r="G669" s="2"/>
      <c r="H669" s="2"/>
      <c r="I669" s="2"/>
      <c r="J669" s="2"/>
      <c r="K669" s="2"/>
    </row>
    <row r="670" spans="1:11" ht="15.75" customHeight="1">
      <c r="A670" s="2"/>
      <c r="B670" s="2"/>
      <c r="C670" s="2"/>
      <c r="D670" s="2"/>
      <c r="E670" s="2"/>
      <c r="F670" s="2"/>
      <c r="G670" s="2"/>
      <c r="H670" s="2"/>
      <c r="I670" s="2"/>
      <c r="J670" s="2"/>
      <c r="K670" s="2"/>
    </row>
    <row r="671" spans="1:11" ht="15.75" customHeight="1">
      <c r="A671" s="2"/>
      <c r="B671" s="2"/>
      <c r="C671" s="2"/>
      <c r="D671" s="2"/>
      <c r="E671" s="2"/>
      <c r="F671" s="2"/>
      <c r="G671" s="2"/>
      <c r="H671" s="2"/>
      <c r="I671" s="2"/>
      <c r="J671" s="2"/>
      <c r="K671" s="2"/>
    </row>
    <row r="672" spans="1:11" ht="15.75" customHeight="1">
      <c r="A672" s="2"/>
      <c r="B672" s="2"/>
      <c r="C672" s="2"/>
      <c r="D672" s="2"/>
      <c r="E672" s="2"/>
      <c r="F672" s="2"/>
      <c r="G672" s="2"/>
      <c r="H672" s="2"/>
      <c r="I672" s="2"/>
      <c r="J672" s="2"/>
      <c r="K672" s="2"/>
    </row>
    <row r="673" spans="1:11" ht="15.75" customHeight="1">
      <c r="A673" s="2"/>
      <c r="B673" s="2"/>
      <c r="C673" s="2"/>
      <c r="D673" s="2"/>
      <c r="E673" s="2"/>
      <c r="F673" s="2"/>
      <c r="G673" s="2"/>
      <c r="H673" s="2"/>
      <c r="I673" s="2"/>
      <c r="J673" s="2"/>
      <c r="K673" s="2"/>
    </row>
    <row r="674" spans="1:11" ht="15.75" customHeight="1">
      <c r="A674" s="2"/>
      <c r="B674" s="2"/>
      <c r="C674" s="2"/>
      <c r="D674" s="2"/>
      <c r="E674" s="2"/>
      <c r="F674" s="2"/>
      <c r="G674" s="2"/>
      <c r="H674" s="2"/>
      <c r="I674" s="2"/>
      <c r="J674" s="2"/>
      <c r="K674" s="2"/>
    </row>
    <row r="675" spans="1:11" ht="15.75" customHeight="1">
      <c r="A675" s="2"/>
      <c r="B675" s="2"/>
      <c r="C675" s="2"/>
      <c r="D675" s="2"/>
      <c r="E675" s="2"/>
      <c r="F675" s="2"/>
      <c r="G675" s="2"/>
      <c r="H675" s="2"/>
      <c r="I675" s="2"/>
      <c r="J675" s="2"/>
      <c r="K675" s="2"/>
    </row>
    <row r="676" spans="1:11" ht="15.75" customHeight="1">
      <c r="A676" s="2"/>
      <c r="B676" s="2"/>
      <c r="C676" s="2"/>
      <c r="D676" s="2"/>
      <c r="E676" s="2"/>
      <c r="F676" s="2"/>
      <c r="G676" s="2"/>
      <c r="H676" s="2"/>
      <c r="I676" s="2"/>
      <c r="J676" s="2"/>
      <c r="K676" s="2"/>
    </row>
    <row r="677" spans="1:11" ht="15.75" customHeight="1">
      <c r="A677" s="2"/>
      <c r="B677" s="2"/>
      <c r="C677" s="2"/>
      <c r="D677" s="2"/>
      <c r="E677" s="2"/>
      <c r="F677" s="2"/>
      <c r="G677" s="2"/>
      <c r="H677" s="2"/>
      <c r="I677" s="2"/>
      <c r="J677" s="2"/>
      <c r="K677" s="2"/>
    </row>
    <row r="678" spans="1:11" ht="15.75" customHeight="1">
      <c r="A678" s="2"/>
      <c r="B678" s="2"/>
      <c r="C678" s="2"/>
      <c r="D678" s="2"/>
      <c r="E678" s="2"/>
      <c r="F678" s="2"/>
      <c r="G678" s="2"/>
      <c r="H678" s="2"/>
      <c r="I678" s="2"/>
      <c r="J678" s="2"/>
      <c r="K678" s="2"/>
    </row>
    <row r="679" spans="1:11" ht="15.75" customHeight="1">
      <c r="A679" s="2"/>
      <c r="B679" s="2"/>
      <c r="C679" s="2"/>
      <c r="D679" s="2"/>
      <c r="E679" s="2"/>
      <c r="F679" s="2"/>
      <c r="G679" s="2"/>
      <c r="H679" s="2"/>
      <c r="I679" s="2"/>
      <c r="J679" s="2"/>
      <c r="K679" s="2"/>
    </row>
    <row r="680" spans="1:11" ht="15.75" customHeight="1">
      <c r="A680" s="2"/>
      <c r="B680" s="2"/>
      <c r="C680" s="2"/>
      <c r="D680" s="2"/>
      <c r="E680" s="2"/>
      <c r="F680" s="2"/>
      <c r="G680" s="2"/>
      <c r="H680" s="2"/>
      <c r="I680" s="2"/>
      <c r="J680" s="2"/>
      <c r="K680" s="2"/>
    </row>
    <row r="681" spans="1:11" ht="15.75" customHeight="1">
      <c r="A681" s="2"/>
      <c r="B681" s="2"/>
      <c r="C681" s="2"/>
      <c r="D681" s="2"/>
      <c r="E681" s="2"/>
      <c r="F681" s="2"/>
      <c r="G681" s="2"/>
      <c r="H681" s="2"/>
      <c r="I681" s="2"/>
      <c r="J681" s="2"/>
      <c r="K681" s="2"/>
    </row>
    <row r="682" spans="1:11" ht="15.75" customHeight="1">
      <c r="A682" s="2"/>
      <c r="B682" s="2"/>
      <c r="C682" s="2"/>
      <c r="D682" s="2"/>
      <c r="E682" s="2"/>
      <c r="F682" s="2"/>
      <c r="G682" s="2"/>
      <c r="H682" s="2"/>
      <c r="I682" s="2"/>
      <c r="J682" s="2"/>
      <c r="K682" s="2"/>
    </row>
    <row r="683" spans="1:11" ht="15.75" customHeight="1">
      <c r="A683" s="2"/>
      <c r="B683" s="2"/>
      <c r="C683" s="2"/>
      <c r="D683" s="2"/>
      <c r="E683" s="2"/>
      <c r="F683" s="2"/>
      <c r="G683" s="2"/>
      <c r="H683" s="2"/>
      <c r="I683" s="2"/>
      <c r="J683" s="2"/>
      <c r="K683" s="2"/>
    </row>
    <row r="684" spans="1:11" ht="15.75" customHeight="1">
      <c r="A684" s="2"/>
      <c r="B684" s="2"/>
      <c r="C684" s="2"/>
      <c r="D684" s="2"/>
      <c r="E684" s="2"/>
      <c r="F684" s="2"/>
      <c r="G684" s="2"/>
      <c r="H684" s="2"/>
      <c r="I684" s="2"/>
      <c r="J684" s="2"/>
      <c r="K684" s="2"/>
    </row>
    <row r="685" spans="1:11" ht="15.75" customHeight="1">
      <c r="A685" s="2"/>
      <c r="B685" s="2"/>
      <c r="C685" s="2"/>
      <c r="D685" s="2"/>
      <c r="E685" s="2"/>
      <c r="F685" s="2"/>
      <c r="G685" s="2"/>
      <c r="H685" s="2"/>
      <c r="I685" s="2"/>
      <c r="J685" s="2"/>
      <c r="K685" s="2"/>
    </row>
    <row r="686" spans="1:11" ht="15.75" customHeight="1">
      <c r="A686" s="2"/>
      <c r="B686" s="2"/>
      <c r="C686" s="2"/>
      <c r="D686" s="2"/>
      <c r="E686" s="2"/>
      <c r="F686" s="2"/>
      <c r="G686" s="2"/>
      <c r="H686" s="2"/>
      <c r="I686" s="2"/>
      <c r="J686" s="2"/>
      <c r="K686" s="2"/>
    </row>
    <row r="687" spans="1:11" ht="15.75" customHeight="1">
      <c r="A687" s="2"/>
      <c r="B687" s="2"/>
      <c r="C687" s="2"/>
      <c r="D687" s="2"/>
      <c r="E687" s="2"/>
      <c r="F687" s="2"/>
      <c r="G687" s="2"/>
      <c r="H687" s="2"/>
      <c r="I687" s="2"/>
      <c r="J687" s="2"/>
      <c r="K687" s="2"/>
    </row>
    <row r="688" spans="1:11" ht="15.75" customHeight="1">
      <c r="A688" s="2"/>
      <c r="B688" s="2"/>
      <c r="C688" s="2"/>
      <c r="D688" s="2"/>
      <c r="E688" s="2"/>
      <c r="F688" s="2"/>
      <c r="G688" s="2"/>
      <c r="H688" s="2"/>
      <c r="I688" s="2"/>
      <c r="J688" s="2"/>
      <c r="K688" s="2"/>
    </row>
    <row r="689" spans="1:11" ht="15.75" customHeight="1">
      <c r="A689" s="2"/>
      <c r="B689" s="2"/>
      <c r="C689" s="2"/>
      <c r="D689" s="2"/>
      <c r="E689" s="2"/>
      <c r="F689" s="2"/>
      <c r="G689" s="2"/>
      <c r="H689" s="2"/>
      <c r="I689" s="2"/>
      <c r="J689" s="2"/>
      <c r="K689" s="2"/>
    </row>
    <row r="690" spans="1:11" ht="15.75" customHeight="1">
      <c r="A690" s="2"/>
      <c r="B690" s="2"/>
      <c r="C690" s="2"/>
      <c r="D690" s="2"/>
      <c r="E690" s="2"/>
      <c r="F690" s="2"/>
      <c r="G690" s="2"/>
      <c r="H690" s="2"/>
      <c r="I690" s="2"/>
      <c r="J690" s="2"/>
      <c r="K690" s="2"/>
    </row>
    <row r="691" spans="1:11" ht="15.75" customHeight="1">
      <c r="A691" s="2"/>
      <c r="B691" s="2"/>
      <c r="C691" s="2"/>
      <c r="D691" s="2"/>
      <c r="E691" s="2"/>
      <c r="F691" s="2"/>
      <c r="G691" s="2"/>
      <c r="H691" s="2"/>
      <c r="I691" s="2"/>
      <c r="J691" s="2"/>
      <c r="K691" s="2"/>
    </row>
    <row r="692" spans="1:11" ht="15.75" customHeight="1">
      <c r="A692" s="2"/>
      <c r="B692" s="2"/>
      <c r="C692" s="2"/>
      <c r="D692" s="2"/>
      <c r="E692" s="2"/>
      <c r="F692" s="2"/>
      <c r="G692" s="2"/>
      <c r="H692" s="2"/>
      <c r="I692" s="2"/>
      <c r="J692" s="2"/>
      <c r="K692" s="2"/>
    </row>
    <row r="693" spans="1:11" ht="15.75" customHeight="1">
      <c r="A693" s="2"/>
      <c r="B693" s="2"/>
      <c r="C693" s="2"/>
      <c r="D693" s="2"/>
      <c r="E693" s="2"/>
      <c r="F693" s="2"/>
      <c r="G693" s="2"/>
      <c r="H693" s="2"/>
      <c r="I693" s="2"/>
      <c r="J693" s="2"/>
      <c r="K693" s="2"/>
    </row>
    <row r="694" spans="1:11" ht="15.75" customHeight="1">
      <c r="A694" s="2"/>
      <c r="B694" s="2"/>
      <c r="C694" s="2"/>
      <c r="D694" s="2"/>
      <c r="E694" s="2"/>
      <c r="F694" s="2"/>
      <c r="G694" s="2"/>
      <c r="H694" s="2"/>
      <c r="I694" s="2"/>
      <c r="J694" s="2"/>
      <c r="K694" s="2"/>
    </row>
    <row r="695" spans="1:11" ht="15.75" customHeight="1">
      <c r="A695" s="2"/>
      <c r="B695" s="2"/>
      <c r="C695" s="2"/>
      <c r="D695" s="2"/>
      <c r="E695" s="2"/>
      <c r="F695" s="2"/>
      <c r="G695" s="2"/>
      <c r="H695" s="2"/>
      <c r="I695" s="2"/>
      <c r="J695" s="2"/>
      <c r="K695" s="2"/>
    </row>
    <row r="696" spans="1:11" ht="15.75" customHeight="1">
      <c r="A696" s="2"/>
      <c r="B696" s="2"/>
      <c r="C696" s="2"/>
      <c r="D696" s="2"/>
      <c r="E696" s="2"/>
      <c r="F696" s="2"/>
      <c r="G696" s="2"/>
      <c r="H696" s="2"/>
      <c r="I696" s="2"/>
      <c r="J696" s="2"/>
      <c r="K696" s="2"/>
    </row>
    <row r="697" spans="1:11" ht="15.75" customHeight="1">
      <c r="A697" s="2"/>
      <c r="B697" s="2"/>
      <c r="C697" s="2"/>
      <c r="D697" s="2"/>
      <c r="E697" s="2"/>
      <c r="F697" s="2"/>
      <c r="G697" s="2"/>
      <c r="H697" s="2"/>
      <c r="I697" s="2"/>
      <c r="J697" s="2"/>
      <c r="K697" s="2"/>
    </row>
    <row r="698" spans="1:11" ht="15.75" customHeight="1">
      <c r="A698" s="2"/>
      <c r="B698" s="2"/>
      <c r="C698" s="2"/>
      <c r="D698" s="2"/>
      <c r="E698" s="2"/>
      <c r="F698" s="2"/>
      <c r="G698" s="2"/>
      <c r="H698" s="2"/>
      <c r="I698" s="2"/>
      <c r="J698" s="2"/>
      <c r="K698" s="2"/>
    </row>
    <row r="699" spans="1:11" ht="15.75" customHeight="1">
      <c r="A699" s="2"/>
      <c r="B699" s="2"/>
      <c r="C699" s="2"/>
      <c r="D699" s="2"/>
      <c r="E699" s="2"/>
      <c r="F699" s="2"/>
      <c r="G699" s="2"/>
      <c r="H699" s="2"/>
      <c r="I699" s="2"/>
      <c r="J699" s="2"/>
      <c r="K699" s="2"/>
    </row>
    <row r="700" spans="1:11" ht="15.75" customHeight="1">
      <c r="A700" s="2"/>
      <c r="B700" s="2"/>
      <c r="C700" s="2"/>
      <c r="D700" s="2"/>
      <c r="E700" s="2"/>
      <c r="F700" s="2"/>
      <c r="G700" s="2"/>
      <c r="H700" s="2"/>
      <c r="I700" s="2"/>
      <c r="J700" s="2"/>
      <c r="K700" s="2"/>
    </row>
    <row r="701" spans="1:11" ht="15.75" customHeight="1">
      <c r="A701" s="2"/>
      <c r="B701" s="2"/>
      <c r="C701" s="2"/>
      <c r="D701" s="2"/>
      <c r="E701" s="2"/>
      <c r="F701" s="2"/>
      <c r="G701" s="2"/>
      <c r="H701" s="2"/>
      <c r="I701" s="2"/>
      <c r="J701" s="2"/>
      <c r="K701" s="2"/>
    </row>
    <row r="702" spans="1:11" ht="15.75" customHeight="1">
      <c r="A702" s="2"/>
      <c r="B702" s="2"/>
      <c r="C702" s="2"/>
      <c r="D702" s="2"/>
      <c r="E702" s="2"/>
      <c r="F702" s="2"/>
      <c r="G702" s="2"/>
      <c r="H702" s="2"/>
      <c r="I702" s="2"/>
      <c r="J702" s="2"/>
      <c r="K702" s="2"/>
    </row>
    <row r="703" spans="1:11" ht="15.75" customHeight="1">
      <c r="A703" s="2"/>
      <c r="B703" s="2"/>
      <c r="C703" s="2"/>
      <c r="D703" s="2"/>
      <c r="E703" s="2"/>
      <c r="F703" s="2"/>
      <c r="G703" s="2"/>
      <c r="H703" s="2"/>
      <c r="I703" s="2"/>
      <c r="J703" s="2"/>
      <c r="K703" s="2"/>
    </row>
    <row r="704" spans="1:11" ht="15.75" customHeight="1">
      <c r="A704" s="2"/>
      <c r="B704" s="2"/>
      <c r="C704" s="2"/>
      <c r="D704" s="2"/>
      <c r="E704" s="2"/>
      <c r="F704" s="2"/>
      <c r="G704" s="2"/>
      <c r="H704" s="2"/>
      <c r="I704" s="2"/>
      <c r="J704" s="2"/>
      <c r="K704" s="2"/>
    </row>
    <row r="705" spans="1:11" ht="15.75" customHeight="1">
      <c r="A705" s="2"/>
      <c r="B705" s="2"/>
      <c r="C705" s="2"/>
      <c r="D705" s="2"/>
      <c r="E705" s="2"/>
      <c r="F705" s="2"/>
      <c r="G705" s="2"/>
      <c r="H705" s="2"/>
      <c r="I705" s="2"/>
      <c r="J705" s="2"/>
      <c r="K705" s="2"/>
    </row>
    <row r="706" spans="1:11" ht="15.75" customHeight="1">
      <c r="A706" s="2"/>
      <c r="B706" s="2"/>
      <c r="C706" s="2"/>
      <c r="D706" s="2"/>
      <c r="E706" s="2"/>
      <c r="F706" s="2"/>
      <c r="G706" s="2"/>
      <c r="H706" s="2"/>
      <c r="I706" s="2"/>
      <c r="J706" s="2"/>
      <c r="K706" s="2"/>
    </row>
    <row r="707" spans="1:11" ht="15.75" customHeight="1">
      <c r="A707" s="2"/>
      <c r="B707" s="2"/>
      <c r="C707" s="2"/>
      <c r="D707" s="2"/>
      <c r="E707" s="2"/>
      <c r="F707" s="2"/>
      <c r="G707" s="2"/>
      <c r="H707" s="2"/>
      <c r="I707" s="2"/>
      <c r="J707" s="2"/>
      <c r="K707" s="2"/>
    </row>
    <row r="708" spans="1:11" ht="15.75" customHeight="1">
      <c r="A708" s="2"/>
      <c r="B708" s="2"/>
      <c r="C708" s="2"/>
      <c r="D708" s="2"/>
      <c r="E708" s="2"/>
      <c r="F708" s="2"/>
      <c r="G708" s="2"/>
      <c r="H708" s="2"/>
      <c r="I708" s="2"/>
      <c r="J708" s="2"/>
      <c r="K708" s="2"/>
    </row>
    <row r="709" spans="1:11" ht="15.75" customHeight="1">
      <c r="A709" s="2"/>
      <c r="B709" s="2"/>
      <c r="C709" s="2"/>
      <c r="D709" s="2"/>
      <c r="E709" s="2"/>
      <c r="F709" s="2"/>
      <c r="G709" s="2"/>
      <c r="H709" s="2"/>
      <c r="I709" s="2"/>
      <c r="J709" s="2"/>
      <c r="K709" s="2"/>
    </row>
    <row r="710" spans="1:11" ht="15.75" customHeight="1">
      <c r="A710" s="2"/>
      <c r="B710" s="2"/>
      <c r="C710" s="2"/>
      <c r="D710" s="2"/>
      <c r="E710" s="2"/>
      <c r="F710" s="2"/>
      <c r="G710" s="2"/>
      <c r="H710" s="2"/>
      <c r="I710" s="2"/>
      <c r="J710" s="2"/>
      <c r="K710" s="2"/>
    </row>
    <row r="711" spans="1:11" ht="15.75" customHeight="1">
      <c r="A711" s="2"/>
      <c r="B711" s="2"/>
      <c r="C711" s="2"/>
      <c r="D711" s="2"/>
      <c r="E711" s="2"/>
      <c r="F711" s="2"/>
      <c r="G711" s="2"/>
      <c r="H711" s="2"/>
      <c r="I711" s="2"/>
      <c r="J711" s="2"/>
      <c r="K711" s="2"/>
    </row>
    <row r="712" spans="1:11" ht="15.75" customHeight="1">
      <c r="A712" s="2"/>
      <c r="B712" s="2"/>
      <c r="C712" s="2"/>
      <c r="D712" s="2"/>
      <c r="E712" s="2"/>
      <c r="F712" s="2"/>
      <c r="G712" s="2"/>
      <c r="H712" s="2"/>
      <c r="I712" s="2"/>
      <c r="J712" s="2"/>
      <c r="K712" s="2"/>
    </row>
    <row r="713" spans="1:11" ht="15.75" customHeight="1">
      <c r="A713" s="2"/>
      <c r="B713" s="2"/>
      <c r="C713" s="2"/>
      <c r="D713" s="2"/>
      <c r="E713" s="2"/>
      <c r="F713" s="2"/>
      <c r="G713" s="2"/>
      <c r="H713" s="2"/>
      <c r="I713" s="2"/>
      <c r="J713" s="2"/>
      <c r="K713" s="2"/>
    </row>
    <row r="714" spans="1:11" ht="15.75" customHeight="1">
      <c r="A714" s="2"/>
      <c r="B714" s="2"/>
      <c r="C714" s="2"/>
      <c r="D714" s="2"/>
      <c r="E714" s="2"/>
      <c r="F714" s="2"/>
      <c r="G714" s="2"/>
      <c r="H714" s="2"/>
      <c r="I714" s="2"/>
      <c r="J714" s="2"/>
      <c r="K714" s="2"/>
    </row>
    <row r="715" spans="1:11" ht="15.75" customHeight="1">
      <c r="A715" s="2"/>
      <c r="B715" s="2"/>
      <c r="C715" s="2"/>
      <c r="D715" s="2"/>
      <c r="E715" s="2"/>
      <c r="F715" s="2"/>
      <c r="G715" s="2"/>
      <c r="H715" s="2"/>
      <c r="I715" s="2"/>
      <c r="J715" s="2"/>
      <c r="K715" s="2"/>
    </row>
    <row r="716" spans="1:11" ht="15.75" customHeight="1">
      <c r="A716" s="2"/>
      <c r="B716" s="2"/>
      <c r="C716" s="2"/>
      <c r="D716" s="2"/>
      <c r="E716" s="2"/>
      <c r="F716" s="2"/>
      <c r="G716" s="2"/>
      <c r="H716" s="2"/>
      <c r="I716" s="2"/>
      <c r="J716" s="2"/>
      <c r="K716" s="2"/>
    </row>
    <row r="717" spans="1:11" ht="15.75" customHeight="1">
      <c r="A717" s="2"/>
      <c r="B717" s="2"/>
      <c r="C717" s="2"/>
      <c r="D717" s="2"/>
      <c r="E717" s="2"/>
      <c r="F717" s="2"/>
      <c r="G717" s="2"/>
      <c r="H717" s="2"/>
      <c r="I717" s="2"/>
      <c r="J717" s="2"/>
      <c r="K717" s="2"/>
    </row>
    <row r="718" spans="1:11" ht="15.75" customHeight="1">
      <c r="A718" s="2"/>
      <c r="B718" s="2"/>
      <c r="C718" s="2"/>
      <c r="D718" s="2"/>
      <c r="E718" s="2"/>
      <c r="F718" s="2"/>
      <c r="G718" s="2"/>
      <c r="H718" s="2"/>
      <c r="I718" s="2"/>
      <c r="J718" s="2"/>
      <c r="K718" s="2"/>
    </row>
    <row r="719" spans="1:11" ht="15.75" customHeight="1">
      <c r="A719" s="2"/>
      <c r="B719" s="2"/>
      <c r="C719" s="2"/>
      <c r="D719" s="2"/>
      <c r="E719" s="2"/>
      <c r="F719" s="2"/>
      <c r="G719" s="2"/>
      <c r="H719" s="2"/>
      <c r="I719" s="2"/>
      <c r="J719" s="2"/>
      <c r="K719" s="2"/>
    </row>
    <row r="720" spans="1:11" ht="15.75" customHeight="1">
      <c r="A720" s="2"/>
      <c r="B720" s="2"/>
      <c r="C720" s="2"/>
      <c r="D720" s="2"/>
      <c r="E720" s="2"/>
      <c r="F720" s="2"/>
      <c r="G720" s="2"/>
      <c r="H720" s="2"/>
      <c r="I720" s="2"/>
      <c r="J720" s="2"/>
      <c r="K720" s="2"/>
    </row>
    <row r="721" spans="1:11" ht="15.75" customHeight="1">
      <c r="A721" s="2"/>
      <c r="B721" s="2"/>
      <c r="C721" s="2"/>
      <c r="D721" s="2"/>
      <c r="E721" s="2"/>
      <c r="F721" s="2"/>
      <c r="G721" s="2"/>
      <c r="H721" s="2"/>
      <c r="I721" s="2"/>
      <c r="J721" s="2"/>
      <c r="K721" s="2"/>
    </row>
    <row r="722" spans="1:11" ht="15.75" customHeight="1">
      <c r="A722" s="2"/>
      <c r="B722" s="2"/>
      <c r="C722" s="2"/>
      <c r="D722" s="2"/>
      <c r="E722" s="2"/>
      <c r="F722" s="2"/>
      <c r="G722" s="2"/>
      <c r="H722" s="2"/>
      <c r="I722" s="2"/>
      <c r="J722" s="2"/>
      <c r="K722" s="2"/>
    </row>
    <row r="723" spans="1:11" ht="15.75" customHeight="1">
      <c r="A723" s="2"/>
      <c r="B723" s="2"/>
      <c r="C723" s="2"/>
      <c r="D723" s="2"/>
      <c r="E723" s="2"/>
      <c r="F723" s="2"/>
      <c r="G723" s="2"/>
      <c r="H723" s="2"/>
      <c r="I723" s="2"/>
      <c r="J723" s="2"/>
      <c r="K723" s="2"/>
    </row>
    <row r="724" spans="1:11" ht="15.75" customHeight="1">
      <c r="A724" s="2"/>
      <c r="B724" s="2"/>
      <c r="C724" s="2"/>
      <c r="D724" s="2"/>
      <c r="E724" s="2"/>
      <c r="F724" s="2"/>
      <c r="G724" s="2"/>
      <c r="H724" s="2"/>
      <c r="I724" s="2"/>
      <c r="J724" s="2"/>
      <c r="K724" s="2"/>
    </row>
    <row r="725" spans="1:11" ht="15.75" customHeight="1">
      <c r="A725" s="2"/>
      <c r="B725" s="2"/>
      <c r="C725" s="2"/>
      <c r="D725" s="2"/>
      <c r="E725" s="2"/>
      <c r="F725" s="2"/>
      <c r="G725" s="2"/>
      <c r="H725" s="2"/>
      <c r="I725" s="2"/>
      <c r="J725" s="2"/>
      <c r="K725" s="2"/>
    </row>
    <row r="726" spans="1:11" ht="15.75" customHeight="1">
      <c r="A726" s="2"/>
      <c r="B726" s="2"/>
      <c r="C726" s="2"/>
      <c r="D726" s="2"/>
      <c r="E726" s="2"/>
      <c r="F726" s="2"/>
      <c r="G726" s="2"/>
      <c r="H726" s="2"/>
      <c r="I726" s="2"/>
      <c r="J726" s="2"/>
      <c r="K726" s="2"/>
    </row>
    <row r="727" spans="1:11" ht="15.75" customHeight="1">
      <c r="A727" s="2"/>
      <c r="B727" s="2"/>
      <c r="C727" s="2"/>
      <c r="D727" s="2"/>
      <c r="E727" s="2"/>
      <c r="F727" s="2"/>
      <c r="G727" s="2"/>
      <c r="H727" s="2"/>
      <c r="I727" s="2"/>
      <c r="J727" s="2"/>
      <c r="K727" s="2"/>
    </row>
    <row r="728" spans="1:11" ht="15.75" customHeight="1">
      <c r="A728" s="2"/>
      <c r="B728" s="2"/>
      <c r="C728" s="2"/>
      <c r="D728" s="2"/>
      <c r="E728" s="2"/>
      <c r="F728" s="2"/>
      <c r="G728" s="2"/>
      <c r="H728" s="2"/>
      <c r="I728" s="2"/>
      <c r="J728" s="2"/>
      <c r="K728" s="2"/>
    </row>
    <row r="729" spans="1:11" ht="15.75" customHeight="1">
      <c r="A729" s="2"/>
      <c r="B729" s="2"/>
      <c r="C729" s="2"/>
      <c r="D729" s="2"/>
      <c r="E729" s="2"/>
      <c r="F729" s="2"/>
      <c r="G729" s="2"/>
      <c r="H729" s="2"/>
      <c r="I729" s="2"/>
      <c r="J729" s="2"/>
      <c r="K729" s="2"/>
    </row>
    <row r="730" spans="1:11" ht="15.75" customHeight="1">
      <c r="A730" s="2"/>
      <c r="B730" s="2"/>
      <c r="C730" s="2"/>
      <c r="D730" s="2"/>
      <c r="E730" s="2"/>
      <c r="F730" s="2"/>
      <c r="G730" s="2"/>
      <c r="H730" s="2"/>
      <c r="I730" s="2"/>
      <c r="J730" s="2"/>
      <c r="K730" s="2"/>
    </row>
    <row r="731" spans="1:11" ht="15.75" customHeight="1">
      <c r="A731" s="2"/>
      <c r="B731" s="2"/>
      <c r="C731" s="2"/>
      <c r="D731" s="2"/>
      <c r="E731" s="2"/>
      <c r="F731" s="2"/>
      <c r="G731" s="2"/>
      <c r="H731" s="2"/>
      <c r="I731" s="2"/>
      <c r="J731" s="2"/>
      <c r="K731" s="2"/>
    </row>
    <row r="732" spans="1:11" ht="15.75" customHeight="1">
      <c r="A732" s="2"/>
      <c r="B732" s="2"/>
      <c r="C732" s="2"/>
      <c r="D732" s="2"/>
      <c r="E732" s="2"/>
      <c r="F732" s="2"/>
      <c r="G732" s="2"/>
      <c r="H732" s="2"/>
      <c r="I732" s="2"/>
      <c r="J732" s="2"/>
      <c r="K732" s="2"/>
    </row>
    <row r="733" spans="1:11" ht="15.75" customHeight="1">
      <c r="A733" s="2"/>
      <c r="B733" s="2"/>
      <c r="C733" s="2"/>
      <c r="D733" s="2"/>
      <c r="E733" s="2"/>
      <c r="F733" s="2"/>
      <c r="G733" s="2"/>
      <c r="H733" s="2"/>
      <c r="I733" s="2"/>
      <c r="J733" s="2"/>
      <c r="K733" s="2"/>
    </row>
    <row r="734" spans="1:11" ht="15.75" customHeight="1">
      <c r="A734" s="2"/>
      <c r="B734" s="2"/>
      <c r="C734" s="2"/>
      <c r="D734" s="2"/>
      <c r="E734" s="2"/>
      <c r="F734" s="2"/>
      <c r="G734" s="2"/>
      <c r="H734" s="2"/>
      <c r="I734" s="2"/>
      <c r="J734" s="2"/>
      <c r="K734" s="2"/>
    </row>
    <row r="735" spans="1:11" ht="15.75" customHeight="1">
      <c r="A735" s="2"/>
      <c r="B735" s="2"/>
      <c r="C735" s="2"/>
      <c r="D735" s="2"/>
      <c r="E735" s="2"/>
      <c r="F735" s="2"/>
      <c r="G735" s="2"/>
      <c r="H735" s="2"/>
      <c r="I735" s="2"/>
      <c r="J735" s="2"/>
      <c r="K735" s="2"/>
    </row>
    <row r="736" spans="1:11" ht="15.75" customHeight="1">
      <c r="A736" s="2"/>
      <c r="B736" s="2"/>
      <c r="C736" s="2"/>
      <c r="D736" s="2"/>
      <c r="E736" s="2"/>
      <c r="F736" s="2"/>
      <c r="G736" s="2"/>
      <c r="H736" s="2"/>
      <c r="I736" s="2"/>
      <c r="J736" s="2"/>
      <c r="K736" s="2"/>
    </row>
    <row r="737" spans="1:11" ht="15.75" customHeight="1">
      <c r="A737" s="2"/>
      <c r="B737" s="2"/>
      <c r="C737" s="2"/>
      <c r="D737" s="2"/>
      <c r="E737" s="2"/>
      <c r="F737" s="2"/>
      <c r="G737" s="2"/>
      <c r="H737" s="2"/>
      <c r="I737" s="2"/>
      <c r="J737" s="2"/>
      <c r="K737" s="2"/>
    </row>
    <row r="738" spans="1:11" ht="15.75" customHeight="1">
      <c r="A738" s="2"/>
      <c r="B738" s="2"/>
      <c r="C738" s="2"/>
      <c r="D738" s="2"/>
      <c r="E738" s="2"/>
      <c r="F738" s="2"/>
      <c r="G738" s="2"/>
      <c r="H738" s="2"/>
      <c r="I738" s="2"/>
      <c r="J738" s="2"/>
      <c r="K738" s="2"/>
    </row>
    <row r="739" spans="1:11" ht="15.75" customHeight="1">
      <c r="A739" s="2"/>
      <c r="B739" s="2"/>
      <c r="C739" s="2"/>
      <c r="D739" s="2"/>
      <c r="E739" s="2"/>
      <c r="F739" s="2"/>
      <c r="G739" s="2"/>
      <c r="H739" s="2"/>
      <c r="I739" s="2"/>
      <c r="J739" s="2"/>
      <c r="K739" s="2"/>
    </row>
    <row r="740" spans="1:11" ht="15.75" customHeight="1">
      <c r="A740" s="2"/>
      <c r="B740" s="2"/>
      <c r="C740" s="2"/>
      <c r="D740" s="2"/>
      <c r="E740" s="2"/>
      <c r="F740" s="2"/>
      <c r="G740" s="2"/>
      <c r="H740" s="2"/>
      <c r="I740" s="2"/>
      <c r="J740" s="2"/>
      <c r="K740" s="2"/>
    </row>
    <row r="741" spans="1:11" ht="15.75" customHeight="1">
      <c r="A741" s="2"/>
      <c r="B741" s="2"/>
      <c r="C741" s="2"/>
      <c r="D741" s="2"/>
      <c r="E741" s="2"/>
      <c r="F741" s="2"/>
      <c r="G741" s="2"/>
      <c r="H741" s="2"/>
      <c r="I741" s="2"/>
      <c r="J741" s="2"/>
      <c r="K741" s="2"/>
    </row>
    <row r="742" spans="1:11" ht="15.75" customHeight="1">
      <c r="A742" s="2"/>
      <c r="B742" s="2"/>
      <c r="C742" s="2"/>
      <c r="D742" s="2"/>
      <c r="E742" s="2"/>
      <c r="F742" s="2"/>
      <c r="G742" s="2"/>
      <c r="H742" s="2"/>
      <c r="I742" s="2"/>
      <c r="J742" s="2"/>
      <c r="K742" s="2"/>
    </row>
    <row r="743" spans="1:11" ht="15.75" customHeight="1">
      <c r="A743" s="2"/>
      <c r="B743" s="2"/>
      <c r="C743" s="2"/>
      <c r="D743" s="2"/>
      <c r="E743" s="2"/>
      <c r="F743" s="2"/>
      <c r="G743" s="2"/>
      <c r="H743" s="2"/>
      <c r="I743" s="2"/>
      <c r="J743" s="2"/>
      <c r="K743" s="2"/>
    </row>
    <row r="744" spans="1:11" ht="15.75" customHeight="1">
      <c r="A744" s="2"/>
      <c r="B744" s="2"/>
      <c r="C744" s="2"/>
      <c r="D744" s="2"/>
      <c r="E744" s="2"/>
      <c r="F744" s="2"/>
      <c r="G744" s="2"/>
      <c r="H744" s="2"/>
      <c r="I744" s="2"/>
      <c r="J744" s="2"/>
      <c r="K744" s="2"/>
    </row>
    <row r="745" spans="1:11" ht="15.75" customHeight="1">
      <c r="A745" s="2"/>
      <c r="B745" s="2"/>
      <c r="C745" s="2"/>
      <c r="D745" s="2"/>
      <c r="E745" s="2"/>
      <c r="F745" s="2"/>
      <c r="G745" s="2"/>
      <c r="H745" s="2"/>
      <c r="I745" s="2"/>
      <c r="J745" s="2"/>
      <c r="K745" s="2"/>
    </row>
    <row r="746" spans="1:11" ht="15.75" customHeight="1">
      <c r="A746" s="2"/>
      <c r="B746" s="2"/>
      <c r="C746" s="2"/>
      <c r="D746" s="2"/>
      <c r="E746" s="2"/>
      <c r="F746" s="2"/>
      <c r="G746" s="2"/>
      <c r="H746" s="2"/>
      <c r="I746" s="2"/>
      <c r="J746" s="2"/>
      <c r="K746" s="2"/>
    </row>
    <row r="747" spans="1:11" ht="15.75" customHeight="1">
      <c r="A747" s="2"/>
      <c r="B747" s="2"/>
      <c r="C747" s="2"/>
      <c r="D747" s="2"/>
      <c r="E747" s="2"/>
      <c r="F747" s="2"/>
      <c r="G747" s="2"/>
      <c r="H747" s="2"/>
      <c r="I747" s="2"/>
      <c r="J747" s="2"/>
      <c r="K747" s="2"/>
    </row>
    <row r="748" spans="1:11" ht="15.75" customHeight="1">
      <c r="A748" s="2"/>
      <c r="B748" s="2"/>
      <c r="C748" s="2"/>
      <c r="D748" s="2"/>
      <c r="E748" s="2"/>
      <c r="F748" s="2"/>
      <c r="G748" s="2"/>
      <c r="H748" s="2"/>
      <c r="I748" s="2"/>
      <c r="J748" s="2"/>
      <c r="K748" s="2"/>
    </row>
    <row r="749" spans="1:11" ht="15.75" customHeight="1">
      <c r="A749" s="2"/>
      <c r="B749" s="2"/>
      <c r="C749" s="2"/>
      <c r="D749" s="2"/>
      <c r="E749" s="2"/>
      <c r="F749" s="2"/>
      <c r="G749" s="2"/>
      <c r="H749" s="2"/>
      <c r="I749" s="2"/>
      <c r="J749" s="2"/>
      <c r="K749" s="2"/>
    </row>
    <row r="750" spans="1:11" ht="15.75" customHeight="1">
      <c r="A750" s="2"/>
      <c r="B750" s="2"/>
      <c r="C750" s="2"/>
      <c r="D750" s="2"/>
      <c r="E750" s="2"/>
      <c r="F750" s="2"/>
      <c r="G750" s="2"/>
      <c r="H750" s="2"/>
      <c r="I750" s="2"/>
      <c r="J750" s="2"/>
      <c r="K750" s="2"/>
    </row>
    <row r="751" spans="1:11" ht="15.75" customHeight="1">
      <c r="A751" s="2"/>
      <c r="B751" s="2"/>
      <c r="C751" s="2"/>
      <c r="D751" s="2"/>
      <c r="E751" s="2"/>
      <c r="F751" s="2"/>
      <c r="G751" s="2"/>
      <c r="H751" s="2"/>
      <c r="I751" s="2"/>
      <c r="J751" s="2"/>
      <c r="K751" s="2"/>
    </row>
    <row r="752" spans="1:11" ht="15.75" customHeight="1">
      <c r="A752" s="2"/>
      <c r="B752" s="2"/>
      <c r="C752" s="2"/>
      <c r="D752" s="2"/>
      <c r="E752" s="2"/>
      <c r="F752" s="2"/>
      <c r="G752" s="2"/>
      <c r="H752" s="2"/>
      <c r="I752" s="2"/>
      <c r="J752" s="2"/>
      <c r="K752" s="2"/>
    </row>
    <row r="753" spans="1:11" ht="15.75" customHeight="1">
      <c r="A753" s="2"/>
      <c r="B753" s="2"/>
      <c r="C753" s="2"/>
      <c r="D753" s="2"/>
      <c r="E753" s="2"/>
      <c r="F753" s="2"/>
      <c r="G753" s="2"/>
      <c r="H753" s="2"/>
      <c r="I753" s="2"/>
      <c r="J753" s="2"/>
      <c r="K753" s="2"/>
    </row>
    <row r="754" spans="1:11" ht="15.75" customHeight="1">
      <c r="A754" s="2"/>
      <c r="B754" s="2"/>
      <c r="C754" s="2"/>
      <c r="D754" s="2"/>
      <c r="E754" s="2"/>
      <c r="F754" s="2"/>
      <c r="G754" s="2"/>
      <c r="H754" s="2"/>
      <c r="I754" s="2"/>
      <c r="J754" s="2"/>
      <c r="K754" s="2"/>
    </row>
    <row r="755" spans="1:11" ht="15.75" customHeight="1">
      <c r="A755" s="2"/>
      <c r="B755" s="2"/>
      <c r="C755" s="2"/>
      <c r="D755" s="2"/>
      <c r="E755" s="2"/>
      <c r="F755" s="2"/>
      <c r="G755" s="2"/>
      <c r="H755" s="2"/>
      <c r="I755" s="2"/>
      <c r="J755" s="2"/>
      <c r="K755" s="2"/>
    </row>
    <row r="756" spans="1:11" ht="15.75" customHeight="1">
      <c r="A756" s="2"/>
      <c r="B756" s="2"/>
      <c r="C756" s="2"/>
      <c r="D756" s="2"/>
      <c r="E756" s="2"/>
      <c r="F756" s="2"/>
      <c r="G756" s="2"/>
      <c r="H756" s="2"/>
      <c r="I756" s="2"/>
      <c r="J756" s="2"/>
      <c r="K756" s="2"/>
    </row>
    <row r="757" spans="1:11" ht="15.75" customHeight="1">
      <c r="A757" s="2"/>
      <c r="B757" s="2"/>
      <c r="C757" s="2"/>
      <c r="D757" s="2"/>
      <c r="E757" s="2"/>
      <c r="F757" s="2"/>
      <c r="G757" s="2"/>
      <c r="H757" s="2"/>
      <c r="I757" s="2"/>
      <c r="J757" s="2"/>
      <c r="K757" s="2"/>
    </row>
    <row r="758" spans="1:11" ht="15.75" customHeight="1">
      <c r="A758" s="2"/>
      <c r="B758" s="2"/>
      <c r="C758" s="2"/>
      <c r="D758" s="2"/>
      <c r="E758" s="2"/>
      <c r="F758" s="2"/>
      <c r="G758" s="2"/>
      <c r="H758" s="2"/>
      <c r="I758" s="2"/>
      <c r="J758" s="2"/>
      <c r="K758" s="2"/>
    </row>
    <row r="759" spans="1:11" ht="15.75" customHeight="1">
      <c r="A759" s="2"/>
      <c r="B759" s="2"/>
      <c r="C759" s="2"/>
      <c r="D759" s="2"/>
      <c r="E759" s="2"/>
      <c r="F759" s="2"/>
      <c r="G759" s="2"/>
      <c r="H759" s="2"/>
      <c r="I759" s="2"/>
      <c r="J759" s="2"/>
      <c r="K759" s="2"/>
    </row>
    <row r="760" spans="1:11" ht="15.75" customHeight="1">
      <c r="A760" s="2"/>
      <c r="B760" s="2"/>
      <c r="C760" s="2"/>
      <c r="D760" s="2"/>
      <c r="E760" s="2"/>
      <c r="F760" s="2"/>
      <c r="G760" s="2"/>
      <c r="H760" s="2"/>
      <c r="I760" s="2"/>
      <c r="J760" s="2"/>
      <c r="K760" s="2"/>
    </row>
    <row r="761" spans="1:11" ht="15.75" customHeight="1">
      <c r="A761" s="2"/>
      <c r="B761" s="2"/>
      <c r="C761" s="2"/>
      <c r="D761" s="2"/>
      <c r="E761" s="2"/>
      <c r="F761" s="2"/>
      <c r="G761" s="2"/>
      <c r="H761" s="2"/>
      <c r="I761" s="2"/>
      <c r="J761" s="2"/>
      <c r="K761" s="2"/>
    </row>
    <row r="762" spans="1:11" ht="15.75" customHeight="1">
      <c r="A762" s="2"/>
      <c r="B762" s="2"/>
      <c r="C762" s="2"/>
      <c r="D762" s="2"/>
      <c r="E762" s="2"/>
      <c r="F762" s="2"/>
      <c r="G762" s="2"/>
      <c r="H762" s="2"/>
      <c r="I762" s="2"/>
      <c r="J762" s="2"/>
      <c r="K762" s="2"/>
    </row>
    <row r="763" spans="1:11" ht="15.75" customHeight="1">
      <c r="A763" s="2"/>
      <c r="B763" s="2"/>
      <c r="C763" s="2"/>
      <c r="D763" s="2"/>
      <c r="E763" s="2"/>
      <c r="F763" s="2"/>
      <c r="G763" s="2"/>
      <c r="H763" s="2"/>
      <c r="I763" s="2"/>
      <c r="J763" s="2"/>
      <c r="K763" s="2"/>
    </row>
    <row r="764" spans="1:11" ht="15.75" customHeight="1">
      <c r="A764" s="2"/>
      <c r="B764" s="2"/>
      <c r="C764" s="2"/>
      <c r="D764" s="2"/>
      <c r="E764" s="2"/>
      <c r="F764" s="2"/>
      <c r="G764" s="2"/>
      <c r="H764" s="2"/>
      <c r="I764" s="2"/>
      <c r="J764" s="2"/>
      <c r="K764" s="2"/>
    </row>
    <row r="765" spans="1:11" ht="15.75" customHeight="1">
      <c r="A765" s="2"/>
      <c r="B765" s="2"/>
      <c r="C765" s="2"/>
      <c r="D765" s="2"/>
      <c r="E765" s="2"/>
      <c r="F765" s="2"/>
      <c r="G765" s="2"/>
      <c r="H765" s="2"/>
      <c r="I765" s="2"/>
      <c r="J765" s="2"/>
      <c r="K765" s="2"/>
    </row>
    <row r="766" spans="1:11" ht="15.75" customHeight="1">
      <c r="A766" s="2"/>
      <c r="B766" s="2"/>
      <c r="C766" s="2"/>
      <c r="D766" s="2"/>
      <c r="E766" s="2"/>
      <c r="F766" s="2"/>
      <c r="G766" s="2"/>
      <c r="H766" s="2"/>
      <c r="I766" s="2"/>
      <c r="J766" s="2"/>
      <c r="K766" s="2"/>
    </row>
    <row r="767" spans="1:11" ht="15.75" customHeight="1">
      <c r="A767" s="2"/>
      <c r="B767" s="2"/>
      <c r="C767" s="2"/>
      <c r="D767" s="2"/>
      <c r="E767" s="2"/>
      <c r="F767" s="2"/>
      <c r="G767" s="2"/>
      <c r="H767" s="2"/>
      <c r="I767" s="2"/>
      <c r="J767" s="2"/>
      <c r="K767" s="2"/>
    </row>
    <row r="768" spans="1:11" ht="15.75" customHeight="1">
      <c r="A768" s="2"/>
      <c r="B768" s="2"/>
      <c r="C768" s="2"/>
      <c r="D768" s="2"/>
      <c r="E768" s="2"/>
      <c r="F768" s="2"/>
      <c r="G768" s="2"/>
      <c r="H768" s="2"/>
      <c r="I768" s="2"/>
      <c r="J768" s="2"/>
      <c r="K768" s="2"/>
    </row>
    <row r="769" spans="1:11" ht="15.75" customHeight="1">
      <c r="A769" s="2"/>
      <c r="B769" s="2"/>
      <c r="C769" s="2"/>
      <c r="D769" s="2"/>
      <c r="E769" s="2"/>
      <c r="F769" s="2"/>
      <c r="G769" s="2"/>
      <c r="H769" s="2"/>
      <c r="I769" s="2"/>
      <c r="J769" s="2"/>
      <c r="K769" s="2"/>
    </row>
    <row r="770" spans="1:11" ht="15.75" customHeight="1">
      <c r="A770" s="2"/>
      <c r="B770" s="2"/>
      <c r="C770" s="2"/>
      <c r="D770" s="2"/>
      <c r="E770" s="2"/>
      <c r="F770" s="2"/>
      <c r="G770" s="2"/>
      <c r="H770" s="2"/>
      <c r="I770" s="2"/>
      <c r="J770" s="2"/>
      <c r="K770" s="2"/>
    </row>
    <row r="771" spans="1:11" ht="15.75" customHeight="1">
      <c r="A771" s="2"/>
      <c r="B771" s="2"/>
      <c r="C771" s="2"/>
      <c r="D771" s="2"/>
      <c r="E771" s="2"/>
      <c r="F771" s="2"/>
      <c r="G771" s="2"/>
      <c r="H771" s="2"/>
      <c r="I771" s="2"/>
      <c r="J771" s="2"/>
      <c r="K771" s="2"/>
    </row>
    <row r="772" spans="1:11" ht="15.75" customHeight="1">
      <c r="A772" s="2"/>
      <c r="B772" s="2"/>
      <c r="C772" s="2"/>
      <c r="D772" s="2"/>
      <c r="E772" s="2"/>
      <c r="F772" s="2"/>
      <c r="G772" s="2"/>
      <c r="H772" s="2"/>
      <c r="I772" s="2"/>
      <c r="J772" s="2"/>
      <c r="K772" s="2"/>
    </row>
    <row r="773" spans="1:11" ht="15.75" customHeight="1">
      <c r="A773" s="2"/>
      <c r="B773" s="2"/>
      <c r="C773" s="2"/>
      <c r="D773" s="2"/>
      <c r="E773" s="2"/>
      <c r="F773" s="2"/>
      <c r="G773" s="2"/>
      <c r="H773" s="2"/>
      <c r="I773" s="2"/>
      <c r="J773" s="2"/>
      <c r="K773" s="2"/>
    </row>
    <row r="774" spans="1:11" ht="15.75" customHeight="1">
      <c r="A774" s="2"/>
      <c r="B774" s="2"/>
      <c r="C774" s="2"/>
      <c r="D774" s="2"/>
      <c r="E774" s="2"/>
      <c r="F774" s="2"/>
      <c r="G774" s="2"/>
      <c r="H774" s="2"/>
      <c r="I774" s="2"/>
      <c r="J774" s="2"/>
      <c r="K774" s="2"/>
    </row>
    <row r="775" spans="1:11" ht="15.75" customHeight="1">
      <c r="A775" s="2"/>
      <c r="B775" s="2"/>
      <c r="C775" s="2"/>
      <c r="D775" s="2"/>
      <c r="E775" s="2"/>
      <c r="F775" s="2"/>
      <c r="G775" s="2"/>
      <c r="H775" s="2"/>
      <c r="I775" s="2"/>
      <c r="J775" s="2"/>
      <c r="K775" s="2"/>
    </row>
    <row r="776" spans="1:11" ht="15.75" customHeight="1">
      <c r="A776" s="2"/>
      <c r="B776" s="2"/>
      <c r="C776" s="2"/>
      <c r="D776" s="2"/>
      <c r="E776" s="2"/>
      <c r="F776" s="2"/>
      <c r="G776" s="2"/>
      <c r="H776" s="2"/>
      <c r="I776" s="2"/>
      <c r="J776" s="2"/>
      <c r="K776" s="2"/>
    </row>
    <row r="777" spans="1:11" ht="15.75" customHeight="1">
      <c r="A777" s="2"/>
      <c r="B777" s="2"/>
      <c r="C777" s="2"/>
      <c r="D777" s="2"/>
      <c r="E777" s="2"/>
      <c r="F777" s="2"/>
      <c r="G777" s="2"/>
      <c r="H777" s="2"/>
      <c r="I777" s="2"/>
      <c r="J777" s="2"/>
      <c r="K777" s="2"/>
    </row>
    <row r="778" spans="1:11" ht="15.75" customHeight="1">
      <c r="A778" s="2"/>
      <c r="B778" s="2"/>
      <c r="C778" s="2"/>
      <c r="D778" s="2"/>
      <c r="E778" s="2"/>
      <c r="F778" s="2"/>
      <c r="G778" s="2"/>
      <c r="H778" s="2"/>
      <c r="I778" s="2"/>
      <c r="J778" s="2"/>
      <c r="K778" s="2"/>
    </row>
    <row r="779" spans="1:11" ht="15.75" customHeight="1">
      <c r="A779" s="2"/>
      <c r="B779" s="2"/>
      <c r="C779" s="2"/>
      <c r="D779" s="2"/>
      <c r="E779" s="2"/>
      <c r="F779" s="2"/>
      <c r="G779" s="2"/>
      <c r="H779" s="2"/>
      <c r="I779" s="2"/>
      <c r="J779" s="2"/>
      <c r="K779" s="2"/>
    </row>
    <row r="780" spans="1:11" ht="15.75" customHeight="1">
      <c r="A780" s="2"/>
      <c r="B780" s="2"/>
      <c r="C780" s="2"/>
      <c r="D780" s="2"/>
      <c r="E780" s="2"/>
      <c r="F780" s="2"/>
      <c r="G780" s="2"/>
      <c r="H780" s="2"/>
      <c r="I780" s="2"/>
      <c r="J780" s="2"/>
      <c r="K780" s="2"/>
    </row>
    <row r="781" spans="1:11" ht="15.75" customHeight="1">
      <c r="A781" s="2"/>
      <c r="B781" s="2"/>
      <c r="C781" s="2"/>
      <c r="D781" s="2"/>
      <c r="E781" s="2"/>
      <c r="F781" s="2"/>
      <c r="G781" s="2"/>
      <c r="H781" s="2"/>
      <c r="I781" s="2"/>
      <c r="J781" s="2"/>
      <c r="K781" s="2"/>
    </row>
    <row r="782" spans="1:11" ht="15.75" customHeight="1">
      <c r="A782" s="2"/>
      <c r="B782" s="2"/>
      <c r="C782" s="2"/>
      <c r="D782" s="2"/>
      <c r="E782" s="2"/>
      <c r="F782" s="2"/>
      <c r="G782" s="2"/>
      <c r="H782" s="2"/>
      <c r="I782" s="2"/>
      <c r="J782" s="2"/>
      <c r="K782" s="2"/>
    </row>
    <row r="783" spans="1:11" ht="15.75" customHeight="1">
      <c r="A783" s="2"/>
      <c r="B783" s="2"/>
      <c r="C783" s="2"/>
      <c r="D783" s="2"/>
      <c r="E783" s="2"/>
      <c r="F783" s="2"/>
      <c r="G783" s="2"/>
      <c r="H783" s="2"/>
      <c r="I783" s="2"/>
      <c r="J783" s="2"/>
      <c r="K783" s="2"/>
    </row>
    <row r="784" spans="1:11" ht="15.75" customHeight="1">
      <c r="A784" s="2"/>
      <c r="B784" s="2"/>
      <c r="C784" s="2"/>
      <c r="D784" s="2"/>
      <c r="E784" s="2"/>
      <c r="F784" s="2"/>
      <c r="G784" s="2"/>
      <c r="H784" s="2"/>
      <c r="I784" s="2"/>
      <c r="J784" s="2"/>
      <c r="K784" s="2"/>
    </row>
    <row r="785" spans="1:11" ht="15.75" customHeight="1">
      <c r="A785" s="2"/>
      <c r="B785" s="2"/>
      <c r="C785" s="2"/>
      <c r="D785" s="2"/>
      <c r="E785" s="2"/>
      <c r="F785" s="2"/>
      <c r="G785" s="2"/>
      <c r="H785" s="2"/>
      <c r="I785" s="2"/>
      <c r="J785" s="2"/>
      <c r="K785" s="2"/>
    </row>
    <row r="786" spans="1:11" ht="15.75" customHeight="1">
      <c r="A786" s="2"/>
      <c r="B786" s="2"/>
      <c r="C786" s="2"/>
      <c r="D786" s="2"/>
      <c r="E786" s="2"/>
      <c r="F786" s="2"/>
      <c r="G786" s="2"/>
      <c r="H786" s="2"/>
      <c r="I786" s="2"/>
      <c r="J786" s="2"/>
      <c r="K786" s="2"/>
    </row>
    <row r="787" spans="1:11" ht="15.75" customHeight="1">
      <c r="A787" s="2"/>
      <c r="B787" s="2"/>
      <c r="C787" s="2"/>
      <c r="D787" s="2"/>
      <c r="E787" s="2"/>
      <c r="F787" s="2"/>
      <c r="G787" s="2"/>
      <c r="H787" s="2"/>
      <c r="I787" s="2"/>
      <c r="J787" s="2"/>
      <c r="K787" s="2"/>
    </row>
    <row r="788" spans="1:11" ht="15.75" customHeight="1">
      <c r="A788" s="2"/>
      <c r="B788" s="2"/>
      <c r="C788" s="2"/>
      <c r="D788" s="2"/>
      <c r="E788" s="2"/>
      <c r="F788" s="2"/>
      <c r="G788" s="2"/>
      <c r="H788" s="2"/>
      <c r="I788" s="2"/>
      <c r="J788" s="2"/>
      <c r="K788" s="2"/>
    </row>
    <row r="789" spans="1:11" ht="15.75" customHeight="1">
      <c r="A789" s="2"/>
      <c r="B789" s="2"/>
      <c r="C789" s="2"/>
      <c r="D789" s="2"/>
      <c r="E789" s="2"/>
      <c r="F789" s="2"/>
      <c r="G789" s="2"/>
      <c r="H789" s="2"/>
      <c r="I789" s="2"/>
      <c r="J789" s="2"/>
      <c r="K789" s="2"/>
    </row>
    <row r="790" spans="1:11" ht="15.75" customHeight="1">
      <c r="A790" s="2"/>
      <c r="B790" s="2"/>
      <c r="C790" s="2"/>
      <c r="D790" s="2"/>
      <c r="E790" s="2"/>
      <c r="F790" s="2"/>
      <c r="G790" s="2"/>
      <c r="H790" s="2"/>
      <c r="I790" s="2"/>
      <c r="J790" s="2"/>
      <c r="K790" s="2"/>
    </row>
    <row r="791" spans="1:11" ht="15.75" customHeight="1">
      <c r="A791" s="2"/>
      <c r="B791" s="2"/>
      <c r="C791" s="2"/>
      <c r="D791" s="2"/>
      <c r="E791" s="2"/>
      <c r="F791" s="2"/>
      <c r="G791" s="2"/>
      <c r="H791" s="2"/>
      <c r="I791" s="2"/>
      <c r="J791" s="2"/>
      <c r="K791" s="2"/>
    </row>
    <row r="792" spans="1:11" ht="15.75" customHeight="1">
      <c r="A792" s="2"/>
      <c r="B792" s="2"/>
      <c r="C792" s="2"/>
      <c r="D792" s="2"/>
      <c r="E792" s="2"/>
      <c r="F792" s="2"/>
      <c r="G792" s="2"/>
      <c r="H792" s="2"/>
      <c r="I792" s="2"/>
      <c r="J792" s="2"/>
      <c r="K792" s="2"/>
    </row>
    <row r="793" spans="1:11" ht="15.75" customHeight="1">
      <c r="A793" s="2"/>
      <c r="B793" s="2"/>
      <c r="C793" s="2"/>
      <c r="D793" s="2"/>
      <c r="E793" s="2"/>
      <c r="F793" s="2"/>
      <c r="G793" s="2"/>
      <c r="H793" s="2"/>
      <c r="I793" s="2"/>
      <c r="J793" s="2"/>
      <c r="K793" s="2"/>
    </row>
    <row r="794" spans="1:11" ht="15.75" customHeight="1">
      <c r="A794" s="2"/>
      <c r="B794" s="2"/>
      <c r="C794" s="2"/>
      <c r="D794" s="2"/>
      <c r="E794" s="2"/>
      <c r="F794" s="2"/>
      <c r="G794" s="2"/>
      <c r="H794" s="2"/>
      <c r="I794" s="2"/>
      <c r="J794" s="2"/>
      <c r="K794" s="2"/>
    </row>
    <row r="795" spans="1:11" ht="15.75" customHeight="1">
      <c r="A795" s="2"/>
      <c r="B795" s="2"/>
      <c r="C795" s="2"/>
      <c r="D795" s="2"/>
      <c r="E795" s="2"/>
      <c r="F795" s="2"/>
      <c r="G795" s="2"/>
      <c r="H795" s="2"/>
      <c r="I795" s="2"/>
      <c r="J795" s="2"/>
      <c r="K795" s="2"/>
    </row>
    <row r="796" spans="1:11" ht="15.75" customHeight="1">
      <c r="A796" s="2"/>
      <c r="B796" s="2"/>
      <c r="C796" s="2"/>
      <c r="D796" s="2"/>
      <c r="E796" s="2"/>
      <c r="F796" s="2"/>
      <c r="G796" s="2"/>
      <c r="H796" s="2"/>
      <c r="I796" s="2"/>
      <c r="J796" s="2"/>
      <c r="K796" s="2"/>
    </row>
    <row r="797" spans="1:11" ht="15.75" customHeight="1">
      <c r="A797" s="2"/>
      <c r="B797" s="2"/>
      <c r="C797" s="2"/>
      <c r="D797" s="2"/>
      <c r="E797" s="2"/>
      <c r="F797" s="2"/>
      <c r="G797" s="2"/>
      <c r="H797" s="2"/>
      <c r="I797" s="2"/>
      <c r="J797" s="2"/>
      <c r="K797" s="2"/>
    </row>
    <row r="798" spans="1:11" ht="15.75" customHeight="1">
      <c r="A798" s="2"/>
      <c r="B798" s="2"/>
      <c r="C798" s="2"/>
      <c r="D798" s="2"/>
      <c r="E798" s="2"/>
      <c r="F798" s="2"/>
      <c r="G798" s="2"/>
      <c r="H798" s="2"/>
      <c r="I798" s="2"/>
      <c r="J798" s="2"/>
      <c r="K798" s="2"/>
    </row>
    <row r="799" spans="1:11" ht="15.75" customHeight="1">
      <c r="A799" s="2"/>
      <c r="B799" s="2"/>
      <c r="C799" s="2"/>
      <c r="D799" s="2"/>
      <c r="E799" s="2"/>
      <c r="F799" s="2"/>
      <c r="G799" s="2"/>
      <c r="H799" s="2"/>
      <c r="I799" s="2"/>
      <c r="J799" s="2"/>
      <c r="K799" s="2"/>
    </row>
    <row r="800" spans="1:11" ht="15.75" customHeight="1">
      <c r="A800" s="2"/>
      <c r="B800" s="2"/>
      <c r="C800" s="2"/>
      <c r="D800" s="2"/>
      <c r="E800" s="2"/>
      <c r="F800" s="2"/>
      <c r="G800" s="2"/>
      <c r="H800" s="2"/>
      <c r="I800" s="2"/>
      <c r="J800" s="2"/>
      <c r="K800" s="2"/>
    </row>
    <row r="801" spans="1:11" ht="15.75" customHeight="1">
      <c r="A801" s="2"/>
      <c r="B801" s="2"/>
      <c r="C801" s="2"/>
      <c r="D801" s="2"/>
      <c r="E801" s="2"/>
      <c r="F801" s="2"/>
      <c r="G801" s="2"/>
      <c r="H801" s="2"/>
      <c r="I801" s="2"/>
      <c r="J801" s="2"/>
      <c r="K801" s="2"/>
    </row>
    <row r="802" spans="1:11" ht="15.75" customHeight="1">
      <c r="A802" s="2"/>
      <c r="B802" s="2"/>
      <c r="C802" s="2"/>
      <c r="D802" s="2"/>
      <c r="E802" s="2"/>
      <c r="F802" s="2"/>
      <c r="G802" s="2"/>
      <c r="H802" s="2"/>
      <c r="I802" s="2"/>
      <c r="J802" s="2"/>
      <c r="K802" s="2"/>
    </row>
    <row r="803" spans="1:11" ht="15.75" customHeight="1">
      <c r="A803" s="2"/>
      <c r="B803" s="2"/>
      <c r="C803" s="2"/>
      <c r="D803" s="2"/>
      <c r="E803" s="2"/>
      <c r="F803" s="2"/>
      <c r="G803" s="2"/>
      <c r="H803" s="2"/>
      <c r="I803" s="2"/>
      <c r="J803" s="2"/>
      <c r="K803" s="2"/>
    </row>
    <row r="804" spans="1:11" ht="15.75" customHeight="1">
      <c r="A804" s="2"/>
      <c r="B804" s="2"/>
      <c r="C804" s="2"/>
      <c r="D804" s="2"/>
      <c r="E804" s="2"/>
      <c r="F804" s="2"/>
      <c r="G804" s="2"/>
      <c r="H804" s="2"/>
      <c r="I804" s="2"/>
      <c r="J804" s="2"/>
      <c r="K804" s="2"/>
    </row>
    <row r="805" spans="1:11" ht="15.75" customHeight="1">
      <c r="A805" s="2"/>
      <c r="B805" s="2"/>
      <c r="C805" s="2"/>
      <c r="D805" s="2"/>
      <c r="E805" s="2"/>
      <c r="F805" s="2"/>
      <c r="G805" s="2"/>
      <c r="H805" s="2"/>
      <c r="I805" s="2"/>
      <c r="J805" s="2"/>
      <c r="K805" s="2"/>
    </row>
    <row r="806" spans="1:11" ht="15.75" customHeight="1">
      <c r="A806" s="2"/>
      <c r="B806" s="2"/>
      <c r="C806" s="2"/>
      <c r="D806" s="2"/>
      <c r="E806" s="2"/>
      <c r="F806" s="2"/>
      <c r="G806" s="2"/>
      <c r="H806" s="2"/>
      <c r="I806" s="2"/>
      <c r="J806" s="2"/>
      <c r="K806" s="2"/>
    </row>
    <row r="807" spans="1:11" ht="15.75" customHeight="1">
      <c r="A807" s="2"/>
      <c r="B807" s="2"/>
      <c r="C807" s="2"/>
      <c r="D807" s="2"/>
      <c r="E807" s="2"/>
      <c r="F807" s="2"/>
      <c r="G807" s="2"/>
      <c r="H807" s="2"/>
      <c r="I807" s="2"/>
      <c r="J807" s="2"/>
      <c r="K807" s="2"/>
    </row>
    <row r="808" spans="1:11" ht="15.75" customHeight="1">
      <c r="A808" s="2"/>
      <c r="B808" s="2"/>
      <c r="C808" s="2"/>
      <c r="D808" s="2"/>
      <c r="E808" s="2"/>
      <c r="F808" s="2"/>
      <c r="G808" s="2"/>
      <c r="H808" s="2"/>
      <c r="I808" s="2"/>
      <c r="J808" s="2"/>
      <c r="K808" s="2"/>
    </row>
    <row r="809" spans="1:11" ht="15.75" customHeight="1">
      <c r="A809" s="2"/>
      <c r="B809" s="2"/>
      <c r="C809" s="2"/>
      <c r="D809" s="2"/>
      <c r="E809" s="2"/>
      <c r="F809" s="2"/>
      <c r="G809" s="2"/>
      <c r="H809" s="2"/>
      <c r="I809" s="2"/>
      <c r="J809" s="2"/>
      <c r="K809" s="2"/>
    </row>
    <row r="810" spans="1:11" ht="15.75" customHeight="1">
      <c r="A810" s="2"/>
      <c r="B810" s="2"/>
      <c r="C810" s="2"/>
      <c r="D810" s="2"/>
      <c r="E810" s="2"/>
      <c r="F810" s="2"/>
      <c r="G810" s="2"/>
      <c r="H810" s="2"/>
      <c r="I810" s="2"/>
      <c r="J810" s="2"/>
      <c r="K810" s="2"/>
    </row>
    <row r="811" spans="1:11" ht="15.75" customHeight="1">
      <c r="A811" s="2"/>
      <c r="B811" s="2"/>
      <c r="C811" s="2"/>
      <c r="D811" s="2"/>
      <c r="E811" s="2"/>
      <c r="F811" s="2"/>
      <c r="G811" s="2"/>
      <c r="H811" s="2"/>
      <c r="I811" s="2"/>
      <c r="J811" s="2"/>
      <c r="K811" s="2"/>
    </row>
    <row r="812" spans="1:11" ht="15.75" customHeight="1">
      <c r="A812" s="2"/>
      <c r="B812" s="2"/>
      <c r="C812" s="2"/>
      <c r="D812" s="2"/>
      <c r="E812" s="2"/>
      <c r="F812" s="2"/>
      <c r="G812" s="2"/>
      <c r="H812" s="2"/>
      <c r="I812" s="2"/>
      <c r="J812" s="2"/>
      <c r="K812" s="2"/>
    </row>
    <row r="813" spans="1:11" ht="15.75" customHeight="1">
      <c r="A813" s="2"/>
      <c r="B813" s="2"/>
      <c r="C813" s="2"/>
      <c r="D813" s="2"/>
      <c r="E813" s="2"/>
      <c r="F813" s="2"/>
      <c r="G813" s="2"/>
      <c r="H813" s="2"/>
      <c r="I813" s="2"/>
      <c r="J813" s="2"/>
      <c r="K813" s="2"/>
    </row>
    <row r="814" spans="1:11" ht="15.75" customHeight="1">
      <c r="A814" s="2"/>
      <c r="B814" s="2"/>
      <c r="C814" s="2"/>
      <c r="D814" s="2"/>
      <c r="E814" s="2"/>
      <c r="F814" s="2"/>
      <c r="G814" s="2"/>
      <c r="H814" s="2"/>
      <c r="I814" s="2"/>
      <c r="J814" s="2"/>
      <c r="K814" s="2"/>
    </row>
    <row r="815" spans="1:11" ht="15.75" customHeight="1">
      <c r="A815" s="2"/>
      <c r="B815" s="2"/>
      <c r="C815" s="2"/>
      <c r="D815" s="2"/>
      <c r="E815" s="2"/>
      <c r="F815" s="2"/>
      <c r="G815" s="2"/>
      <c r="H815" s="2"/>
      <c r="I815" s="2"/>
      <c r="J815" s="2"/>
      <c r="K815" s="2"/>
    </row>
    <row r="816" spans="1:11" ht="15.75" customHeight="1">
      <c r="A816" s="2"/>
      <c r="B816" s="2"/>
      <c r="C816" s="2"/>
      <c r="D816" s="2"/>
      <c r="E816" s="2"/>
      <c r="F816" s="2"/>
      <c r="G816" s="2"/>
      <c r="H816" s="2"/>
      <c r="I816" s="2"/>
      <c r="J816" s="2"/>
      <c r="K816" s="2"/>
    </row>
    <row r="817" spans="1:11" ht="15.75" customHeight="1">
      <c r="A817" s="2"/>
      <c r="B817" s="2"/>
      <c r="C817" s="2"/>
      <c r="D817" s="2"/>
      <c r="E817" s="2"/>
      <c r="F817" s="2"/>
      <c r="G817" s="2"/>
      <c r="H817" s="2"/>
      <c r="I817" s="2"/>
      <c r="J817" s="2"/>
      <c r="K817" s="2"/>
    </row>
    <row r="818" spans="1:11" ht="15.75" customHeight="1">
      <c r="A818" s="2"/>
      <c r="B818" s="2"/>
      <c r="C818" s="2"/>
      <c r="D818" s="2"/>
      <c r="E818" s="2"/>
      <c r="F818" s="2"/>
      <c r="G818" s="2"/>
      <c r="H818" s="2"/>
      <c r="I818" s="2"/>
      <c r="J818" s="2"/>
      <c r="K818" s="2"/>
    </row>
    <row r="819" spans="1:11" ht="15.75" customHeight="1">
      <c r="A819" s="2"/>
      <c r="B819" s="2"/>
      <c r="C819" s="2"/>
      <c r="D819" s="2"/>
      <c r="E819" s="2"/>
      <c r="F819" s="2"/>
      <c r="G819" s="2"/>
      <c r="H819" s="2"/>
      <c r="I819" s="2"/>
      <c r="J819" s="2"/>
      <c r="K819" s="2"/>
    </row>
    <row r="820" spans="1:11" ht="15.75" customHeight="1">
      <c r="A820" s="2"/>
      <c r="B820" s="2"/>
      <c r="C820" s="2"/>
      <c r="D820" s="2"/>
      <c r="E820" s="2"/>
      <c r="F820" s="2"/>
      <c r="G820" s="2"/>
      <c r="H820" s="2"/>
      <c r="I820" s="2"/>
      <c r="J820" s="2"/>
      <c r="K820" s="2"/>
    </row>
    <row r="821" spans="1:11" ht="15.75" customHeight="1">
      <c r="A821" s="2"/>
      <c r="B821" s="2"/>
      <c r="C821" s="2"/>
      <c r="D821" s="2"/>
      <c r="E821" s="2"/>
      <c r="F821" s="2"/>
      <c r="G821" s="2"/>
      <c r="H821" s="2"/>
      <c r="I821" s="2"/>
      <c r="J821" s="2"/>
      <c r="K821" s="2"/>
    </row>
    <row r="822" spans="1:11" ht="15.75" customHeight="1">
      <c r="A822" s="2"/>
      <c r="B822" s="2"/>
      <c r="C822" s="2"/>
      <c r="D822" s="2"/>
      <c r="E822" s="2"/>
      <c r="F822" s="2"/>
      <c r="G822" s="2"/>
      <c r="H822" s="2"/>
      <c r="I822" s="2"/>
      <c r="J822" s="2"/>
      <c r="K822" s="2"/>
    </row>
    <row r="823" spans="1:11" ht="15.75" customHeight="1">
      <c r="A823" s="2"/>
      <c r="B823" s="2"/>
      <c r="C823" s="2"/>
      <c r="D823" s="2"/>
      <c r="E823" s="2"/>
      <c r="F823" s="2"/>
      <c r="G823" s="2"/>
      <c r="H823" s="2"/>
      <c r="I823" s="2"/>
      <c r="J823" s="2"/>
      <c r="K823" s="2"/>
    </row>
    <row r="824" spans="1:11" ht="15.75" customHeight="1">
      <c r="A824" s="2"/>
      <c r="B824" s="2"/>
      <c r="C824" s="2"/>
      <c r="D824" s="2"/>
      <c r="E824" s="2"/>
      <c r="F824" s="2"/>
      <c r="G824" s="2"/>
      <c r="H824" s="2"/>
      <c r="I824" s="2"/>
      <c r="J824" s="2"/>
      <c r="K824" s="2"/>
    </row>
    <row r="825" spans="1:11" ht="15.75" customHeight="1">
      <c r="A825" s="2"/>
      <c r="B825" s="2"/>
      <c r="C825" s="2"/>
      <c r="D825" s="2"/>
      <c r="E825" s="2"/>
      <c r="F825" s="2"/>
      <c r="G825" s="2"/>
      <c r="H825" s="2"/>
      <c r="I825" s="2"/>
      <c r="J825" s="2"/>
      <c r="K825" s="2"/>
    </row>
    <row r="826" spans="1:11" ht="15.75" customHeight="1">
      <c r="A826" s="2"/>
      <c r="B826" s="2"/>
      <c r="C826" s="2"/>
      <c r="D826" s="2"/>
      <c r="E826" s="2"/>
      <c r="F826" s="2"/>
      <c r="G826" s="2"/>
      <c r="H826" s="2"/>
      <c r="I826" s="2"/>
      <c r="J826" s="2"/>
      <c r="K826" s="2"/>
    </row>
    <row r="827" spans="1:11" ht="15.75" customHeight="1">
      <c r="A827" s="2"/>
      <c r="B827" s="2"/>
      <c r="C827" s="2"/>
      <c r="D827" s="2"/>
      <c r="E827" s="2"/>
      <c r="F827" s="2"/>
      <c r="G827" s="2"/>
      <c r="H827" s="2"/>
      <c r="I827" s="2"/>
      <c r="J827" s="2"/>
      <c r="K827" s="2"/>
    </row>
    <row r="828" spans="1:11" ht="15.75" customHeight="1">
      <c r="A828" s="2"/>
      <c r="B828" s="2"/>
      <c r="C828" s="2"/>
      <c r="D828" s="2"/>
      <c r="E828" s="2"/>
      <c r="F828" s="2"/>
      <c r="G828" s="2"/>
      <c r="H828" s="2"/>
      <c r="I828" s="2"/>
      <c r="J828" s="2"/>
      <c r="K828" s="2"/>
    </row>
    <row r="829" spans="1:11" ht="15.75" customHeight="1">
      <c r="A829" s="2"/>
      <c r="B829" s="2"/>
      <c r="C829" s="2"/>
      <c r="D829" s="2"/>
      <c r="E829" s="2"/>
      <c r="F829" s="2"/>
      <c r="G829" s="2"/>
      <c r="H829" s="2"/>
      <c r="I829" s="2"/>
      <c r="J829" s="2"/>
      <c r="K829" s="2"/>
    </row>
    <row r="830" spans="1:11" ht="15.75" customHeight="1">
      <c r="A830" s="2"/>
      <c r="B830" s="2"/>
      <c r="C830" s="2"/>
      <c r="D830" s="2"/>
      <c r="E830" s="2"/>
      <c r="F830" s="2"/>
      <c r="G830" s="2"/>
      <c r="H830" s="2"/>
      <c r="I830" s="2"/>
      <c r="J830" s="2"/>
      <c r="K830" s="2"/>
    </row>
    <row r="831" spans="1:11" ht="15.75" customHeight="1">
      <c r="A831" s="2"/>
      <c r="B831" s="2"/>
      <c r="C831" s="2"/>
      <c r="D831" s="2"/>
      <c r="E831" s="2"/>
      <c r="F831" s="2"/>
      <c r="G831" s="2"/>
      <c r="H831" s="2"/>
      <c r="I831" s="2"/>
      <c r="J831" s="2"/>
      <c r="K831" s="2"/>
    </row>
    <row r="832" spans="1:11" ht="15.75" customHeight="1">
      <c r="A832" s="2"/>
      <c r="B832" s="2"/>
      <c r="C832" s="2"/>
      <c r="D832" s="2"/>
      <c r="E832" s="2"/>
      <c r="F832" s="2"/>
      <c r="G832" s="2"/>
      <c r="H832" s="2"/>
      <c r="I832" s="2"/>
      <c r="J832" s="2"/>
      <c r="K832" s="2"/>
    </row>
    <row r="833" spans="1:11" ht="15.75" customHeight="1">
      <c r="A833" s="2"/>
      <c r="B833" s="2"/>
      <c r="C833" s="2"/>
      <c r="D833" s="2"/>
      <c r="E833" s="2"/>
      <c r="F833" s="2"/>
      <c r="G833" s="2"/>
      <c r="H833" s="2"/>
      <c r="I833" s="2"/>
      <c r="J833" s="2"/>
      <c r="K833" s="2"/>
    </row>
    <row r="834" spans="1:11" ht="15.75" customHeight="1">
      <c r="A834" s="2"/>
      <c r="B834" s="2"/>
      <c r="C834" s="2"/>
      <c r="D834" s="2"/>
      <c r="E834" s="2"/>
      <c r="F834" s="2"/>
      <c r="G834" s="2"/>
      <c r="H834" s="2"/>
      <c r="I834" s="2"/>
      <c r="J834" s="2"/>
      <c r="K834" s="2"/>
    </row>
    <row r="835" spans="1:11" ht="15.75" customHeight="1">
      <c r="A835" s="2"/>
      <c r="B835" s="2"/>
      <c r="C835" s="2"/>
      <c r="D835" s="2"/>
      <c r="E835" s="2"/>
      <c r="F835" s="2"/>
      <c r="G835" s="2"/>
      <c r="H835" s="2"/>
      <c r="I835" s="2"/>
      <c r="J835" s="2"/>
      <c r="K835" s="2"/>
    </row>
    <row r="836" spans="1:11" ht="15.75" customHeight="1">
      <c r="A836" s="2"/>
      <c r="B836" s="2"/>
      <c r="C836" s="2"/>
      <c r="D836" s="2"/>
      <c r="E836" s="2"/>
      <c r="F836" s="2"/>
      <c r="G836" s="2"/>
      <c r="H836" s="2"/>
      <c r="I836" s="2"/>
      <c r="J836" s="2"/>
      <c r="K836" s="2"/>
    </row>
    <row r="837" spans="1:11" ht="15.75" customHeight="1">
      <c r="A837" s="2"/>
      <c r="B837" s="2"/>
      <c r="C837" s="2"/>
      <c r="D837" s="2"/>
      <c r="E837" s="2"/>
      <c r="F837" s="2"/>
      <c r="G837" s="2"/>
      <c r="H837" s="2"/>
      <c r="I837" s="2"/>
      <c r="J837" s="2"/>
      <c r="K837" s="2"/>
    </row>
    <row r="838" spans="1:11" ht="15.75" customHeight="1">
      <c r="A838" s="2"/>
      <c r="B838" s="2"/>
      <c r="C838" s="2"/>
      <c r="D838" s="2"/>
      <c r="E838" s="2"/>
      <c r="F838" s="2"/>
      <c r="G838" s="2"/>
      <c r="H838" s="2"/>
      <c r="I838" s="2"/>
      <c r="J838" s="2"/>
      <c r="K838" s="2"/>
    </row>
    <row r="839" spans="1:11" ht="15.75" customHeight="1">
      <c r="A839" s="2"/>
      <c r="B839" s="2"/>
      <c r="C839" s="2"/>
      <c r="D839" s="2"/>
      <c r="E839" s="2"/>
      <c r="F839" s="2"/>
      <c r="G839" s="2"/>
      <c r="H839" s="2"/>
      <c r="I839" s="2"/>
      <c r="J839" s="2"/>
      <c r="K839" s="2"/>
    </row>
    <row r="840" spans="1:11" ht="15.75" customHeight="1">
      <c r="A840" s="2"/>
      <c r="B840" s="2"/>
      <c r="C840" s="2"/>
      <c r="D840" s="2"/>
      <c r="E840" s="2"/>
      <c r="F840" s="2"/>
      <c r="G840" s="2"/>
      <c r="H840" s="2"/>
      <c r="I840" s="2"/>
      <c r="J840" s="2"/>
      <c r="K840" s="2"/>
    </row>
    <row r="841" spans="1:11" ht="15.75" customHeight="1">
      <c r="A841" s="2"/>
      <c r="B841" s="2"/>
      <c r="C841" s="2"/>
      <c r="D841" s="2"/>
      <c r="E841" s="2"/>
      <c r="F841" s="2"/>
      <c r="G841" s="2"/>
      <c r="H841" s="2"/>
      <c r="I841" s="2"/>
      <c r="J841" s="2"/>
      <c r="K841" s="2"/>
    </row>
    <row r="842" spans="1:11" ht="15.75" customHeight="1">
      <c r="A842" s="2"/>
      <c r="B842" s="2"/>
      <c r="C842" s="2"/>
      <c r="D842" s="2"/>
      <c r="E842" s="2"/>
      <c r="F842" s="2"/>
      <c r="G842" s="2"/>
      <c r="H842" s="2"/>
      <c r="I842" s="2"/>
      <c r="J842" s="2"/>
      <c r="K842" s="2"/>
    </row>
    <row r="843" spans="1:11" ht="15.75" customHeight="1">
      <c r="A843" s="2"/>
      <c r="B843" s="2"/>
      <c r="C843" s="2"/>
      <c r="D843" s="2"/>
      <c r="E843" s="2"/>
      <c r="F843" s="2"/>
      <c r="G843" s="2"/>
      <c r="H843" s="2"/>
      <c r="I843" s="2"/>
      <c r="J843" s="2"/>
      <c r="K843" s="2"/>
    </row>
    <row r="844" spans="1:11" ht="15.75" customHeight="1">
      <c r="A844" s="2"/>
      <c r="B844" s="2"/>
      <c r="C844" s="2"/>
      <c r="D844" s="2"/>
      <c r="E844" s="2"/>
      <c r="F844" s="2"/>
      <c r="G844" s="2"/>
      <c r="H844" s="2"/>
      <c r="I844" s="2"/>
      <c r="J844" s="2"/>
      <c r="K844" s="2"/>
    </row>
    <row r="845" spans="1:11" ht="15.75" customHeight="1">
      <c r="A845" s="2"/>
      <c r="B845" s="2"/>
      <c r="C845" s="2"/>
      <c r="D845" s="2"/>
      <c r="E845" s="2"/>
      <c r="F845" s="2"/>
      <c r="G845" s="2"/>
      <c r="H845" s="2"/>
      <c r="I845" s="2"/>
      <c r="J845" s="2"/>
      <c r="K845" s="2"/>
    </row>
    <row r="846" spans="1:11" ht="15.75" customHeight="1">
      <c r="A846" s="2"/>
      <c r="B846" s="2"/>
      <c r="C846" s="2"/>
      <c r="D846" s="2"/>
      <c r="E846" s="2"/>
      <c r="F846" s="2"/>
      <c r="G846" s="2"/>
      <c r="H846" s="2"/>
      <c r="I846" s="2"/>
      <c r="J846" s="2"/>
      <c r="K846" s="2"/>
    </row>
    <row r="847" spans="1:11" ht="15.75" customHeight="1">
      <c r="A847" s="2"/>
      <c r="B847" s="2"/>
      <c r="C847" s="2"/>
      <c r="D847" s="2"/>
      <c r="E847" s="2"/>
      <c r="F847" s="2"/>
      <c r="G847" s="2"/>
      <c r="H847" s="2"/>
      <c r="I847" s="2"/>
      <c r="J847" s="2"/>
      <c r="K847" s="2"/>
    </row>
    <row r="848" spans="1:11" ht="15.75" customHeight="1">
      <c r="A848" s="2"/>
      <c r="B848" s="2"/>
      <c r="C848" s="2"/>
      <c r="D848" s="2"/>
      <c r="E848" s="2"/>
      <c r="F848" s="2"/>
      <c r="G848" s="2"/>
      <c r="H848" s="2"/>
      <c r="I848" s="2"/>
      <c r="J848" s="2"/>
      <c r="K848" s="2"/>
    </row>
    <row r="849" spans="1:11" ht="15.75" customHeight="1">
      <c r="A849" s="2"/>
      <c r="B849" s="2"/>
      <c r="C849" s="2"/>
      <c r="D849" s="2"/>
      <c r="E849" s="2"/>
      <c r="F849" s="2"/>
      <c r="G849" s="2"/>
      <c r="H849" s="2"/>
      <c r="I849" s="2"/>
      <c r="J849" s="2"/>
      <c r="K849" s="2"/>
    </row>
    <row r="850" spans="1:11" ht="15.75" customHeight="1">
      <c r="A850" s="2"/>
      <c r="B850" s="2"/>
      <c r="C850" s="2"/>
      <c r="D850" s="2"/>
      <c r="E850" s="2"/>
      <c r="F850" s="2"/>
      <c r="G850" s="2"/>
      <c r="H850" s="2"/>
      <c r="I850" s="2"/>
      <c r="J850" s="2"/>
      <c r="K850" s="2"/>
    </row>
    <row r="851" spans="1:11" ht="15.75" customHeight="1">
      <c r="A851" s="2"/>
      <c r="B851" s="2"/>
      <c r="C851" s="2"/>
      <c r="D851" s="2"/>
      <c r="E851" s="2"/>
      <c r="F851" s="2"/>
      <c r="G851" s="2"/>
      <c r="H851" s="2"/>
      <c r="I851" s="2"/>
      <c r="J851" s="2"/>
      <c r="K851" s="2"/>
    </row>
    <row r="852" spans="1:11" ht="15.75" customHeight="1">
      <c r="A852" s="2"/>
      <c r="B852" s="2"/>
      <c r="C852" s="2"/>
      <c r="D852" s="2"/>
      <c r="E852" s="2"/>
      <c r="F852" s="2"/>
      <c r="G852" s="2"/>
      <c r="H852" s="2"/>
      <c r="I852" s="2"/>
      <c r="J852" s="2"/>
      <c r="K852" s="2"/>
    </row>
    <row r="853" spans="1:11" ht="15.75" customHeight="1">
      <c r="A853" s="2"/>
      <c r="B853" s="2"/>
      <c r="C853" s="2"/>
      <c r="D853" s="2"/>
      <c r="E853" s="2"/>
      <c r="F853" s="2"/>
      <c r="G853" s="2"/>
      <c r="H853" s="2"/>
      <c r="I853" s="2"/>
      <c r="J853" s="2"/>
      <c r="K853" s="2"/>
    </row>
    <row r="854" spans="1:11" ht="15.75" customHeight="1">
      <c r="A854" s="2"/>
      <c r="B854" s="2"/>
      <c r="C854" s="2"/>
      <c r="D854" s="2"/>
      <c r="E854" s="2"/>
      <c r="F854" s="2"/>
      <c r="G854" s="2"/>
      <c r="H854" s="2"/>
      <c r="I854" s="2"/>
      <c r="J854" s="2"/>
      <c r="K854" s="2"/>
    </row>
    <row r="855" spans="1:11" ht="15.75" customHeight="1">
      <c r="A855" s="2"/>
      <c r="B855" s="2"/>
      <c r="C855" s="2"/>
      <c r="D855" s="2"/>
      <c r="E855" s="2"/>
      <c r="F855" s="2"/>
      <c r="G855" s="2"/>
      <c r="H855" s="2"/>
      <c r="I855" s="2"/>
      <c r="J855" s="2"/>
      <c r="K855" s="2"/>
    </row>
    <row r="856" spans="1:11" ht="15.75" customHeight="1">
      <c r="A856" s="2"/>
      <c r="B856" s="2"/>
      <c r="C856" s="2"/>
      <c r="D856" s="2"/>
      <c r="E856" s="2"/>
      <c r="F856" s="2"/>
      <c r="G856" s="2"/>
      <c r="H856" s="2"/>
      <c r="I856" s="2"/>
      <c r="J856" s="2"/>
      <c r="K856" s="2"/>
    </row>
    <row r="857" spans="1:11" ht="15.75" customHeight="1">
      <c r="A857" s="2"/>
      <c r="B857" s="2"/>
      <c r="C857" s="2"/>
      <c r="D857" s="2"/>
      <c r="E857" s="2"/>
      <c r="F857" s="2"/>
      <c r="G857" s="2"/>
      <c r="H857" s="2"/>
      <c r="I857" s="2"/>
      <c r="J857" s="2"/>
      <c r="K857" s="2"/>
    </row>
    <row r="858" spans="1:11" ht="15.75" customHeight="1">
      <c r="A858" s="2"/>
      <c r="B858" s="2"/>
      <c r="C858" s="2"/>
      <c r="D858" s="2"/>
      <c r="E858" s="2"/>
      <c r="F858" s="2"/>
      <c r="G858" s="2"/>
      <c r="H858" s="2"/>
      <c r="I858" s="2"/>
      <c r="J858" s="2"/>
      <c r="K858" s="2"/>
    </row>
    <row r="859" spans="1:11" ht="15.75" customHeight="1">
      <c r="A859" s="2"/>
      <c r="B859" s="2"/>
      <c r="C859" s="2"/>
      <c r="D859" s="2"/>
      <c r="E859" s="2"/>
      <c r="F859" s="2"/>
      <c r="G859" s="2"/>
      <c r="H859" s="2"/>
      <c r="I859" s="2"/>
      <c r="J859" s="2"/>
      <c r="K859" s="2"/>
    </row>
    <row r="860" spans="1:11" ht="15.75" customHeight="1">
      <c r="A860" s="2"/>
      <c r="B860" s="2"/>
      <c r="C860" s="2"/>
      <c r="D860" s="2"/>
      <c r="E860" s="2"/>
      <c r="F860" s="2"/>
      <c r="G860" s="2"/>
      <c r="H860" s="2"/>
      <c r="I860" s="2"/>
      <c r="J860" s="2"/>
      <c r="K860" s="2"/>
    </row>
    <row r="861" spans="1:11" ht="15.75" customHeight="1">
      <c r="A861" s="2"/>
      <c r="B861" s="2"/>
      <c r="C861" s="2"/>
      <c r="D861" s="2"/>
      <c r="E861" s="2"/>
      <c r="F861" s="2"/>
      <c r="G861" s="2"/>
      <c r="H861" s="2"/>
      <c r="I861" s="2"/>
      <c r="J861" s="2"/>
      <c r="K861" s="2"/>
    </row>
    <row r="862" spans="1:11" ht="15.75" customHeight="1">
      <c r="A862" s="2"/>
      <c r="B862" s="2"/>
      <c r="C862" s="2"/>
      <c r="D862" s="2"/>
      <c r="E862" s="2"/>
      <c r="F862" s="2"/>
      <c r="G862" s="2"/>
      <c r="H862" s="2"/>
      <c r="I862" s="2"/>
      <c r="J862" s="2"/>
      <c r="K862" s="2"/>
    </row>
    <row r="863" spans="1:11" ht="15.75" customHeight="1">
      <c r="A863" s="2"/>
      <c r="B863" s="2"/>
      <c r="C863" s="2"/>
      <c r="D863" s="2"/>
      <c r="E863" s="2"/>
      <c r="F863" s="2"/>
      <c r="G863" s="2"/>
      <c r="H863" s="2"/>
      <c r="I863" s="2"/>
      <c r="J863" s="2"/>
      <c r="K863" s="2"/>
    </row>
    <row r="864" spans="1:11" ht="15.75" customHeight="1">
      <c r="A864" s="2"/>
      <c r="B864" s="2"/>
      <c r="C864" s="2"/>
      <c r="D864" s="2"/>
      <c r="E864" s="2"/>
      <c r="F864" s="2"/>
      <c r="G864" s="2"/>
      <c r="H864" s="2"/>
      <c r="I864" s="2"/>
      <c r="J864" s="2"/>
      <c r="K864" s="2"/>
    </row>
    <row r="865" spans="1:11" ht="15.75" customHeight="1">
      <c r="A865" s="2"/>
      <c r="B865" s="2"/>
      <c r="C865" s="2"/>
      <c r="D865" s="2"/>
      <c r="E865" s="2"/>
      <c r="F865" s="2"/>
      <c r="G865" s="2"/>
      <c r="H865" s="2"/>
      <c r="I865" s="2"/>
      <c r="J865" s="2"/>
      <c r="K865" s="2"/>
    </row>
    <row r="866" spans="1:11" ht="15.75" customHeight="1">
      <c r="A866" s="2"/>
      <c r="B866" s="2"/>
      <c r="C866" s="2"/>
      <c r="D866" s="2"/>
      <c r="E866" s="2"/>
      <c r="F866" s="2"/>
      <c r="G866" s="2"/>
      <c r="H866" s="2"/>
      <c r="I866" s="2"/>
      <c r="J866" s="2"/>
      <c r="K866" s="2"/>
    </row>
    <row r="867" spans="1:11" ht="15.75" customHeight="1">
      <c r="A867" s="2"/>
      <c r="B867" s="2"/>
      <c r="C867" s="2"/>
      <c r="D867" s="2"/>
      <c r="E867" s="2"/>
      <c r="F867" s="2"/>
      <c r="G867" s="2"/>
      <c r="H867" s="2"/>
      <c r="I867" s="2"/>
      <c r="J867" s="2"/>
      <c r="K867" s="2"/>
    </row>
    <row r="868" spans="1:11" ht="15.75" customHeight="1">
      <c r="A868" s="2"/>
      <c r="B868" s="2"/>
      <c r="C868" s="2"/>
      <c r="D868" s="2"/>
      <c r="E868" s="2"/>
      <c r="F868" s="2"/>
      <c r="G868" s="2"/>
      <c r="H868" s="2"/>
      <c r="I868" s="2"/>
      <c r="J868" s="2"/>
      <c r="K868" s="2"/>
    </row>
    <row r="869" spans="1:11" ht="15.75" customHeight="1">
      <c r="A869" s="2"/>
      <c r="B869" s="2"/>
      <c r="C869" s="2"/>
      <c r="D869" s="2"/>
      <c r="E869" s="2"/>
      <c r="F869" s="2"/>
      <c r="G869" s="2"/>
      <c r="H869" s="2"/>
      <c r="I869" s="2"/>
      <c r="J869" s="2"/>
      <c r="K869" s="2"/>
    </row>
    <row r="870" spans="1:11" ht="15.75" customHeight="1">
      <c r="A870" s="2"/>
      <c r="B870" s="2"/>
      <c r="C870" s="2"/>
      <c r="D870" s="2"/>
      <c r="E870" s="2"/>
      <c r="F870" s="2"/>
      <c r="G870" s="2"/>
      <c r="H870" s="2"/>
      <c r="I870" s="2"/>
      <c r="J870" s="2"/>
      <c r="K870" s="2"/>
    </row>
    <row r="871" spans="1:11" ht="15.75" customHeight="1">
      <c r="A871" s="2"/>
      <c r="B871" s="2"/>
      <c r="C871" s="2"/>
      <c r="D871" s="2"/>
      <c r="E871" s="2"/>
      <c r="F871" s="2"/>
      <c r="G871" s="2"/>
      <c r="H871" s="2"/>
      <c r="I871" s="2"/>
      <c r="J871" s="2"/>
      <c r="K871" s="2"/>
    </row>
    <row r="872" spans="1:11" ht="15.75" customHeight="1">
      <c r="A872" s="2"/>
      <c r="B872" s="2"/>
      <c r="C872" s="2"/>
      <c r="D872" s="2"/>
      <c r="E872" s="2"/>
      <c r="F872" s="2"/>
      <c r="G872" s="2"/>
      <c r="H872" s="2"/>
      <c r="I872" s="2"/>
      <c r="J872" s="2"/>
      <c r="K872" s="2"/>
    </row>
    <row r="873" spans="1:11" ht="15.75" customHeight="1">
      <c r="A873" s="2"/>
      <c r="B873" s="2"/>
      <c r="C873" s="2"/>
      <c r="D873" s="2"/>
      <c r="E873" s="2"/>
      <c r="F873" s="2"/>
      <c r="G873" s="2"/>
      <c r="H873" s="2"/>
      <c r="I873" s="2"/>
      <c r="J873" s="2"/>
      <c r="K873" s="2"/>
    </row>
    <row r="874" spans="1:11" ht="15.75" customHeight="1">
      <c r="A874" s="2"/>
      <c r="B874" s="2"/>
      <c r="C874" s="2"/>
      <c r="D874" s="2"/>
      <c r="E874" s="2"/>
      <c r="F874" s="2"/>
      <c r="G874" s="2"/>
      <c r="H874" s="2"/>
      <c r="I874" s="2"/>
      <c r="J874" s="2"/>
      <c r="K874" s="2"/>
    </row>
    <row r="875" spans="1:11" ht="15.75" customHeight="1">
      <c r="A875" s="2"/>
      <c r="B875" s="2"/>
      <c r="C875" s="2"/>
      <c r="D875" s="2"/>
      <c r="E875" s="2"/>
      <c r="F875" s="2"/>
      <c r="G875" s="2"/>
      <c r="H875" s="2"/>
      <c r="I875" s="2"/>
      <c r="J875" s="2"/>
      <c r="K875" s="2"/>
    </row>
    <row r="876" spans="1:11" ht="15.75" customHeight="1">
      <c r="A876" s="2"/>
      <c r="B876" s="2"/>
      <c r="C876" s="2"/>
      <c r="D876" s="2"/>
      <c r="E876" s="2"/>
      <c r="F876" s="2"/>
      <c r="G876" s="2"/>
      <c r="H876" s="2"/>
      <c r="I876" s="2"/>
      <c r="J876" s="2"/>
      <c r="K876" s="2"/>
    </row>
    <row r="877" spans="1:11" ht="15.75" customHeight="1">
      <c r="A877" s="2"/>
      <c r="B877" s="2"/>
      <c r="C877" s="2"/>
      <c r="D877" s="2"/>
      <c r="E877" s="2"/>
      <c r="F877" s="2"/>
      <c r="G877" s="2"/>
      <c r="H877" s="2"/>
      <c r="I877" s="2"/>
      <c r="J877" s="2"/>
      <c r="K877" s="2"/>
    </row>
    <row r="878" spans="1:11" ht="15.75" customHeight="1">
      <c r="A878" s="2"/>
      <c r="B878" s="2"/>
      <c r="C878" s="2"/>
      <c r="D878" s="2"/>
      <c r="E878" s="2"/>
      <c r="F878" s="2"/>
      <c r="G878" s="2"/>
      <c r="H878" s="2"/>
      <c r="I878" s="2"/>
      <c r="J878" s="2"/>
      <c r="K878" s="2"/>
    </row>
    <row r="879" spans="1:11" ht="15.75" customHeight="1">
      <c r="A879" s="2"/>
      <c r="B879" s="2"/>
      <c r="C879" s="2"/>
      <c r="D879" s="2"/>
      <c r="E879" s="2"/>
      <c r="F879" s="2"/>
      <c r="G879" s="2"/>
      <c r="H879" s="2"/>
      <c r="I879" s="2"/>
      <c r="J879" s="2"/>
      <c r="K879" s="2"/>
    </row>
    <row r="880" spans="1:11" ht="15.75" customHeight="1">
      <c r="A880" s="2"/>
      <c r="B880" s="2"/>
      <c r="C880" s="2"/>
      <c r="D880" s="2"/>
      <c r="E880" s="2"/>
      <c r="F880" s="2"/>
      <c r="G880" s="2"/>
      <c r="H880" s="2"/>
      <c r="I880" s="2"/>
      <c r="J880" s="2"/>
      <c r="K880" s="2"/>
    </row>
    <row r="881" spans="1:11" ht="15.75" customHeight="1">
      <c r="A881" s="2"/>
      <c r="B881" s="2"/>
      <c r="C881" s="2"/>
      <c r="D881" s="2"/>
      <c r="E881" s="2"/>
      <c r="F881" s="2"/>
      <c r="G881" s="2"/>
      <c r="H881" s="2"/>
      <c r="I881" s="2"/>
      <c r="J881" s="2"/>
      <c r="K881" s="2"/>
    </row>
    <row r="882" spans="1:11" ht="15.75" customHeight="1">
      <c r="A882" s="2"/>
      <c r="B882" s="2"/>
      <c r="C882" s="2"/>
      <c r="D882" s="2"/>
      <c r="E882" s="2"/>
      <c r="F882" s="2"/>
      <c r="G882" s="2"/>
      <c r="H882" s="2"/>
      <c r="I882" s="2"/>
      <c r="J882" s="2"/>
      <c r="K882" s="2"/>
    </row>
    <row r="883" spans="1:11" ht="15.75" customHeight="1">
      <c r="A883" s="2"/>
      <c r="B883" s="2"/>
      <c r="C883" s="2"/>
      <c r="D883" s="2"/>
      <c r="E883" s="2"/>
      <c r="F883" s="2"/>
      <c r="G883" s="2"/>
      <c r="H883" s="2"/>
      <c r="I883" s="2"/>
      <c r="J883" s="2"/>
      <c r="K883" s="2"/>
    </row>
    <row r="884" spans="1:11" ht="15.75" customHeight="1">
      <c r="A884" s="2"/>
      <c r="B884" s="2"/>
      <c r="C884" s="2"/>
      <c r="D884" s="2"/>
      <c r="E884" s="2"/>
      <c r="F884" s="2"/>
      <c r="G884" s="2"/>
      <c r="H884" s="2"/>
      <c r="I884" s="2"/>
      <c r="J884" s="2"/>
      <c r="K884" s="2"/>
    </row>
    <row r="885" spans="1:11" ht="15.75" customHeight="1">
      <c r="A885" s="2"/>
      <c r="B885" s="2"/>
      <c r="C885" s="2"/>
      <c r="D885" s="2"/>
      <c r="E885" s="2"/>
      <c r="F885" s="2"/>
      <c r="G885" s="2"/>
      <c r="H885" s="2"/>
      <c r="I885" s="2"/>
      <c r="J885" s="2"/>
      <c r="K885" s="2"/>
    </row>
    <row r="886" spans="1:11" ht="15.75" customHeight="1">
      <c r="A886" s="2"/>
      <c r="B886" s="2"/>
      <c r="C886" s="2"/>
      <c r="D886" s="2"/>
      <c r="E886" s="2"/>
      <c r="F886" s="2"/>
      <c r="G886" s="2"/>
      <c r="H886" s="2"/>
      <c r="I886" s="2"/>
      <c r="J886" s="2"/>
      <c r="K886" s="2"/>
    </row>
    <row r="887" spans="1:11" ht="15.75" customHeight="1">
      <c r="A887" s="2"/>
      <c r="B887" s="2"/>
      <c r="C887" s="2"/>
      <c r="D887" s="2"/>
      <c r="E887" s="2"/>
      <c r="F887" s="2"/>
      <c r="G887" s="2"/>
      <c r="H887" s="2"/>
      <c r="I887" s="2"/>
      <c r="J887" s="2"/>
      <c r="K887" s="2"/>
    </row>
    <row r="888" spans="1:11" ht="15.75" customHeight="1">
      <c r="A888" s="2"/>
      <c r="B888" s="2"/>
      <c r="C888" s="2"/>
      <c r="D888" s="2"/>
      <c r="E888" s="2"/>
      <c r="F888" s="2"/>
      <c r="G888" s="2"/>
      <c r="H888" s="2"/>
      <c r="I888" s="2"/>
      <c r="J888" s="2"/>
      <c r="K888" s="2"/>
    </row>
    <row r="889" spans="1:11" ht="15.75" customHeight="1">
      <c r="A889" s="2"/>
      <c r="B889" s="2"/>
      <c r="C889" s="2"/>
      <c r="D889" s="2"/>
      <c r="E889" s="2"/>
      <c r="F889" s="2"/>
      <c r="G889" s="2"/>
      <c r="H889" s="2"/>
      <c r="I889" s="2"/>
      <c r="J889" s="2"/>
      <c r="K889" s="2"/>
    </row>
    <row r="890" spans="1:11" ht="15.75" customHeight="1">
      <c r="A890" s="2"/>
      <c r="B890" s="2"/>
      <c r="C890" s="2"/>
      <c r="D890" s="2"/>
      <c r="E890" s="2"/>
      <c r="F890" s="2"/>
      <c r="G890" s="2"/>
      <c r="H890" s="2"/>
      <c r="I890" s="2"/>
      <c r="J890" s="2"/>
      <c r="K890" s="2"/>
    </row>
    <row r="891" spans="1:11" ht="15.75" customHeight="1">
      <c r="A891" s="2"/>
      <c r="B891" s="2"/>
      <c r="C891" s="2"/>
      <c r="D891" s="2"/>
      <c r="E891" s="2"/>
      <c r="F891" s="2"/>
      <c r="G891" s="2"/>
      <c r="H891" s="2"/>
      <c r="I891" s="2"/>
      <c r="J891" s="2"/>
      <c r="K891" s="2"/>
    </row>
    <row r="892" spans="1:11" ht="15.75" customHeight="1">
      <c r="A892" s="2"/>
      <c r="B892" s="2"/>
      <c r="C892" s="2"/>
      <c r="D892" s="2"/>
      <c r="E892" s="2"/>
      <c r="F892" s="2"/>
      <c r="G892" s="2"/>
      <c r="H892" s="2"/>
      <c r="I892" s="2"/>
      <c r="J892" s="2"/>
      <c r="K892" s="2"/>
    </row>
    <row r="893" spans="1:11" ht="15.75" customHeight="1">
      <c r="A893" s="2"/>
      <c r="B893" s="2"/>
      <c r="C893" s="2"/>
      <c r="D893" s="2"/>
      <c r="E893" s="2"/>
      <c r="F893" s="2"/>
      <c r="G893" s="2"/>
      <c r="H893" s="2"/>
      <c r="I893" s="2"/>
      <c r="J893" s="2"/>
      <c r="K893" s="2"/>
    </row>
    <row r="894" spans="1:11" ht="15.75" customHeight="1">
      <c r="A894" s="2"/>
      <c r="B894" s="2"/>
      <c r="C894" s="2"/>
      <c r="D894" s="2"/>
      <c r="E894" s="2"/>
      <c r="F894" s="2"/>
      <c r="G894" s="2"/>
      <c r="H894" s="2"/>
      <c r="I894" s="2"/>
      <c r="J894" s="2"/>
      <c r="K894" s="2"/>
    </row>
    <row r="895" spans="1:11" ht="15.75" customHeight="1">
      <c r="A895" s="2"/>
      <c r="B895" s="2"/>
      <c r="C895" s="2"/>
      <c r="D895" s="2"/>
      <c r="E895" s="2"/>
      <c r="F895" s="2"/>
      <c r="G895" s="2"/>
      <c r="H895" s="2"/>
      <c r="I895" s="2"/>
      <c r="J895" s="2"/>
      <c r="K895" s="2"/>
    </row>
    <row r="896" spans="1:11" ht="15.75" customHeight="1">
      <c r="A896" s="2"/>
      <c r="B896" s="2"/>
      <c r="C896" s="2"/>
      <c r="D896" s="2"/>
      <c r="E896" s="2"/>
      <c r="F896" s="2"/>
      <c r="G896" s="2"/>
      <c r="H896" s="2"/>
      <c r="I896" s="2"/>
      <c r="J896" s="2"/>
      <c r="K896" s="2"/>
    </row>
    <row r="897" spans="1:11" ht="15.75" customHeight="1">
      <c r="A897" s="2"/>
      <c r="B897" s="2"/>
      <c r="C897" s="2"/>
      <c r="D897" s="2"/>
      <c r="E897" s="2"/>
      <c r="F897" s="2"/>
      <c r="G897" s="2"/>
      <c r="H897" s="2"/>
      <c r="I897" s="2"/>
      <c r="J897" s="2"/>
      <c r="K897" s="2"/>
    </row>
    <row r="898" spans="1:11" ht="15.75" customHeight="1">
      <c r="A898" s="2"/>
      <c r="B898" s="2"/>
      <c r="C898" s="2"/>
      <c r="D898" s="2"/>
      <c r="E898" s="2"/>
      <c r="F898" s="2"/>
      <c r="G898" s="2"/>
      <c r="H898" s="2"/>
      <c r="I898" s="2"/>
      <c r="J898" s="2"/>
      <c r="K898" s="2"/>
    </row>
    <row r="899" spans="1:11" ht="15.75" customHeight="1">
      <c r="A899" s="2"/>
      <c r="B899" s="2"/>
      <c r="C899" s="2"/>
      <c r="D899" s="2"/>
      <c r="E899" s="2"/>
      <c r="F899" s="2"/>
      <c r="G899" s="2"/>
      <c r="H899" s="2"/>
      <c r="I899" s="2"/>
      <c r="J899" s="2"/>
      <c r="K899" s="2"/>
    </row>
    <row r="900" spans="1:11" ht="15.75" customHeight="1">
      <c r="A900" s="2"/>
      <c r="B900" s="2"/>
      <c r="C900" s="2"/>
      <c r="D900" s="2"/>
      <c r="E900" s="2"/>
      <c r="F900" s="2"/>
      <c r="G900" s="2"/>
      <c r="H900" s="2"/>
      <c r="I900" s="2"/>
      <c r="J900" s="2"/>
      <c r="K900" s="2"/>
    </row>
    <row r="901" spans="1:11" ht="15.75" customHeight="1">
      <c r="A901" s="2"/>
      <c r="B901" s="2"/>
      <c r="C901" s="2"/>
      <c r="D901" s="2"/>
      <c r="E901" s="2"/>
      <c r="F901" s="2"/>
      <c r="G901" s="2"/>
      <c r="H901" s="2"/>
      <c r="I901" s="2"/>
      <c r="J901" s="2"/>
      <c r="K901" s="2"/>
    </row>
    <row r="902" spans="1:11" ht="15.75" customHeight="1">
      <c r="A902" s="2"/>
      <c r="B902" s="2"/>
      <c r="C902" s="2"/>
      <c r="D902" s="2"/>
      <c r="E902" s="2"/>
      <c r="F902" s="2"/>
      <c r="G902" s="2"/>
      <c r="H902" s="2"/>
      <c r="I902" s="2"/>
      <c r="J902" s="2"/>
      <c r="K902" s="2"/>
    </row>
    <row r="903" spans="1:11" ht="15.75" customHeight="1">
      <c r="A903" s="2"/>
      <c r="B903" s="2"/>
      <c r="C903" s="2"/>
      <c r="D903" s="2"/>
      <c r="E903" s="2"/>
      <c r="F903" s="2"/>
      <c r="G903" s="2"/>
      <c r="H903" s="2"/>
      <c r="I903" s="2"/>
      <c r="J903" s="2"/>
      <c r="K903" s="2"/>
    </row>
    <row r="904" spans="1:11" ht="15.75" customHeight="1">
      <c r="A904" s="2"/>
      <c r="B904" s="2"/>
      <c r="C904" s="2"/>
      <c r="D904" s="2"/>
      <c r="E904" s="2"/>
      <c r="F904" s="2"/>
      <c r="G904" s="2"/>
      <c r="H904" s="2"/>
      <c r="I904" s="2"/>
      <c r="J904" s="2"/>
      <c r="K904" s="2"/>
    </row>
    <row r="905" spans="1:11" ht="15.75" customHeight="1">
      <c r="A905" s="2"/>
      <c r="B905" s="2"/>
      <c r="C905" s="2"/>
      <c r="D905" s="2"/>
      <c r="E905" s="2"/>
      <c r="F905" s="2"/>
      <c r="G905" s="2"/>
      <c r="H905" s="2"/>
      <c r="I905" s="2"/>
      <c r="J905" s="2"/>
      <c r="K905" s="2"/>
    </row>
    <row r="906" spans="1:11" ht="15.75" customHeight="1">
      <c r="A906" s="2"/>
      <c r="B906" s="2"/>
      <c r="C906" s="2"/>
      <c r="D906" s="2"/>
      <c r="E906" s="2"/>
      <c r="F906" s="2"/>
      <c r="G906" s="2"/>
      <c r="H906" s="2"/>
      <c r="I906" s="2"/>
      <c r="J906" s="2"/>
      <c r="K906" s="2"/>
    </row>
    <row r="907" spans="1:11" ht="15.75" customHeight="1">
      <c r="A907" s="2"/>
      <c r="B907" s="2"/>
      <c r="C907" s="2"/>
      <c r="D907" s="2"/>
      <c r="E907" s="2"/>
      <c r="F907" s="2"/>
      <c r="G907" s="2"/>
      <c r="H907" s="2"/>
      <c r="I907" s="2"/>
      <c r="J907" s="2"/>
      <c r="K907" s="2"/>
    </row>
    <row r="908" spans="1:11" ht="15.75" customHeight="1">
      <c r="A908" s="2"/>
      <c r="B908" s="2"/>
      <c r="C908" s="2"/>
      <c r="D908" s="2"/>
      <c r="E908" s="2"/>
      <c r="F908" s="2"/>
      <c r="G908" s="2"/>
      <c r="H908" s="2"/>
      <c r="I908" s="2"/>
      <c r="J908" s="2"/>
      <c r="K908" s="2"/>
    </row>
    <row r="909" spans="1:11" ht="15.75" customHeight="1">
      <c r="A909" s="2"/>
      <c r="B909" s="2"/>
      <c r="C909" s="2"/>
      <c r="D909" s="2"/>
      <c r="E909" s="2"/>
      <c r="F909" s="2"/>
      <c r="G909" s="2"/>
      <c r="H909" s="2"/>
      <c r="I909" s="2"/>
      <c r="J909" s="2"/>
      <c r="K909" s="2"/>
    </row>
    <row r="910" spans="1:11" ht="15.75" customHeight="1">
      <c r="A910" s="2"/>
      <c r="B910" s="2"/>
      <c r="C910" s="2"/>
      <c r="D910" s="2"/>
      <c r="E910" s="2"/>
      <c r="F910" s="2"/>
      <c r="G910" s="2"/>
      <c r="H910" s="2"/>
      <c r="I910" s="2"/>
      <c r="J910" s="2"/>
      <c r="K910" s="2"/>
    </row>
    <row r="911" spans="1:11" ht="15.75" customHeight="1">
      <c r="A911" s="2"/>
      <c r="B911" s="2"/>
      <c r="C911" s="2"/>
      <c r="D911" s="2"/>
      <c r="E911" s="2"/>
      <c r="F911" s="2"/>
      <c r="G911" s="2"/>
      <c r="H911" s="2"/>
      <c r="I911" s="2"/>
      <c r="J911" s="2"/>
      <c r="K911" s="2"/>
    </row>
    <row r="912" spans="1:11" ht="15.75" customHeight="1">
      <c r="A912" s="2"/>
      <c r="B912" s="2"/>
      <c r="C912" s="2"/>
      <c r="D912" s="2"/>
      <c r="E912" s="2"/>
      <c r="F912" s="2"/>
      <c r="G912" s="2"/>
      <c r="H912" s="2"/>
      <c r="I912" s="2"/>
      <c r="J912" s="2"/>
      <c r="K912" s="2"/>
    </row>
    <row r="913" spans="1:11" ht="15.75" customHeight="1">
      <c r="A913" s="2"/>
      <c r="B913" s="2"/>
      <c r="C913" s="2"/>
      <c r="D913" s="2"/>
      <c r="E913" s="2"/>
      <c r="F913" s="2"/>
      <c r="G913" s="2"/>
      <c r="H913" s="2"/>
      <c r="I913" s="2"/>
      <c r="J913" s="2"/>
      <c r="K913" s="2"/>
    </row>
    <row r="914" spans="1:11" ht="15.75" customHeight="1">
      <c r="A914" s="2"/>
      <c r="B914" s="2"/>
      <c r="C914" s="2"/>
      <c r="D914" s="2"/>
      <c r="E914" s="2"/>
      <c r="F914" s="2"/>
      <c r="G914" s="2"/>
      <c r="H914" s="2"/>
      <c r="I914" s="2"/>
      <c r="J914" s="2"/>
      <c r="K914" s="2"/>
    </row>
    <row r="915" spans="1:11" ht="15.75" customHeight="1">
      <c r="A915" s="2"/>
      <c r="B915" s="2"/>
      <c r="C915" s="2"/>
      <c r="D915" s="2"/>
      <c r="E915" s="2"/>
      <c r="F915" s="2"/>
      <c r="G915" s="2"/>
      <c r="H915" s="2"/>
      <c r="I915" s="2"/>
      <c r="J915" s="2"/>
      <c r="K915" s="2"/>
    </row>
    <row r="916" spans="1:11" ht="15.75" customHeight="1">
      <c r="A916" s="2"/>
      <c r="B916" s="2"/>
      <c r="C916" s="2"/>
      <c r="D916" s="2"/>
      <c r="E916" s="2"/>
      <c r="F916" s="2"/>
      <c r="G916" s="2"/>
      <c r="H916" s="2"/>
      <c r="I916" s="2"/>
      <c r="J916" s="2"/>
      <c r="K916" s="2"/>
    </row>
    <row r="917" spans="1:11" ht="15.75" customHeight="1">
      <c r="A917" s="2"/>
      <c r="B917" s="2"/>
      <c r="C917" s="2"/>
      <c r="D917" s="2"/>
      <c r="E917" s="2"/>
      <c r="F917" s="2"/>
      <c r="G917" s="2"/>
      <c r="H917" s="2"/>
      <c r="I917" s="2"/>
      <c r="J917" s="2"/>
      <c r="K917" s="2"/>
    </row>
    <row r="918" spans="1:11" ht="15.75" customHeight="1">
      <c r="A918" s="2"/>
      <c r="B918" s="2"/>
      <c r="C918" s="2"/>
      <c r="D918" s="2"/>
      <c r="E918" s="2"/>
      <c r="F918" s="2"/>
      <c r="G918" s="2"/>
      <c r="H918" s="2"/>
      <c r="I918" s="2"/>
      <c r="J918" s="2"/>
      <c r="K918" s="2"/>
    </row>
    <row r="919" spans="1:11" ht="15.75" customHeight="1">
      <c r="A919" s="2"/>
      <c r="B919" s="2"/>
      <c r="C919" s="2"/>
      <c r="D919" s="2"/>
      <c r="E919" s="2"/>
      <c r="F919" s="2"/>
      <c r="G919" s="2"/>
      <c r="H919" s="2"/>
      <c r="I919" s="2"/>
      <c r="J919" s="2"/>
      <c r="K919" s="2"/>
    </row>
    <row r="920" spans="1:11" ht="15.75" customHeight="1">
      <c r="A920" s="2"/>
      <c r="B920" s="2"/>
      <c r="C920" s="2"/>
      <c r="D920" s="2"/>
      <c r="E920" s="2"/>
      <c r="F920" s="2"/>
      <c r="G920" s="2"/>
      <c r="H920" s="2"/>
      <c r="I920" s="2"/>
      <c r="J920" s="2"/>
      <c r="K920" s="2"/>
    </row>
    <row r="921" spans="1:11" ht="15.75" customHeight="1">
      <c r="A921" s="2"/>
      <c r="B921" s="2"/>
      <c r="C921" s="2"/>
      <c r="D921" s="2"/>
      <c r="E921" s="2"/>
      <c r="F921" s="2"/>
      <c r="G921" s="2"/>
      <c r="H921" s="2"/>
      <c r="I921" s="2"/>
      <c r="J921" s="2"/>
      <c r="K921" s="2"/>
    </row>
    <row r="922" spans="1:11" ht="15.75" customHeight="1">
      <c r="A922" s="2"/>
      <c r="B922" s="2"/>
      <c r="C922" s="2"/>
      <c r="D922" s="2"/>
      <c r="E922" s="2"/>
      <c r="F922" s="2"/>
      <c r="G922" s="2"/>
      <c r="H922" s="2"/>
      <c r="I922" s="2"/>
      <c r="J922" s="2"/>
      <c r="K922" s="2"/>
    </row>
    <row r="923" spans="1:11" ht="15.75" customHeight="1">
      <c r="A923" s="2"/>
      <c r="B923" s="2"/>
      <c r="C923" s="2"/>
      <c r="D923" s="2"/>
      <c r="E923" s="2"/>
      <c r="F923" s="2"/>
      <c r="G923" s="2"/>
      <c r="H923" s="2"/>
      <c r="I923" s="2"/>
      <c r="J923" s="2"/>
      <c r="K923" s="2"/>
    </row>
    <row r="924" spans="1:11" ht="15.75" customHeight="1">
      <c r="A924" s="2"/>
      <c r="B924" s="2"/>
      <c r="C924" s="2"/>
      <c r="D924" s="2"/>
      <c r="E924" s="2"/>
      <c r="F924" s="2"/>
      <c r="G924" s="2"/>
      <c r="H924" s="2"/>
      <c r="I924" s="2"/>
      <c r="J924" s="2"/>
      <c r="K924" s="2"/>
    </row>
    <row r="925" spans="1:11" ht="15.75" customHeight="1">
      <c r="A925" s="2"/>
      <c r="B925" s="2"/>
      <c r="C925" s="2"/>
      <c r="D925" s="2"/>
      <c r="E925" s="2"/>
      <c r="F925" s="2"/>
      <c r="G925" s="2"/>
      <c r="H925" s="2"/>
      <c r="I925" s="2"/>
      <c r="J925" s="2"/>
      <c r="K925" s="2"/>
    </row>
    <row r="926" spans="1:11" ht="15.75" customHeight="1">
      <c r="A926" s="2"/>
      <c r="B926" s="2"/>
      <c r="C926" s="2"/>
      <c r="D926" s="2"/>
      <c r="E926" s="2"/>
      <c r="F926" s="2"/>
      <c r="G926" s="2"/>
      <c r="H926" s="2"/>
      <c r="I926" s="2"/>
      <c r="J926" s="2"/>
      <c r="K926" s="2"/>
    </row>
    <row r="927" spans="1:11" ht="15.75" customHeight="1">
      <c r="A927" s="2"/>
      <c r="B927" s="2"/>
      <c r="C927" s="2"/>
      <c r="D927" s="2"/>
      <c r="E927" s="2"/>
      <c r="F927" s="2"/>
      <c r="G927" s="2"/>
      <c r="H927" s="2"/>
      <c r="I927" s="2"/>
      <c r="J927" s="2"/>
      <c r="K927" s="2"/>
    </row>
    <row r="928" spans="1:11" ht="15.75" customHeight="1">
      <c r="A928" s="2"/>
      <c r="B928" s="2"/>
      <c r="C928" s="2"/>
      <c r="D928" s="2"/>
      <c r="E928" s="2"/>
      <c r="F928" s="2"/>
      <c r="G928" s="2"/>
      <c r="H928" s="2"/>
      <c r="I928" s="2"/>
      <c r="J928" s="2"/>
      <c r="K928" s="2"/>
    </row>
    <row r="929" spans="1:11" ht="15.75" customHeight="1">
      <c r="A929" s="2"/>
      <c r="B929" s="2"/>
      <c r="C929" s="2"/>
      <c r="D929" s="2"/>
      <c r="E929" s="2"/>
      <c r="F929" s="2"/>
      <c r="G929" s="2"/>
      <c r="H929" s="2"/>
      <c r="I929" s="2"/>
      <c r="J929" s="2"/>
      <c r="K929" s="2"/>
    </row>
    <row r="930" spans="1:11" ht="15.75" customHeight="1">
      <c r="A930" s="2"/>
      <c r="B930" s="2"/>
      <c r="C930" s="2"/>
      <c r="D930" s="2"/>
      <c r="E930" s="2"/>
      <c r="F930" s="2"/>
      <c r="G930" s="2"/>
      <c r="H930" s="2"/>
      <c r="I930" s="2"/>
      <c r="J930" s="2"/>
      <c r="K930" s="2"/>
    </row>
    <row r="931" spans="1:11" ht="15.75" customHeight="1">
      <c r="A931" s="2"/>
      <c r="B931" s="2"/>
      <c r="C931" s="2"/>
      <c r="D931" s="2"/>
      <c r="E931" s="2"/>
      <c r="F931" s="2"/>
      <c r="G931" s="2"/>
      <c r="H931" s="2"/>
      <c r="I931" s="2"/>
      <c r="J931" s="2"/>
      <c r="K931" s="2"/>
    </row>
    <row r="932" spans="1:11" ht="15.75" customHeight="1">
      <c r="A932" s="2"/>
      <c r="B932" s="2"/>
      <c r="C932" s="2"/>
      <c r="D932" s="2"/>
      <c r="E932" s="2"/>
      <c r="F932" s="2"/>
      <c r="G932" s="2"/>
      <c r="H932" s="2"/>
      <c r="I932" s="2"/>
      <c r="J932" s="2"/>
      <c r="K932" s="2"/>
    </row>
    <row r="933" spans="1:11" ht="15.75" customHeight="1">
      <c r="A933" s="2"/>
      <c r="B933" s="2"/>
      <c r="C933" s="2"/>
      <c r="D933" s="2"/>
      <c r="E933" s="2"/>
      <c r="F933" s="2"/>
      <c r="G933" s="2"/>
      <c r="H933" s="2"/>
      <c r="I933" s="2"/>
      <c r="J933" s="2"/>
      <c r="K933" s="2"/>
    </row>
    <row r="934" spans="1:11" ht="15.75" customHeight="1">
      <c r="A934" s="2"/>
      <c r="B934" s="2"/>
      <c r="C934" s="2"/>
      <c r="D934" s="2"/>
      <c r="E934" s="2"/>
      <c r="F934" s="2"/>
      <c r="G934" s="2"/>
      <c r="H934" s="2"/>
      <c r="I934" s="2"/>
      <c r="J934" s="2"/>
      <c r="K934" s="2"/>
    </row>
    <row r="935" spans="1:11" ht="15.75" customHeight="1">
      <c r="A935" s="2"/>
      <c r="B935" s="2"/>
      <c r="C935" s="2"/>
      <c r="D935" s="2"/>
      <c r="E935" s="2"/>
      <c r="F935" s="2"/>
      <c r="G935" s="2"/>
      <c r="H935" s="2"/>
      <c r="I935" s="2"/>
      <c r="J935" s="2"/>
      <c r="K935" s="2"/>
    </row>
    <row r="936" spans="1:11" ht="15.75" customHeight="1">
      <c r="A936" s="2"/>
      <c r="B936" s="2"/>
      <c r="C936" s="2"/>
      <c r="D936" s="2"/>
      <c r="E936" s="2"/>
      <c r="F936" s="2"/>
      <c r="G936" s="2"/>
      <c r="H936" s="2"/>
      <c r="I936" s="2"/>
      <c r="J936" s="2"/>
      <c r="K936" s="2"/>
    </row>
    <row r="937" spans="1:11" ht="15.75" customHeight="1">
      <c r="A937" s="2"/>
      <c r="B937" s="2"/>
      <c r="C937" s="2"/>
      <c r="D937" s="2"/>
      <c r="E937" s="2"/>
      <c r="F937" s="2"/>
      <c r="G937" s="2"/>
      <c r="H937" s="2"/>
      <c r="I937" s="2"/>
      <c r="J937" s="2"/>
      <c r="K937" s="2"/>
    </row>
    <row r="938" spans="1:11" ht="15.75" customHeight="1">
      <c r="A938" s="2"/>
      <c r="B938" s="2"/>
      <c r="C938" s="2"/>
      <c r="D938" s="2"/>
      <c r="E938" s="2"/>
      <c r="F938" s="2"/>
      <c r="G938" s="2"/>
      <c r="H938" s="2"/>
      <c r="I938" s="2"/>
      <c r="J938" s="2"/>
      <c r="K938" s="2"/>
    </row>
    <row r="939" spans="1:11" ht="15.75" customHeight="1">
      <c r="A939" s="2"/>
      <c r="B939" s="2"/>
      <c r="C939" s="2"/>
      <c r="D939" s="2"/>
      <c r="E939" s="2"/>
      <c r="F939" s="2"/>
      <c r="G939" s="2"/>
      <c r="H939" s="2"/>
      <c r="I939" s="2"/>
      <c r="J939" s="2"/>
      <c r="K939" s="2"/>
    </row>
    <row r="940" spans="1:11" ht="15.75" customHeight="1">
      <c r="A940" s="2"/>
      <c r="B940" s="2"/>
      <c r="C940" s="2"/>
      <c r="D940" s="2"/>
      <c r="E940" s="2"/>
      <c r="F940" s="2"/>
      <c r="G940" s="2"/>
      <c r="H940" s="2"/>
      <c r="I940" s="2"/>
      <c r="J940" s="2"/>
      <c r="K940" s="2"/>
    </row>
    <row r="941" spans="1:11" ht="15.75" customHeight="1">
      <c r="A941" s="2"/>
      <c r="B941" s="2"/>
      <c r="C941" s="2"/>
      <c r="D941" s="2"/>
      <c r="E941" s="2"/>
      <c r="F941" s="2"/>
      <c r="G941" s="2"/>
      <c r="H941" s="2"/>
      <c r="I941" s="2"/>
      <c r="J941" s="2"/>
      <c r="K941" s="2"/>
    </row>
    <row r="942" spans="1:11" ht="15.75" customHeight="1">
      <c r="A942" s="2"/>
      <c r="B942" s="2"/>
      <c r="C942" s="2"/>
      <c r="D942" s="2"/>
      <c r="E942" s="2"/>
      <c r="F942" s="2"/>
      <c r="G942" s="2"/>
      <c r="H942" s="2"/>
      <c r="I942" s="2"/>
      <c r="J942" s="2"/>
      <c r="K942" s="2"/>
    </row>
    <row r="943" spans="1:11" ht="15.75" customHeight="1">
      <c r="A943" s="2"/>
      <c r="B943" s="2"/>
      <c r="C943" s="2"/>
      <c r="D943" s="2"/>
      <c r="E943" s="2"/>
      <c r="F943" s="2"/>
      <c r="G943" s="2"/>
      <c r="H943" s="2"/>
      <c r="I943" s="2"/>
      <c r="J943" s="2"/>
      <c r="K943" s="2"/>
    </row>
    <row r="944" spans="1:11" ht="15.75" customHeight="1">
      <c r="A944" s="2"/>
      <c r="B944" s="2"/>
      <c r="C944" s="2"/>
      <c r="D944" s="2"/>
      <c r="E944" s="2"/>
      <c r="F944" s="2"/>
      <c r="G944" s="2"/>
      <c r="H944" s="2"/>
      <c r="I944" s="2"/>
      <c r="J944" s="2"/>
      <c r="K944" s="2"/>
    </row>
    <row r="945" spans="1:11" ht="15.75" customHeight="1">
      <c r="A945" s="2"/>
      <c r="B945" s="2"/>
      <c r="C945" s="2"/>
      <c r="D945" s="2"/>
      <c r="E945" s="2"/>
      <c r="F945" s="2"/>
      <c r="G945" s="2"/>
      <c r="H945" s="2"/>
      <c r="I945" s="2"/>
      <c r="J945" s="2"/>
      <c r="K945" s="2"/>
    </row>
    <row r="946" spans="1:11" ht="15.75" customHeight="1">
      <c r="A946" s="2"/>
      <c r="B946" s="2"/>
      <c r="C946" s="2"/>
      <c r="D946" s="2"/>
      <c r="E946" s="2"/>
      <c r="F946" s="2"/>
      <c r="G946" s="2"/>
      <c r="H946" s="2"/>
      <c r="I946" s="2"/>
      <c r="J946" s="2"/>
      <c r="K946" s="2"/>
    </row>
    <row r="947" spans="1:11" ht="15.75" customHeight="1">
      <c r="A947" s="2"/>
      <c r="B947" s="2"/>
      <c r="C947" s="2"/>
      <c r="D947" s="2"/>
      <c r="E947" s="2"/>
      <c r="F947" s="2"/>
      <c r="G947" s="2"/>
      <c r="H947" s="2"/>
      <c r="I947" s="2"/>
      <c r="J947" s="2"/>
      <c r="K947" s="2"/>
    </row>
    <row r="948" spans="1:11" ht="15.75" customHeight="1">
      <c r="A948" s="2"/>
      <c r="B948" s="2"/>
      <c r="C948" s="2"/>
      <c r="D948" s="2"/>
      <c r="E948" s="2"/>
      <c r="F948" s="2"/>
      <c r="G948" s="2"/>
      <c r="H948" s="2"/>
      <c r="I948" s="2"/>
      <c r="J948" s="2"/>
      <c r="K948" s="2"/>
    </row>
    <row r="949" spans="1:11" ht="15.75" customHeight="1">
      <c r="A949" s="2"/>
      <c r="B949" s="2"/>
      <c r="C949" s="2"/>
      <c r="D949" s="2"/>
      <c r="E949" s="2"/>
      <c r="F949" s="2"/>
      <c r="G949" s="2"/>
      <c r="H949" s="2"/>
      <c r="I949" s="2"/>
      <c r="J949" s="2"/>
      <c r="K949" s="2"/>
    </row>
    <row r="950" spans="1:11" ht="15.75" customHeight="1">
      <c r="A950" s="2"/>
      <c r="B950" s="2"/>
      <c r="C950" s="2"/>
      <c r="D950" s="2"/>
      <c r="E950" s="2"/>
      <c r="F950" s="2"/>
      <c r="G950" s="2"/>
      <c r="H950" s="2"/>
      <c r="I950" s="2"/>
      <c r="J950" s="2"/>
      <c r="K950" s="2"/>
    </row>
    <row r="951" spans="1:11" ht="15.75" customHeight="1">
      <c r="A951" s="2"/>
      <c r="B951" s="2"/>
      <c r="C951" s="2"/>
      <c r="D951" s="2"/>
      <c r="E951" s="2"/>
      <c r="F951" s="2"/>
      <c r="G951" s="2"/>
      <c r="H951" s="2"/>
      <c r="I951" s="2"/>
      <c r="J951" s="2"/>
      <c r="K951" s="2"/>
    </row>
    <row r="952" spans="1:11" ht="15.75" customHeight="1">
      <c r="A952" s="2"/>
      <c r="B952" s="2"/>
      <c r="C952" s="2"/>
      <c r="D952" s="2"/>
      <c r="E952" s="2"/>
      <c r="F952" s="2"/>
      <c r="G952" s="2"/>
      <c r="H952" s="2"/>
      <c r="I952" s="2"/>
      <c r="J952" s="2"/>
      <c r="K952" s="2"/>
    </row>
    <row r="953" spans="1:11" ht="15.75" customHeight="1">
      <c r="A953" s="2"/>
      <c r="B953" s="2"/>
      <c r="C953" s="2"/>
      <c r="D953" s="2"/>
      <c r="E953" s="2"/>
      <c r="F953" s="2"/>
      <c r="G953" s="2"/>
      <c r="H953" s="2"/>
      <c r="I953" s="2"/>
      <c r="J953" s="2"/>
      <c r="K953" s="2"/>
    </row>
    <row r="954" spans="1:11" ht="15.75" customHeight="1">
      <c r="A954" s="2"/>
      <c r="B954" s="2"/>
      <c r="C954" s="2"/>
      <c r="D954" s="2"/>
      <c r="E954" s="2"/>
      <c r="F954" s="2"/>
      <c r="G954" s="2"/>
      <c r="H954" s="2"/>
      <c r="I954" s="2"/>
      <c r="J954" s="2"/>
      <c r="K954" s="2"/>
    </row>
    <row r="955" spans="1:11" ht="15.75" customHeight="1">
      <c r="A955" s="2"/>
      <c r="B955" s="2"/>
      <c r="C955" s="2"/>
      <c r="D955" s="2"/>
      <c r="E955" s="2"/>
      <c r="F955" s="2"/>
      <c r="G955" s="2"/>
      <c r="H955" s="2"/>
      <c r="I955" s="2"/>
      <c r="J955" s="2"/>
      <c r="K955" s="2"/>
    </row>
    <row r="956" spans="1:11" ht="15.75" customHeight="1">
      <c r="A956" s="2"/>
      <c r="B956" s="2"/>
      <c r="C956" s="2"/>
      <c r="D956" s="2"/>
      <c r="E956" s="2"/>
      <c r="F956" s="2"/>
      <c r="G956" s="2"/>
      <c r="H956" s="2"/>
      <c r="I956" s="2"/>
      <c r="J956" s="2"/>
      <c r="K956" s="2"/>
    </row>
    <row r="957" spans="1:11" ht="15.75" customHeight="1">
      <c r="A957" s="2"/>
      <c r="B957" s="2"/>
      <c r="C957" s="2"/>
      <c r="D957" s="2"/>
      <c r="E957" s="2"/>
      <c r="F957" s="2"/>
      <c r="G957" s="2"/>
      <c r="H957" s="2"/>
      <c r="I957" s="2"/>
      <c r="J957" s="2"/>
      <c r="K957" s="2"/>
    </row>
    <row r="958" spans="1:11" ht="15.75" customHeight="1">
      <c r="A958" s="2"/>
      <c r="B958" s="2"/>
      <c r="C958" s="2"/>
      <c r="D958" s="2"/>
      <c r="E958" s="2"/>
      <c r="F958" s="2"/>
      <c r="G958" s="2"/>
      <c r="H958" s="2"/>
      <c r="I958" s="2"/>
      <c r="J958" s="2"/>
      <c r="K958" s="2"/>
    </row>
    <row r="959" spans="1:11" ht="15.75" customHeight="1">
      <c r="A959" s="2"/>
      <c r="B959" s="2"/>
      <c r="C959" s="2"/>
      <c r="D959" s="2"/>
      <c r="E959" s="2"/>
      <c r="F959" s="2"/>
      <c r="G959" s="2"/>
      <c r="H959" s="2"/>
      <c r="I959" s="2"/>
      <c r="J959" s="2"/>
      <c r="K959" s="2"/>
    </row>
    <row r="960" spans="1:11" ht="15.75" customHeight="1">
      <c r="A960" s="2"/>
      <c r="B960" s="2"/>
      <c r="C960" s="2"/>
      <c r="D960" s="2"/>
      <c r="E960" s="2"/>
      <c r="F960" s="2"/>
      <c r="G960" s="2"/>
      <c r="H960" s="2"/>
      <c r="I960" s="2"/>
      <c r="J960" s="2"/>
      <c r="K960" s="2"/>
    </row>
    <row r="961" spans="1:11" ht="15.75" customHeight="1">
      <c r="A961" s="2"/>
      <c r="B961" s="2"/>
      <c r="C961" s="2"/>
      <c r="D961" s="2"/>
      <c r="E961" s="2"/>
      <c r="F961" s="2"/>
      <c r="G961" s="2"/>
      <c r="H961" s="2"/>
      <c r="I961" s="2"/>
      <c r="J961" s="2"/>
      <c r="K961" s="2"/>
    </row>
    <row r="962" spans="1:11" ht="15.75" customHeight="1">
      <c r="A962" s="2"/>
      <c r="B962" s="2"/>
      <c r="C962" s="2"/>
      <c r="D962" s="2"/>
      <c r="E962" s="2"/>
      <c r="F962" s="2"/>
      <c r="G962" s="2"/>
      <c r="H962" s="2"/>
      <c r="I962" s="2"/>
      <c r="J962" s="2"/>
      <c r="K962" s="2"/>
    </row>
    <row r="963" spans="1:11" ht="15.75" customHeight="1">
      <c r="A963" s="2"/>
      <c r="B963" s="2"/>
      <c r="C963" s="2"/>
      <c r="D963" s="2"/>
      <c r="E963" s="2"/>
      <c r="F963" s="2"/>
      <c r="G963" s="2"/>
      <c r="H963" s="2"/>
      <c r="I963" s="2"/>
      <c r="J963" s="2"/>
      <c r="K963" s="2"/>
    </row>
    <row r="964" spans="1:11" ht="15.75" customHeight="1">
      <c r="A964" s="2"/>
      <c r="B964" s="2"/>
      <c r="C964" s="2"/>
      <c r="D964" s="2"/>
      <c r="E964" s="2"/>
      <c r="F964" s="2"/>
      <c r="G964" s="2"/>
      <c r="H964" s="2"/>
      <c r="I964" s="2"/>
      <c r="J964" s="2"/>
      <c r="K964" s="2"/>
    </row>
    <row r="965" spans="1:11" ht="15.75" customHeight="1">
      <c r="A965" s="2"/>
      <c r="B965" s="2"/>
      <c r="C965" s="2"/>
      <c r="D965" s="2"/>
      <c r="E965" s="2"/>
      <c r="F965" s="2"/>
      <c r="G965" s="2"/>
      <c r="H965" s="2"/>
      <c r="I965" s="2"/>
      <c r="J965" s="2"/>
      <c r="K965" s="2"/>
    </row>
    <row r="966" spans="1:11" ht="15.75" customHeight="1">
      <c r="A966" s="2"/>
      <c r="B966" s="2"/>
      <c r="C966" s="2"/>
      <c r="D966" s="2"/>
      <c r="E966" s="2"/>
      <c r="F966" s="2"/>
      <c r="G966" s="2"/>
      <c r="H966" s="2"/>
      <c r="I966" s="2"/>
      <c r="J966" s="2"/>
      <c r="K966" s="2"/>
    </row>
    <row r="967" spans="1:11" ht="15.75" customHeight="1">
      <c r="A967" s="2"/>
      <c r="B967" s="2"/>
      <c r="C967" s="2"/>
      <c r="D967" s="2"/>
      <c r="E967" s="2"/>
      <c r="F967" s="2"/>
      <c r="G967" s="2"/>
      <c r="H967" s="2"/>
      <c r="I967" s="2"/>
      <c r="J967" s="2"/>
      <c r="K967" s="2"/>
    </row>
    <row r="968" spans="1:11" ht="15.75" customHeight="1">
      <c r="A968" s="2"/>
      <c r="B968" s="2"/>
      <c r="C968" s="2"/>
      <c r="D968" s="2"/>
      <c r="E968" s="2"/>
      <c r="F968" s="2"/>
      <c r="G968" s="2"/>
      <c r="H968" s="2"/>
      <c r="I968" s="2"/>
      <c r="J968" s="2"/>
      <c r="K968" s="2"/>
    </row>
    <row r="969" spans="1:11" ht="15.75" customHeight="1">
      <c r="A969" s="2"/>
      <c r="B969" s="2"/>
      <c r="C969" s="2"/>
      <c r="D969" s="2"/>
      <c r="E969" s="2"/>
      <c r="F969" s="2"/>
      <c r="G969" s="2"/>
      <c r="H969" s="2"/>
      <c r="I969" s="2"/>
      <c r="J969" s="2"/>
      <c r="K969" s="2"/>
    </row>
    <row r="970" spans="1:11" ht="15.75" customHeight="1">
      <c r="A970" s="2"/>
      <c r="B970" s="2"/>
      <c r="C970" s="2"/>
      <c r="D970" s="2"/>
      <c r="E970" s="2"/>
      <c r="F970" s="2"/>
      <c r="G970" s="2"/>
      <c r="H970" s="2"/>
      <c r="I970" s="2"/>
      <c r="J970" s="2"/>
      <c r="K970" s="2"/>
    </row>
    <row r="971" spans="1:11" ht="15.75" customHeight="1">
      <c r="A971" s="2"/>
      <c r="B971" s="2"/>
      <c r="C971" s="2"/>
      <c r="D971" s="2"/>
      <c r="E971" s="2"/>
      <c r="F971" s="2"/>
      <c r="G971" s="2"/>
      <c r="H971" s="2"/>
      <c r="I971" s="2"/>
      <c r="J971" s="2"/>
      <c r="K971" s="2"/>
    </row>
    <row r="972" spans="1:11" ht="15.75" customHeight="1">
      <c r="A972" s="2"/>
      <c r="B972" s="2"/>
      <c r="C972" s="2"/>
      <c r="D972" s="2"/>
      <c r="E972" s="2"/>
      <c r="F972" s="2"/>
      <c r="G972" s="2"/>
      <c r="H972" s="2"/>
      <c r="I972" s="2"/>
      <c r="J972" s="2"/>
      <c r="K972" s="2"/>
    </row>
    <row r="973" spans="1:11" ht="15.75" customHeight="1">
      <c r="A973" s="2"/>
      <c r="B973" s="2"/>
      <c r="C973" s="2"/>
      <c r="D973" s="2"/>
      <c r="E973" s="2"/>
      <c r="F973" s="2"/>
      <c r="G973" s="2"/>
      <c r="H973" s="2"/>
      <c r="I973" s="2"/>
      <c r="J973" s="2"/>
      <c r="K973" s="2"/>
    </row>
    <row r="974" spans="1:11" ht="15.75" customHeight="1">
      <c r="A974" s="2"/>
      <c r="B974" s="2"/>
      <c r="C974" s="2"/>
      <c r="D974" s="2"/>
      <c r="E974" s="2"/>
      <c r="F974" s="2"/>
      <c r="G974" s="2"/>
      <c r="H974" s="2"/>
      <c r="I974" s="2"/>
      <c r="J974" s="2"/>
      <c r="K974" s="2"/>
    </row>
    <row r="975" spans="1:11" ht="15.75" customHeight="1">
      <c r="A975" s="2"/>
      <c r="B975" s="2"/>
      <c r="C975" s="2"/>
      <c r="D975" s="2"/>
      <c r="E975" s="2"/>
      <c r="F975" s="2"/>
      <c r="G975" s="2"/>
      <c r="H975" s="2"/>
      <c r="I975" s="2"/>
      <c r="J975" s="2"/>
      <c r="K975" s="2"/>
    </row>
    <row r="976" spans="1:11" ht="15.75" customHeight="1">
      <c r="A976" s="2"/>
      <c r="B976" s="2"/>
      <c r="C976" s="2"/>
      <c r="D976" s="2"/>
      <c r="E976" s="2"/>
      <c r="F976" s="2"/>
      <c r="G976" s="2"/>
      <c r="H976" s="2"/>
      <c r="I976" s="2"/>
      <c r="J976" s="2"/>
      <c r="K976" s="2"/>
    </row>
    <row r="977" spans="1:11" ht="15.75" customHeight="1">
      <c r="A977" s="2"/>
      <c r="B977" s="2"/>
      <c r="C977" s="2"/>
      <c r="D977" s="2"/>
      <c r="E977" s="2"/>
      <c r="F977" s="2"/>
      <c r="G977" s="2"/>
      <c r="H977" s="2"/>
      <c r="I977" s="2"/>
      <c r="J977" s="2"/>
      <c r="K977" s="2"/>
    </row>
    <row r="978" spans="1:11" ht="15.75" customHeight="1">
      <c r="A978" s="2"/>
      <c r="B978" s="2"/>
      <c r="C978" s="2"/>
      <c r="D978" s="2"/>
      <c r="E978" s="2"/>
      <c r="F978" s="2"/>
      <c r="G978" s="2"/>
      <c r="H978" s="2"/>
      <c r="I978" s="2"/>
      <c r="J978" s="2"/>
      <c r="K978" s="2"/>
    </row>
    <row r="979" spans="1:11" ht="15.75" customHeight="1">
      <c r="A979" s="2"/>
      <c r="B979" s="2"/>
      <c r="C979" s="2"/>
      <c r="D979" s="2"/>
      <c r="E979" s="2"/>
      <c r="F979" s="2"/>
      <c r="G979" s="2"/>
      <c r="H979" s="2"/>
      <c r="I979" s="2"/>
      <c r="J979" s="2"/>
      <c r="K979" s="2"/>
    </row>
    <row r="980" spans="1:11" ht="15.75" customHeight="1">
      <c r="A980" s="2"/>
      <c r="B980" s="2"/>
      <c r="C980" s="2"/>
      <c r="D980" s="2"/>
      <c r="E980" s="2"/>
      <c r="F980" s="2"/>
      <c r="G980" s="2"/>
      <c r="H980" s="2"/>
      <c r="I980" s="2"/>
      <c r="J980" s="2"/>
      <c r="K980" s="2"/>
    </row>
    <row r="981" spans="1:11" ht="15.75" customHeight="1">
      <c r="A981" s="2"/>
      <c r="B981" s="2"/>
      <c r="C981" s="2"/>
      <c r="D981" s="2"/>
      <c r="E981" s="2"/>
      <c r="F981" s="2"/>
      <c r="G981" s="2"/>
      <c r="H981" s="2"/>
      <c r="I981" s="2"/>
      <c r="J981" s="2"/>
      <c r="K981" s="2"/>
    </row>
    <row r="982" spans="1:11" ht="15.75" customHeight="1">
      <c r="A982" s="2"/>
      <c r="B982" s="2"/>
      <c r="C982" s="2"/>
      <c r="D982" s="2"/>
      <c r="E982" s="2"/>
      <c r="F982" s="2"/>
      <c r="G982" s="2"/>
      <c r="H982" s="2"/>
      <c r="I982" s="2"/>
      <c r="J982" s="2"/>
      <c r="K982" s="2"/>
    </row>
    <row r="983" spans="1:11" ht="15.75" customHeight="1">
      <c r="A983" s="2"/>
      <c r="B983" s="2"/>
      <c r="C983" s="2"/>
      <c r="D983" s="2"/>
      <c r="E983" s="2"/>
      <c r="F983" s="2"/>
      <c r="G983" s="2"/>
      <c r="H983" s="2"/>
      <c r="I983" s="2"/>
      <c r="J983" s="2"/>
      <c r="K983" s="2"/>
    </row>
    <row r="984" spans="1:11" ht="15.75" customHeight="1">
      <c r="A984" s="2"/>
      <c r="B984" s="2"/>
      <c r="C984" s="2"/>
      <c r="D984" s="2"/>
      <c r="E984" s="2"/>
      <c r="F984" s="2"/>
      <c r="G984" s="2"/>
      <c r="H984" s="2"/>
      <c r="I984" s="2"/>
      <c r="J984" s="2"/>
      <c r="K984" s="2"/>
    </row>
    <row r="985" spans="1:11" ht="15.75" customHeight="1">
      <c r="A985" s="2"/>
      <c r="B985" s="2"/>
      <c r="C985" s="2"/>
      <c r="D985" s="2"/>
      <c r="E985" s="2"/>
      <c r="F985" s="2"/>
      <c r="G985" s="2"/>
      <c r="H985" s="2"/>
      <c r="I985" s="2"/>
      <c r="J985" s="2"/>
      <c r="K985" s="2"/>
    </row>
    <row r="986" spans="1:11" ht="15.75" customHeight="1">
      <c r="A986" s="2"/>
      <c r="B986" s="2"/>
      <c r="C986" s="2"/>
      <c r="D986" s="2"/>
      <c r="E986" s="2"/>
      <c r="F986" s="2"/>
      <c r="G986" s="2"/>
      <c r="H986" s="2"/>
      <c r="I986" s="2"/>
      <c r="J986" s="2"/>
      <c r="K986" s="2"/>
    </row>
    <row r="987" spans="1:11" ht="15.75" customHeight="1">
      <c r="A987" s="2"/>
      <c r="B987" s="2"/>
      <c r="C987" s="2"/>
      <c r="D987" s="2"/>
      <c r="E987" s="2"/>
      <c r="F987" s="2"/>
      <c r="G987" s="2"/>
      <c r="H987" s="2"/>
      <c r="I987" s="2"/>
      <c r="J987" s="2"/>
      <c r="K987" s="2"/>
    </row>
    <row r="988" spans="1:11" ht="15.75" customHeight="1">
      <c r="A988" s="2"/>
      <c r="B988" s="2"/>
      <c r="C988" s="2"/>
      <c r="D988" s="2"/>
      <c r="E988" s="2"/>
      <c r="F988" s="2"/>
      <c r="G988" s="2"/>
      <c r="H988" s="2"/>
      <c r="I988" s="2"/>
      <c r="J988" s="2"/>
      <c r="K988" s="2"/>
    </row>
    <row r="989" spans="1:11" ht="15.75" customHeight="1">
      <c r="A989" s="2"/>
      <c r="B989" s="2"/>
      <c r="C989" s="2"/>
      <c r="D989" s="2"/>
      <c r="E989" s="2"/>
      <c r="F989" s="2"/>
      <c r="G989" s="2"/>
      <c r="H989" s="2"/>
      <c r="I989" s="2"/>
      <c r="J989" s="2"/>
      <c r="K989" s="2"/>
    </row>
    <row r="990" spans="1:11" ht="15.75" customHeight="1">
      <c r="A990" s="2"/>
      <c r="B990" s="2"/>
      <c r="C990" s="2"/>
      <c r="D990" s="2"/>
      <c r="E990" s="2"/>
      <c r="F990" s="2"/>
      <c r="G990" s="2"/>
      <c r="H990" s="2"/>
      <c r="I990" s="2"/>
      <c r="J990" s="2"/>
      <c r="K990" s="2"/>
    </row>
    <row r="991" spans="1:11" ht="15.75" customHeight="1">
      <c r="A991" s="2"/>
      <c r="B991" s="2"/>
      <c r="C991" s="2"/>
      <c r="D991" s="2"/>
      <c r="E991" s="2"/>
      <c r="F991" s="2"/>
      <c r="G991" s="2"/>
      <c r="H991" s="2"/>
      <c r="I991" s="2"/>
      <c r="J991" s="2"/>
      <c r="K991" s="2"/>
    </row>
    <row r="992" spans="1:11" ht="15.75" customHeight="1">
      <c r="A992" s="2"/>
      <c r="B992" s="2"/>
      <c r="C992" s="2"/>
      <c r="D992" s="2"/>
      <c r="E992" s="2"/>
      <c r="F992" s="2"/>
      <c r="G992" s="2"/>
      <c r="H992" s="2"/>
      <c r="I992" s="2"/>
      <c r="J992" s="2"/>
      <c r="K992" s="2"/>
    </row>
    <row r="993" spans="1:11" ht="15.75" customHeight="1">
      <c r="A993" s="2"/>
      <c r="B993" s="2"/>
      <c r="C993" s="2"/>
      <c r="D993" s="2"/>
      <c r="E993" s="2"/>
      <c r="F993" s="2"/>
      <c r="G993" s="2"/>
      <c r="H993" s="2"/>
      <c r="I993" s="2"/>
      <c r="J993" s="2"/>
      <c r="K993" s="2"/>
    </row>
    <row r="994" spans="1:11" ht="15.75" customHeight="1">
      <c r="A994" s="2"/>
      <c r="B994" s="2"/>
      <c r="C994" s="2"/>
      <c r="D994" s="2"/>
      <c r="E994" s="2"/>
      <c r="F994" s="2"/>
      <c r="G994" s="2"/>
      <c r="H994" s="2"/>
      <c r="I994" s="2"/>
      <c r="J994" s="2"/>
      <c r="K994" s="2"/>
    </row>
    <row r="995" spans="1:11" ht="15.75" customHeight="1">
      <c r="A995" s="2"/>
      <c r="B995" s="2"/>
      <c r="C995" s="2"/>
      <c r="D995" s="2"/>
      <c r="E995" s="2"/>
      <c r="F995" s="2"/>
      <c r="G995" s="2"/>
      <c r="H995" s="2"/>
      <c r="I995" s="2"/>
      <c r="J995" s="2"/>
      <c r="K995" s="2"/>
    </row>
    <row r="996" spans="1:11" ht="15.75" customHeight="1">
      <c r="A996" s="2"/>
      <c r="B996" s="2"/>
      <c r="C996" s="2"/>
      <c r="D996" s="2"/>
      <c r="E996" s="2"/>
      <c r="F996" s="2"/>
      <c r="G996" s="2"/>
      <c r="H996" s="2"/>
      <c r="I996" s="2"/>
      <c r="J996" s="2"/>
      <c r="K996" s="2"/>
    </row>
    <row r="997" spans="1:11" ht="15.75" customHeight="1">
      <c r="A997" s="2"/>
      <c r="B997" s="2"/>
      <c r="C997" s="2"/>
      <c r="D997" s="2"/>
      <c r="E997" s="2"/>
      <c r="F997" s="2"/>
      <c r="G997" s="2"/>
      <c r="H997" s="2"/>
      <c r="I997" s="2"/>
      <c r="J997" s="2"/>
      <c r="K997" s="2"/>
    </row>
    <row r="998" spans="1:11" ht="15.75" customHeight="1">
      <c r="A998" s="2"/>
      <c r="B998" s="2"/>
      <c r="C998" s="2"/>
      <c r="D998" s="2"/>
      <c r="E998" s="2"/>
      <c r="F998" s="2"/>
      <c r="G998" s="2"/>
      <c r="H998" s="2"/>
      <c r="I998" s="2"/>
      <c r="J998" s="2"/>
      <c r="K998" s="2"/>
    </row>
    <row r="999" spans="1:11" ht="15.75" customHeight="1">
      <c r="A999" s="2"/>
      <c r="B999" s="2"/>
      <c r="C999" s="2"/>
      <c r="D999" s="2"/>
      <c r="E999" s="2"/>
      <c r="F999" s="2"/>
      <c r="G999" s="2"/>
      <c r="H999" s="2"/>
      <c r="I999" s="2"/>
      <c r="J999" s="2"/>
      <c r="K999" s="2"/>
    </row>
    <row r="1000" spans="1:11" ht="15.75" customHeight="1">
      <c r="A1000" s="2"/>
      <c r="B1000" s="2"/>
      <c r="C1000" s="2"/>
      <c r="D1000" s="2"/>
      <c r="E1000" s="2"/>
      <c r="F1000" s="2"/>
      <c r="G1000" s="2"/>
      <c r="H1000" s="2"/>
      <c r="I1000" s="2"/>
      <c r="J1000" s="2"/>
      <c r="K1000" s="2"/>
    </row>
  </sheetData>
  <mergeCells count="1">
    <mergeCell ref="A2:K2"/>
  </mergeCells>
  <dataValidations count="2">
    <dataValidation type="list" allowBlank="1" sqref="G5:H205" xr:uid="{00000000-0002-0000-0200-000000000000}">
      <formula1>"Include,Exclude,Pending"</formula1>
    </dataValidation>
    <dataValidation type="list" allowBlank="1" sqref="I5:I205" xr:uid="{00000000-0002-0000-0200-000001000000}">
      <formula1>"include,exclude,pending"</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workbookViewId="0">
      <pane xSplit="4" ySplit="4" topLeftCell="W36" activePane="bottomRight" state="frozen"/>
      <selection pane="bottomRight" activeCell="A164" sqref="A164:XFD164"/>
      <selection pane="bottomLeft" activeCell="A5" sqref="A5"/>
      <selection pane="topRight" activeCell="E1" sqref="E1"/>
    </sheetView>
  </sheetViews>
  <sheetFormatPr defaultColWidth="14.42578125" defaultRowHeight="15" customHeight="1"/>
  <cols>
    <col min="1" max="1" width="12" customWidth="1"/>
    <col min="2" max="3" width="11" customWidth="1"/>
    <col min="4" max="4" width="9" customWidth="1"/>
    <col min="5" max="5" width="13" customWidth="1"/>
    <col min="6" max="6" width="15" customWidth="1"/>
    <col min="7" max="8" width="18" customWidth="1"/>
    <col min="9" max="12" width="11" customWidth="1"/>
    <col min="13" max="13" width="14" customWidth="1"/>
    <col min="14" max="14" width="26" customWidth="1"/>
    <col min="15" max="15" width="12" customWidth="1"/>
    <col min="16" max="16" width="16" customWidth="1"/>
    <col min="17" max="18" width="12" customWidth="1"/>
    <col min="19" max="19" width="13.140625" customWidth="1"/>
    <col min="20" max="20" width="57.140625" customWidth="1"/>
    <col min="21" max="21" width="18" customWidth="1"/>
    <col min="22" max="22" width="26" customWidth="1"/>
    <col min="23" max="24" width="18" customWidth="1"/>
    <col min="25" max="25" width="26" customWidth="1"/>
    <col min="26" max="26" width="28" customWidth="1"/>
    <col min="27" max="27" width="18" customWidth="1"/>
    <col min="28" max="28" width="16" customWidth="1"/>
    <col min="29" max="29" width="46.42578125" customWidth="1"/>
    <col min="30" max="30" width="28" customWidth="1"/>
    <col min="31" max="32" width="18" customWidth="1"/>
    <col min="33" max="33" width="26" customWidth="1"/>
    <col min="34" max="34" width="11" customWidth="1"/>
    <col min="35" max="35" width="14" customWidth="1"/>
    <col min="36" max="36" width="43.7109375" customWidth="1"/>
  </cols>
  <sheetData>
    <row r="1" spans="1:36" ht="17.25" customHeight="1">
      <c r="A1" s="1" t="s">
        <v>1100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39.75" customHeight="1">
      <c r="A2" s="30" t="s">
        <v>1101</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2"/>
    </row>
    <row r="3" spans="1:36" ht="25.5" customHeight="1">
      <c r="A3" s="31" t="s">
        <v>1102</v>
      </c>
      <c r="B3" s="39"/>
      <c r="C3" s="39"/>
      <c r="D3" s="39"/>
      <c r="E3" s="39"/>
      <c r="F3" s="39"/>
      <c r="G3" s="39"/>
      <c r="H3" s="39"/>
      <c r="I3" s="39"/>
      <c r="J3" s="39"/>
      <c r="K3" s="39"/>
      <c r="L3" s="39"/>
      <c r="M3" s="39"/>
      <c r="N3" s="39"/>
      <c r="O3" s="39"/>
      <c r="P3" s="39"/>
      <c r="Q3" s="39"/>
      <c r="R3" s="39"/>
      <c r="S3" s="39"/>
      <c r="T3" s="39"/>
      <c r="U3" s="39"/>
      <c r="V3" s="32" t="s">
        <v>1103</v>
      </c>
      <c r="W3" s="39"/>
      <c r="X3" s="39"/>
      <c r="Y3" s="39"/>
      <c r="Z3" s="39"/>
      <c r="AA3" s="39"/>
      <c r="AB3" s="39"/>
      <c r="AC3" s="39"/>
      <c r="AD3" s="39"/>
      <c r="AE3" s="39"/>
      <c r="AF3" s="39"/>
      <c r="AG3" s="39"/>
      <c r="AH3" s="33" t="s">
        <v>1104</v>
      </c>
      <c r="AI3" s="39"/>
      <c r="AJ3" s="39"/>
    </row>
    <row r="4" spans="1:36" ht="51.75" customHeight="1">
      <c r="A4" s="5" t="s">
        <v>1105</v>
      </c>
      <c r="B4" s="5" t="s">
        <v>406</v>
      </c>
      <c r="C4" s="5" t="s">
        <v>1106</v>
      </c>
      <c r="D4" s="5" t="s">
        <v>1107</v>
      </c>
      <c r="E4" s="5" t="s">
        <v>1108</v>
      </c>
      <c r="F4" s="5" t="s">
        <v>1109</v>
      </c>
      <c r="G4" s="9" t="s">
        <v>1110</v>
      </c>
      <c r="H4" s="5" t="s">
        <v>1111</v>
      </c>
      <c r="I4" s="5" t="s">
        <v>1112</v>
      </c>
      <c r="J4" s="5" t="s">
        <v>1113</v>
      </c>
      <c r="K4" s="5" t="s">
        <v>1114</v>
      </c>
      <c r="L4" s="5" t="s">
        <v>1115</v>
      </c>
      <c r="M4" s="5" t="s">
        <v>1116</v>
      </c>
      <c r="N4" s="5" t="s">
        <v>415</v>
      </c>
      <c r="O4" s="5" t="s">
        <v>1117</v>
      </c>
      <c r="P4" s="5" t="s">
        <v>191</v>
      </c>
      <c r="Q4" s="5" t="s">
        <v>1118</v>
      </c>
      <c r="R4" s="5" t="s">
        <v>1119</v>
      </c>
      <c r="S4" s="5" t="s">
        <v>1120</v>
      </c>
      <c r="T4" s="5" t="s">
        <v>1121</v>
      </c>
      <c r="U4" s="5" t="s">
        <v>1122</v>
      </c>
      <c r="V4" s="9" t="s">
        <v>1123</v>
      </c>
      <c r="W4" s="9" t="s">
        <v>1124</v>
      </c>
      <c r="X4" s="9" t="s">
        <v>1125</v>
      </c>
      <c r="Y4" s="9" t="s">
        <v>1126</v>
      </c>
      <c r="Z4" s="9" t="s">
        <v>1127</v>
      </c>
      <c r="AA4" s="9" t="s">
        <v>1128</v>
      </c>
      <c r="AB4" s="9" t="s">
        <v>1129</v>
      </c>
      <c r="AC4" s="9" t="s">
        <v>1130</v>
      </c>
      <c r="AD4" s="9" t="s">
        <v>1131</v>
      </c>
      <c r="AE4" s="9" t="s">
        <v>1132</v>
      </c>
      <c r="AF4" s="9" t="s">
        <v>1133</v>
      </c>
      <c r="AG4" s="9" t="s">
        <v>1134</v>
      </c>
      <c r="AH4" s="10" t="s">
        <v>1135</v>
      </c>
      <c r="AI4" s="10" t="s">
        <v>1136</v>
      </c>
      <c r="AJ4" s="10" t="s">
        <v>416</v>
      </c>
    </row>
    <row r="5" spans="1:36" ht="36" customHeight="1">
      <c r="A5" s="8" t="s">
        <v>1137</v>
      </c>
      <c r="B5" s="8" t="s">
        <v>417</v>
      </c>
      <c r="C5" s="8" t="s">
        <v>1138</v>
      </c>
      <c r="D5" s="8" t="s">
        <v>1139</v>
      </c>
      <c r="E5" s="8" t="s">
        <v>106</v>
      </c>
      <c r="F5" s="8" t="s">
        <v>70</v>
      </c>
      <c r="G5" s="8" t="s">
        <v>1140</v>
      </c>
      <c r="H5" s="8" t="s">
        <v>163</v>
      </c>
      <c r="I5" s="8" t="s">
        <v>1141</v>
      </c>
      <c r="J5" s="8" t="s">
        <v>1141</v>
      </c>
      <c r="K5" s="8" t="s">
        <v>1141</v>
      </c>
      <c r="L5" s="8" t="s">
        <v>1141</v>
      </c>
      <c r="M5" s="8" t="s">
        <v>421</v>
      </c>
      <c r="N5" s="8"/>
      <c r="O5" s="8">
        <v>1</v>
      </c>
      <c r="P5" s="8" t="s">
        <v>205</v>
      </c>
      <c r="Q5" s="8" t="s">
        <v>228</v>
      </c>
      <c r="R5" s="8" t="s">
        <v>236</v>
      </c>
      <c r="S5" s="8" t="s">
        <v>1142</v>
      </c>
      <c r="T5" s="8" t="s">
        <v>1143</v>
      </c>
      <c r="U5" s="8"/>
      <c r="V5" s="11"/>
      <c r="W5" s="11"/>
      <c r="X5" s="11"/>
      <c r="Y5" s="11"/>
      <c r="Z5" s="11"/>
      <c r="AA5" s="11"/>
      <c r="AB5" s="11"/>
      <c r="AC5" s="8" t="s">
        <v>1144</v>
      </c>
      <c r="AD5" s="8" t="s">
        <v>1145</v>
      </c>
      <c r="AE5" s="8" t="s">
        <v>362</v>
      </c>
      <c r="AF5" s="11"/>
      <c r="AG5" s="11"/>
      <c r="AH5" s="11" t="s">
        <v>1146</v>
      </c>
      <c r="AI5" s="11"/>
      <c r="AJ5" s="8" t="s">
        <v>1147</v>
      </c>
    </row>
    <row r="6" spans="1:36" ht="36" customHeight="1">
      <c r="A6" s="8" t="s">
        <v>1148</v>
      </c>
      <c r="B6" s="8" t="s">
        <v>423</v>
      </c>
      <c r="C6" s="8" t="s">
        <v>1138</v>
      </c>
      <c r="D6" s="8" t="s">
        <v>1139</v>
      </c>
      <c r="E6" s="8" t="s">
        <v>109</v>
      </c>
      <c r="F6" s="8" t="s">
        <v>65</v>
      </c>
      <c r="G6" s="8" t="s">
        <v>1149</v>
      </c>
      <c r="H6" s="8" t="s">
        <v>182</v>
      </c>
      <c r="I6" s="8" t="s">
        <v>1141</v>
      </c>
      <c r="J6" s="8" t="s">
        <v>1141</v>
      </c>
      <c r="K6" s="8" t="s">
        <v>1141</v>
      </c>
      <c r="L6" s="8" t="s">
        <v>1141</v>
      </c>
      <c r="M6" s="8" t="s">
        <v>421</v>
      </c>
      <c r="N6" s="8"/>
      <c r="O6" s="8">
        <v>3</v>
      </c>
      <c r="P6" s="8" t="s">
        <v>199</v>
      </c>
      <c r="Q6" s="8" t="s">
        <v>225</v>
      </c>
      <c r="R6" s="8" t="s">
        <v>236</v>
      </c>
      <c r="S6" s="8" t="s">
        <v>1150</v>
      </c>
      <c r="T6" s="8" t="s">
        <v>1151</v>
      </c>
      <c r="U6" s="8"/>
      <c r="V6" s="8" t="s">
        <v>1152</v>
      </c>
      <c r="W6" s="8" t="s">
        <v>250</v>
      </c>
      <c r="X6" s="8" t="s">
        <v>282</v>
      </c>
      <c r="Y6" s="8" t="s">
        <v>1153</v>
      </c>
      <c r="Z6" s="8" t="s">
        <v>1154</v>
      </c>
      <c r="AA6" s="8" t="s">
        <v>318</v>
      </c>
      <c r="AB6" s="8" t="s">
        <v>350</v>
      </c>
      <c r="AC6" s="8" t="s">
        <v>1155</v>
      </c>
      <c r="AD6" s="8" t="s">
        <v>1156</v>
      </c>
      <c r="AE6" s="8" t="s">
        <v>362</v>
      </c>
      <c r="AF6" s="8" t="s">
        <v>1157</v>
      </c>
      <c r="AG6" s="8" t="s">
        <v>1158</v>
      </c>
      <c r="AH6" s="11" t="s">
        <v>1146</v>
      </c>
      <c r="AI6" s="11"/>
      <c r="AJ6" s="8" t="s">
        <v>1159</v>
      </c>
    </row>
    <row r="7" spans="1:36" ht="48" customHeight="1">
      <c r="A7" s="8" t="s">
        <v>1160</v>
      </c>
      <c r="B7" s="8" t="s">
        <v>427</v>
      </c>
      <c r="C7" s="8" t="s">
        <v>396</v>
      </c>
      <c r="D7" s="8" t="s">
        <v>1139</v>
      </c>
      <c r="E7" s="8" t="s">
        <v>112</v>
      </c>
      <c r="F7" s="8" t="s">
        <v>90</v>
      </c>
      <c r="G7" s="8" t="s">
        <v>1161</v>
      </c>
      <c r="H7" s="8" t="s">
        <v>182</v>
      </c>
      <c r="I7" s="8" t="s">
        <v>1141</v>
      </c>
      <c r="J7" s="8" t="s">
        <v>1141</v>
      </c>
      <c r="K7" s="8" t="s">
        <v>1141</v>
      </c>
      <c r="L7" s="8" t="s">
        <v>1141</v>
      </c>
      <c r="M7" s="8" t="s">
        <v>421</v>
      </c>
      <c r="N7" s="8"/>
      <c r="O7" s="8">
        <v>1</v>
      </c>
      <c r="P7" s="8" t="s">
        <v>205</v>
      </c>
      <c r="Q7" s="8" t="s">
        <v>228</v>
      </c>
      <c r="R7" s="8" t="s">
        <v>236</v>
      </c>
      <c r="S7" s="8" t="s">
        <v>1162</v>
      </c>
      <c r="T7" s="8" t="s">
        <v>1163</v>
      </c>
      <c r="U7" s="8" t="s">
        <v>446</v>
      </c>
      <c r="V7" s="8"/>
      <c r="W7" s="8"/>
      <c r="X7" s="8"/>
      <c r="Y7" s="8"/>
      <c r="Z7" s="8"/>
      <c r="AA7" s="8"/>
      <c r="AB7" s="8"/>
      <c r="AC7" s="8" t="s">
        <v>1164</v>
      </c>
      <c r="AD7" s="8" t="s">
        <v>1165</v>
      </c>
      <c r="AE7" s="8" t="s">
        <v>362</v>
      </c>
      <c r="AF7" s="8" t="s">
        <v>1166</v>
      </c>
      <c r="AG7" s="8"/>
      <c r="AH7" s="11" t="s">
        <v>1146</v>
      </c>
      <c r="AI7" s="11"/>
      <c r="AJ7" s="8" t="s">
        <v>1167</v>
      </c>
    </row>
    <row r="8" spans="1:36" ht="36" customHeight="1">
      <c r="A8" s="8" t="s">
        <v>1168</v>
      </c>
      <c r="B8" s="8" t="s">
        <v>431</v>
      </c>
      <c r="C8" s="8" t="s">
        <v>396</v>
      </c>
      <c r="D8" s="8" t="s">
        <v>1139</v>
      </c>
      <c r="E8" s="8" t="s">
        <v>118</v>
      </c>
      <c r="F8" s="8" t="s">
        <v>65</v>
      </c>
      <c r="G8" s="8" t="s">
        <v>1161</v>
      </c>
      <c r="H8" s="8" t="s">
        <v>182</v>
      </c>
      <c r="I8" s="8" t="s">
        <v>1141</v>
      </c>
      <c r="J8" s="8" t="s">
        <v>1141</v>
      </c>
      <c r="K8" s="8" t="s">
        <v>1141</v>
      </c>
      <c r="L8" s="8" t="s">
        <v>1141</v>
      </c>
      <c r="M8" s="8" t="s">
        <v>421</v>
      </c>
      <c r="N8" s="8"/>
      <c r="O8" s="8">
        <v>1</v>
      </c>
      <c r="P8" s="8" t="s">
        <v>205</v>
      </c>
      <c r="Q8" s="8" t="s">
        <v>228</v>
      </c>
      <c r="R8" s="8" t="s">
        <v>239</v>
      </c>
      <c r="S8" s="8" t="s">
        <v>1169</v>
      </c>
      <c r="T8" s="8" t="s">
        <v>1170</v>
      </c>
      <c r="U8" s="8" t="s">
        <v>1171</v>
      </c>
      <c r="V8" s="8"/>
      <c r="W8" s="8"/>
      <c r="X8" s="8"/>
      <c r="Y8" s="8"/>
      <c r="Z8" s="8"/>
      <c r="AA8" s="8"/>
      <c r="AB8" s="8"/>
      <c r="AC8" s="8" t="s">
        <v>1172</v>
      </c>
      <c r="AD8" s="8" t="s">
        <v>1173</v>
      </c>
      <c r="AE8" s="8" t="s">
        <v>362</v>
      </c>
      <c r="AF8" s="8"/>
      <c r="AG8" s="8"/>
      <c r="AH8" s="11" t="s">
        <v>1146</v>
      </c>
      <c r="AI8" s="11"/>
      <c r="AJ8" s="8" t="s">
        <v>1174</v>
      </c>
    </row>
    <row r="9" spans="1:36" ht="36" customHeight="1">
      <c r="A9" s="8" t="s">
        <v>1175</v>
      </c>
      <c r="B9" s="8" t="s">
        <v>435</v>
      </c>
      <c r="C9" s="8" t="s">
        <v>396</v>
      </c>
      <c r="D9" s="8" t="s">
        <v>1139</v>
      </c>
      <c r="E9" s="8" t="s">
        <v>118</v>
      </c>
      <c r="F9" s="8" t="s">
        <v>65</v>
      </c>
      <c r="G9" s="8" t="s">
        <v>1149</v>
      </c>
      <c r="H9" s="8" t="s">
        <v>182</v>
      </c>
      <c r="I9" s="8" t="s">
        <v>1141</v>
      </c>
      <c r="J9" s="8" t="s">
        <v>1141</v>
      </c>
      <c r="K9" s="8" t="s">
        <v>1141</v>
      </c>
      <c r="L9" s="8" t="s">
        <v>1141</v>
      </c>
      <c r="M9" s="8" t="s">
        <v>421</v>
      </c>
      <c r="N9" s="8"/>
      <c r="O9" s="8">
        <v>1</v>
      </c>
      <c r="P9" s="8" t="s">
        <v>205</v>
      </c>
      <c r="Q9" s="8" t="s">
        <v>228</v>
      </c>
      <c r="R9" s="8" t="s">
        <v>239</v>
      </c>
      <c r="S9" s="8" t="s">
        <v>1176</v>
      </c>
      <c r="T9" s="8" t="s">
        <v>1177</v>
      </c>
      <c r="U9" s="8" t="s">
        <v>1178</v>
      </c>
      <c r="V9" s="8"/>
      <c r="W9" s="8"/>
      <c r="X9" s="8"/>
      <c r="Y9" s="8"/>
      <c r="Z9" s="8"/>
      <c r="AA9" s="8"/>
      <c r="AB9" s="8"/>
      <c r="AC9" s="8" t="s">
        <v>1179</v>
      </c>
      <c r="AD9" s="8" t="s">
        <v>1180</v>
      </c>
      <c r="AE9" s="8" t="s">
        <v>362</v>
      </c>
      <c r="AF9" s="8"/>
      <c r="AG9" s="8"/>
      <c r="AH9" s="11" t="s">
        <v>1146</v>
      </c>
      <c r="AI9" s="11"/>
      <c r="AJ9" s="8" t="s">
        <v>1181</v>
      </c>
    </row>
    <row r="10" spans="1:36" ht="36" customHeight="1">
      <c r="A10" s="8" t="s">
        <v>1182</v>
      </c>
      <c r="B10" s="8" t="s">
        <v>439</v>
      </c>
      <c r="C10" s="8" t="s">
        <v>396</v>
      </c>
      <c r="D10" s="8" t="s">
        <v>1139</v>
      </c>
      <c r="E10" s="8" t="s">
        <v>112</v>
      </c>
      <c r="F10" s="8" t="s">
        <v>65</v>
      </c>
      <c r="G10" s="8" t="s">
        <v>1161</v>
      </c>
      <c r="H10" s="8" t="s">
        <v>182</v>
      </c>
      <c r="I10" s="8" t="s">
        <v>1141</v>
      </c>
      <c r="J10" s="8" t="s">
        <v>1141</v>
      </c>
      <c r="K10" s="8" t="s">
        <v>1141</v>
      </c>
      <c r="L10" s="8" t="s">
        <v>1141</v>
      </c>
      <c r="M10" s="8" t="s">
        <v>421</v>
      </c>
      <c r="N10" s="8"/>
      <c r="O10" s="8">
        <v>3</v>
      </c>
      <c r="P10" s="8" t="s">
        <v>193</v>
      </c>
      <c r="Q10" s="8" t="s">
        <v>228</v>
      </c>
      <c r="R10" s="8" t="s">
        <v>236</v>
      </c>
      <c r="S10" s="8" t="s">
        <v>1183</v>
      </c>
      <c r="T10" s="8" t="s">
        <v>1184</v>
      </c>
      <c r="U10" s="8" t="s">
        <v>443</v>
      </c>
      <c r="V10" s="8" t="s">
        <v>1185</v>
      </c>
      <c r="W10" s="8" t="s">
        <v>268</v>
      </c>
      <c r="X10" s="8" t="s">
        <v>291</v>
      </c>
      <c r="Y10" s="8" t="s">
        <v>1186</v>
      </c>
      <c r="Z10" s="8"/>
      <c r="AA10" s="8"/>
      <c r="AB10" s="8"/>
      <c r="AC10" s="8" t="s">
        <v>1187</v>
      </c>
      <c r="AD10" s="8" t="s">
        <v>1188</v>
      </c>
      <c r="AE10" s="8" t="s">
        <v>362</v>
      </c>
      <c r="AF10" s="8"/>
      <c r="AG10" s="8"/>
      <c r="AH10" s="11" t="s">
        <v>1146</v>
      </c>
      <c r="AI10" s="11"/>
      <c r="AJ10" s="8" t="s">
        <v>1189</v>
      </c>
    </row>
    <row r="11" spans="1:36" ht="51.75" customHeight="1">
      <c r="A11" s="8" t="s">
        <v>1190</v>
      </c>
      <c r="B11" s="8" t="s">
        <v>443</v>
      </c>
      <c r="C11" s="8" t="s">
        <v>396</v>
      </c>
      <c r="D11" s="8" t="s">
        <v>1139</v>
      </c>
      <c r="E11" s="8" t="s">
        <v>106</v>
      </c>
      <c r="F11" s="8" t="s">
        <v>70</v>
      </c>
      <c r="G11" s="8" t="s">
        <v>1140</v>
      </c>
      <c r="H11" s="8" t="s">
        <v>163</v>
      </c>
      <c r="I11" s="8" t="s">
        <v>1141</v>
      </c>
      <c r="J11" s="8" t="s">
        <v>1141</v>
      </c>
      <c r="K11" s="8" t="s">
        <v>1141</v>
      </c>
      <c r="L11" s="8" t="s">
        <v>1141</v>
      </c>
      <c r="M11" s="8" t="s">
        <v>421</v>
      </c>
      <c r="N11" s="8"/>
      <c r="O11" s="8">
        <v>3</v>
      </c>
      <c r="P11" s="8" t="s">
        <v>193</v>
      </c>
      <c r="Q11" s="8" t="s">
        <v>228</v>
      </c>
      <c r="R11" s="8" t="s">
        <v>236</v>
      </c>
      <c r="S11" s="8" t="s">
        <v>1191</v>
      </c>
      <c r="T11" s="8" t="s">
        <v>1192</v>
      </c>
      <c r="U11" s="8" t="s">
        <v>439</v>
      </c>
      <c r="V11" s="8" t="s">
        <v>1193</v>
      </c>
      <c r="W11" s="8" t="s">
        <v>268</v>
      </c>
      <c r="X11" s="8" t="s">
        <v>300</v>
      </c>
      <c r="Y11" s="8" t="s">
        <v>1194</v>
      </c>
      <c r="Z11" s="8"/>
      <c r="AA11" s="8"/>
      <c r="AB11" s="8"/>
      <c r="AC11" s="8" t="s">
        <v>1195</v>
      </c>
      <c r="AD11" s="8" t="s">
        <v>1196</v>
      </c>
      <c r="AE11" s="8" t="s">
        <v>362</v>
      </c>
      <c r="AF11" s="8" t="s">
        <v>1197</v>
      </c>
      <c r="AG11" s="8"/>
      <c r="AH11" s="11" t="s">
        <v>1146</v>
      </c>
      <c r="AI11" s="11"/>
      <c r="AJ11" s="8" t="s">
        <v>1198</v>
      </c>
    </row>
    <row r="12" spans="1:36" ht="36" customHeight="1">
      <c r="A12" s="8" t="s">
        <v>1199</v>
      </c>
      <c r="B12" s="8" t="s">
        <v>446</v>
      </c>
      <c r="C12" s="8" t="s">
        <v>396</v>
      </c>
      <c r="D12" s="8" t="s">
        <v>1139</v>
      </c>
      <c r="E12" s="8" t="s">
        <v>112</v>
      </c>
      <c r="F12" s="8" t="s">
        <v>70</v>
      </c>
      <c r="G12" s="8" t="s">
        <v>1161</v>
      </c>
      <c r="H12" s="8" t="s">
        <v>182</v>
      </c>
      <c r="I12" s="8" t="s">
        <v>1141</v>
      </c>
      <c r="J12" s="8" t="s">
        <v>1141</v>
      </c>
      <c r="K12" s="8" t="s">
        <v>1141</v>
      </c>
      <c r="L12" s="8" t="s">
        <v>1141</v>
      </c>
      <c r="M12" s="8" t="s">
        <v>421</v>
      </c>
      <c r="N12" s="8"/>
      <c r="O12" s="8">
        <v>1</v>
      </c>
      <c r="P12" s="8" t="s">
        <v>205</v>
      </c>
      <c r="Q12" s="8" t="s">
        <v>228</v>
      </c>
      <c r="R12" s="8" t="s">
        <v>236</v>
      </c>
      <c r="S12" s="8" t="s">
        <v>1200</v>
      </c>
      <c r="T12" s="8" t="s">
        <v>1201</v>
      </c>
      <c r="U12" s="8"/>
      <c r="V12" s="8"/>
      <c r="W12" s="8"/>
      <c r="X12" s="8"/>
      <c r="Y12" s="8"/>
      <c r="Z12" s="8"/>
      <c r="AA12" s="8"/>
      <c r="AB12" s="8"/>
      <c r="AC12" s="8" t="s">
        <v>1202</v>
      </c>
      <c r="AD12" s="8" t="s">
        <v>381</v>
      </c>
      <c r="AE12" s="8" t="s">
        <v>362</v>
      </c>
      <c r="AF12" s="8"/>
      <c r="AG12" s="8"/>
      <c r="AH12" s="11" t="s">
        <v>1146</v>
      </c>
      <c r="AI12" s="11"/>
      <c r="AJ12" s="8" t="s">
        <v>1203</v>
      </c>
    </row>
    <row r="13" spans="1:36" ht="36" customHeight="1">
      <c r="A13" s="8" t="s">
        <v>1204</v>
      </c>
      <c r="B13" s="8" t="s">
        <v>450</v>
      </c>
      <c r="C13" s="8" t="s">
        <v>396</v>
      </c>
      <c r="D13" s="8" t="s">
        <v>1139</v>
      </c>
      <c r="E13" s="8" t="s">
        <v>99</v>
      </c>
      <c r="F13" s="8" t="s">
        <v>65</v>
      </c>
      <c r="G13" s="8" t="s">
        <v>1149</v>
      </c>
      <c r="H13" s="8" t="s">
        <v>182</v>
      </c>
      <c r="I13" s="8" t="s">
        <v>1141</v>
      </c>
      <c r="J13" s="8" t="s">
        <v>1141</v>
      </c>
      <c r="K13" s="8" t="s">
        <v>1141</v>
      </c>
      <c r="L13" s="8" t="s">
        <v>1141</v>
      </c>
      <c r="M13" s="8" t="s">
        <v>421</v>
      </c>
      <c r="N13" s="8"/>
      <c r="O13" s="8">
        <v>3</v>
      </c>
      <c r="P13" s="8" t="s">
        <v>202</v>
      </c>
      <c r="Q13" s="8" t="s">
        <v>228</v>
      </c>
      <c r="R13" s="8" t="s">
        <v>236</v>
      </c>
      <c r="S13" s="8" t="s">
        <v>1205</v>
      </c>
      <c r="T13" s="8" t="s">
        <v>1206</v>
      </c>
      <c r="U13" s="8"/>
      <c r="V13" s="8" t="s">
        <v>1207</v>
      </c>
      <c r="W13" s="8" t="s">
        <v>250</v>
      </c>
      <c r="X13" s="8" t="s">
        <v>282</v>
      </c>
      <c r="Y13" s="8" t="s">
        <v>1208</v>
      </c>
      <c r="Z13" s="8"/>
      <c r="AA13" s="8"/>
      <c r="AB13" s="8"/>
      <c r="AC13" s="8" t="s">
        <v>1209</v>
      </c>
      <c r="AD13" s="8" t="s">
        <v>1210</v>
      </c>
      <c r="AE13" s="8" t="s">
        <v>362</v>
      </c>
      <c r="AF13" s="8"/>
      <c r="AG13" s="8"/>
      <c r="AH13" s="11" t="s">
        <v>1146</v>
      </c>
      <c r="AI13" s="11"/>
      <c r="AJ13" s="8" t="s">
        <v>1211</v>
      </c>
    </row>
    <row r="14" spans="1:36" ht="48" customHeight="1">
      <c r="A14" s="8" t="s">
        <v>1212</v>
      </c>
      <c r="B14" s="8" t="s">
        <v>454</v>
      </c>
      <c r="C14" s="8" t="s">
        <v>396</v>
      </c>
      <c r="D14" s="8" t="s">
        <v>1139</v>
      </c>
      <c r="E14" s="8" t="s">
        <v>124</v>
      </c>
      <c r="F14" s="8" t="s">
        <v>70</v>
      </c>
      <c r="G14" s="8" t="s">
        <v>1213</v>
      </c>
      <c r="H14" s="8" t="s">
        <v>182</v>
      </c>
      <c r="I14" s="8" t="s">
        <v>1141</v>
      </c>
      <c r="J14" s="8" t="s">
        <v>1141</v>
      </c>
      <c r="K14" s="8" t="s">
        <v>1141</v>
      </c>
      <c r="L14" s="8" t="s">
        <v>1141</v>
      </c>
      <c r="M14" s="8" t="s">
        <v>421</v>
      </c>
      <c r="N14" s="8"/>
      <c r="O14" s="8">
        <v>2</v>
      </c>
      <c r="P14" s="8" t="s">
        <v>202</v>
      </c>
      <c r="Q14" s="8" t="s">
        <v>228</v>
      </c>
      <c r="R14" s="8" t="s">
        <v>236</v>
      </c>
      <c r="S14" s="8" t="s">
        <v>1214</v>
      </c>
      <c r="T14" s="8" t="s">
        <v>1215</v>
      </c>
      <c r="U14" s="8" t="s">
        <v>489</v>
      </c>
      <c r="V14" s="8" t="s">
        <v>1216</v>
      </c>
      <c r="W14" s="8" t="s">
        <v>250</v>
      </c>
      <c r="X14" s="8" t="s">
        <v>309</v>
      </c>
      <c r="Y14" s="8" t="s">
        <v>1217</v>
      </c>
      <c r="Z14" s="8"/>
      <c r="AA14" s="8"/>
      <c r="AB14" s="8"/>
      <c r="AC14" s="8" t="s">
        <v>1218</v>
      </c>
      <c r="AD14" s="8" t="s">
        <v>1219</v>
      </c>
      <c r="AE14" s="8" t="s">
        <v>362</v>
      </c>
      <c r="AF14" s="8"/>
      <c r="AG14" s="8"/>
      <c r="AH14" s="11" t="s">
        <v>1146</v>
      </c>
      <c r="AI14" s="11"/>
      <c r="AJ14" s="8" t="s">
        <v>1220</v>
      </c>
    </row>
    <row r="15" spans="1:36" ht="48" customHeight="1">
      <c r="A15" s="8" t="s">
        <v>1221</v>
      </c>
      <c r="B15" s="8" t="s">
        <v>457</v>
      </c>
      <c r="C15" s="8" t="s">
        <v>396</v>
      </c>
      <c r="D15" s="8" t="s">
        <v>1139</v>
      </c>
      <c r="E15" s="8" t="s">
        <v>112</v>
      </c>
      <c r="F15" s="8" t="s">
        <v>70</v>
      </c>
      <c r="G15" s="8" t="s">
        <v>1161</v>
      </c>
      <c r="H15" s="8" t="s">
        <v>182</v>
      </c>
      <c r="I15" s="8" t="s">
        <v>1141</v>
      </c>
      <c r="J15" s="8" t="s">
        <v>1141</v>
      </c>
      <c r="K15" s="8" t="s">
        <v>1141</v>
      </c>
      <c r="L15" s="8" t="s">
        <v>1141</v>
      </c>
      <c r="M15" s="8" t="s">
        <v>421</v>
      </c>
      <c r="N15" s="8"/>
      <c r="O15" s="8">
        <v>2</v>
      </c>
      <c r="P15" s="8" t="s">
        <v>199</v>
      </c>
      <c r="Q15" s="8" t="s">
        <v>225</v>
      </c>
      <c r="R15" s="8" t="s">
        <v>236</v>
      </c>
      <c r="S15" s="8" t="s">
        <v>1222</v>
      </c>
      <c r="T15" s="8" t="s">
        <v>1223</v>
      </c>
      <c r="U15" s="8"/>
      <c r="V15" s="8"/>
      <c r="W15" s="8"/>
      <c r="X15" s="8"/>
      <c r="Y15" s="8"/>
      <c r="Z15" s="8"/>
      <c r="AA15" s="8"/>
      <c r="AB15" s="8"/>
      <c r="AC15" s="8" t="s">
        <v>1224</v>
      </c>
      <c r="AD15" s="8" t="s">
        <v>1225</v>
      </c>
      <c r="AE15" s="8" t="s">
        <v>362</v>
      </c>
      <c r="AF15" s="8" t="s">
        <v>1226</v>
      </c>
      <c r="AG15" s="8" t="s">
        <v>1227</v>
      </c>
      <c r="AH15" s="11" t="s">
        <v>1146</v>
      </c>
      <c r="AI15" s="11"/>
      <c r="AJ15" s="8" t="s">
        <v>1228</v>
      </c>
    </row>
    <row r="16" spans="1:36" ht="36" customHeight="1">
      <c r="A16" s="8" t="s">
        <v>1229</v>
      </c>
      <c r="B16" s="8" t="s">
        <v>461</v>
      </c>
      <c r="C16" s="8" t="s">
        <v>396</v>
      </c>
      <c r="D16" s="8" t="s">
        <v>1139</v>
      </c>
      <c r="E16" s="8" t="s">
        <v>133</v>
      </c>
      <c r="F16" s="8" t="s">
        <v>85</v>
      </c>
      <c r="G16" s="8" t="s">
        <v>1230</v>
      </c>
      <c r="H16" s="8" t="s">
        <v>150</v>
      </c>
      <c r="I16" s="8" t="s">
        <v>1141</v>
      </c>
      <c r="J16" s="8" t="s">
        <v>1141</v>
      </c>
      <c r="K16" s="8" t="s">
        <v>1141</v>
      </c>
      <c r="L16" s="8" t="s">
        <v>1141</v>
      </c>
      <c r="M16" s="8" t="s">
        <v>421</v>
      </c>
      <c r="N16" s="8"/>
      <c r="O16" s="8">
        <v>1</v>
      </c>
      <c r="P16" s="8" t="s">
        <v>205</v>
      </c>
      <c r="Q16" s="8" t="s">
        <v>228</v>
      </c>
      <c r="R16" s="8" t="s">
        <v>239</v>
      </c>
      <c r="S16" s="8" t="s">
        <v>1231</v>
      </c>
      <c r="T16" s="8" t="s">
        <v>1232</v>
      </c>
      <c r="U16" s="8" t="s">
        <v>481</v>
      </c>
      <c r="V16" s="8"/>
      <c r="W16" s="8"/>
      <c r="X16" s="8"/>
      <c r="Y16" s="8"/>
      <c r="Z16" s="8"/>
      <c r="AA16" s="8"/>
      <c r="AB16" s="8"/>
      <c r="AC16" s="8" t="s">
        <v>1233</v>
      </c>
      <c r="AD16" s="8" t="s">
        <v>1234</v>
      </c>
      <c r="AE16" s="8" t="s">
        <v>386</v>
      </c>
      <c r="AF16" s="8"/>
      <c r="AG16" s="8"/>
      <c r="AH16" s="11" t="s">
        <v>1146</v>
      </c>
      <c r="AI16" s="11"/>
      <c r="AJ16" s="8" t="s">
        <v>1235</v>
      </c>
    </row>
    <row r="17" spans="1:36" ht="60" customHeight="1">
      <c r="A17" s="8" t="s">
        <v>1236</v>
      </c>
      <c r="B17" s="8" t="s">
        <v>465</v>
      </c>
      <c r="C17" s="8" t="s">
        <v>396</v>
      </c>
      <c r="D17" s="8" t="s">
        <v>1139</v>
      </c>
      <c r="E17" s="8" t="s">
        <v>99</v>
      </c>
      <c r="F17" s="8" t="s">
        <v>80</v>
      </c>
      <c r="G17" s="8" t="s">
        <v>1230</v>
      </c>
      <c r="H17" s="8" t="s">
        <v>150</v>
      </c>
      <c r="I17" s="8" t="s">
        <v>1141</v>
      </c>
      <c r="J17" s="8" t="s">
        <v>1141</v>
      </c>
      <c r="K17" s="8" t="s">
        <v>1141</v>
      </c>
      <c r="L17" s="8" t="s">
        <v>1141</v>
      </c>
      <c r="M17" s="8" t="s">
        <v>421</v>
      </c>
      <c r="N17" s="8"/>
      <c r="O17" s="8">
        <v>2</v>
      </c>
      <c r="P17" s="8" t="s">
        <v>193</v>
      </c>
      <c r="Q17" s="8" t="s">
        <v>228</v>
      </c>
      <c r="R17" s="8" t="s">
        <v>239</v>
      </c>
      <c r="S17" s="8" t="s">
        <v>1183</v>
      </c>
      <c r="T17" s="8" t="s">
        <v>1237</v>
      </c>
      <c r="U17" s="8"/>
      <c r="V17" s="8"/>
      <c r="W17" s="8"/>
      <c r="X17" s="8"/>
      <c r="Y17" s="8"/>
      <c r="Z17" s="8"/>
      <c r="AA17" s="8"/>
      <c r="AB17" s="8"/>
      <c r="AC17" s="8" t="s">
        <v>1238</v>
      </c>
      <c r="AD17" s="8" t="s">
        <v>1239</v>
      </c>
      <c r="AE17" s="8" t="s">
        <v>362</v>
      </c>
      <c r="AF17" s="8" t="s">
        <v>1240</v>
      </c>
      <c r="AG17" s="8"/>
      <c r="AH17" s="11" t="s">
        <v>1146</v>
      </c>
      <c r="AI17" s="11"/>
      <c r="AJ17" s="8" t="s">
        <v>1241</v>
      </c>
    </row>
    <row r="18" spans="1:36" ht="48" customHeight="1">
      <c r="A18" s="8" t="s">
        <v>1242</v>
      </c>
      <c r="B18" s="8" t="s">
        <v>469</v>
      </c>
      <c r="C18" s="8" t="s">
        <v>396</v>
      </c>
      <c r="D18" s="8" t="s">
        <v>1139</v>
      </c>
      <c r="E18" s="8" t="s">
        <v>115</v>
      </c>
      <c r="F18" s="8" t="s">
        <v>70</v>
      </c>
      <c r="G18" s="8" t="s">
        <v>1140</v>
      </c>
      <c r="H18" s="8" t="s">
        <v>163</v>
      </c>
      <c r="I18" s="8" t="s">
        <v>1141</v>
      </c>
      <c r="J18" s="8" t="s">
        <v>1141</v>
      </c>
      <c r="K18" s="8" t="s">
        <v>1141</v>
      </c>
      <c r="L18" s="8" t="s">
        <v>1141</v>
      </c>
      <c r="M18" s="8" t="s">
        <v>421</v>
      </c>
      <c r="N18" s="8"/>
      <c r="O18" s="8">
        <v>1</v>
      </c>
      <c r="P18" s="8" t="s">
        <v>205</v>
      </c>
      <c r="Q18" s="8" t="s">
        <v>228</v>
      </c>
      <c r="R18" s="8" t="s">
        <v>239</v>
      </c>
      <c r="S18" s="8" t="s">
        <v>1243</v>
      </c>
      <c r="T18" s="8" t="s">
        <v>1244</v>
      </c>
      <c r="U18" s="8" t="s">
        <v>473</v>
      </c>
      <c r="V18" s="8"/>
      <c r="W18" s="8"/>
      <c r="X18" s="8"/>
      <c r="Y18" s="8"/>
      <c r="Z18" s="8"/>
      <c r="AA18" s="8"/>
      <c r="AB18" s="8"/>
      <c r="AC18" s="8" t="s">
        <v>1245</v>
      </c>
      <c r="AD18" s="8" t="s">
        <v>381</v>
      </c>
      <c r="AE18" s="8" t="s">
        <v>362</v>
      </c>
      <c r="AF18" s="8"/>
      <c r="AG18" s="8"/>
      <c r="AH18" s="11" t="s">
        <v>1146</v>
      </c>
      <c r="AI18" s="11"/>
      <c r="AJ18" s="8" t="s">
        <v>1246</v>
      </c>
    </row>
    <row r="19" spans="1:36" ht="36" customHeight="1">
      <c r="A19" s="8" t="s">
        <v>1247</v>
      </c>
      <c r="B19" s="8" t="s">
        <v>473</v>
      </c>
      <c r="C19" s="8" t="s">
        <v>396</v>
      </c>
      <c r="D19" s="8" t="s">
        <v>1139</v>
      </c>
      <c r="E19" s="8" t="s">
        <v>115</v>
      </c>
      <c r="F19" s="8" t="s">
        <v>70</v>
      </c>
      <c r="G19" s="8" t="s">
        <v>1213</v>
      </c>
      <c r="H19" s="8" t="s">
        <v>182</v>
      </c>
      <c r="I19" s="8" t="s">
        <v>1141</v>
      </c>
      <c r="J19" s="8" t="s">
        <v>1141</v>
      </c>
      <c r="K19" s="8" t="s">
        <v>1141</v>
      </c>
      <c r="L19" s="8" t="s">
        <v>1141</v>
      </c>
      <c r="M19" s="8" t="s">
        <v>421</v>
      </c>
      <c r="N19" s="8"/>
      <c r="O19" s="8">
        <v>1</v>
      </c>
      <c r="P19" s="8" t="s">
        <v>205</v>
      </c>
      <c r="Q19" s="8" t="s">
        <v>228</v>
      </c>
      <c r="R19" s="8" t="s">
        <v>239</v>
      </c>
      <c r="S19" s="8" t="s">
        <v>1214</v>
      </c>
      <c r="T19" s="8" t="s">
        <v>1248</v>
      </c>
      <c r="U19" s="8" t="s">
        <v>1249</v>
      </c>
      <c r="V19" s="8"/>
      <c r="W19" s="8"/>
      <c r="X19" s="8"/>
      <c r="Y19" s="8"/>
      <c r="Z19" s="8"/>
      <c r="AA19" s="8"/>
      <c r="AB19" s="8"/>
      <c r="AC19" s="8" t="s">
        <v>1250</v>
      </c>
      <c r="AD19" s="8" t="s">
        <v>1251</v>
      </c>
      <c r="AE19" s="8" t="s">
        <v>362</v>
      </c>
      <c r="AF19" s="8"/>
      <c r="AG19" s="8"/>
      <c r="AH19" s="11" t="s">
        <v>1146</v>
      </c>
      <c r="AI19" s="11"/>
      <c r="AJ19" s="8" t="s">
        <v>1252</v>
      </c>
    </row>
    <row r="20" spans="1:36" ht="48" customHeight="1">
      <c r="A20" s="8" t="s">
        <v>1253</v>
      </c>
      <c r="B20" s="8" t="s">
        <v>477</v>
      </c>
      <c r="C20" s="8" t="s">
        <v>396</v>
      </c>
      <c r="D20" s="8" t="s">
        <v>1139</v>
      </c>
      <c r="E20" s="8" t="s">
        <v>127</v>
      </c>
      <c r="F20" s="8" t="s">
        <v>65</v>
      </c>
      <c r="G20" s="8" t="s">
        <v>1149</v>
      </c>
      <c r="H20" s="8" t="s">
        <v>182</v>
      </c>
      <c r="I20" s="8" t="s">
        <v>1141</v>
      </c>
      <c r="J20" s="8" t="s">
        <v>1141</v>
      </c>
      <c r="K20" s="8" t="s">
        <v>1141</v>
      </c>
      <c r="L20" s="8" t="s">
        <v>1141</v>
      </c>
      <c r="M20" s="8" t="s">
        <v>421</v>
      </c>
      <c r="N20" s="8"/>
      <c r="O20" s="8">
        <v>3</v>
      </c>
      <c r="P20" s="8" t="s">
        <v>202</v>
      </c>
      <c r="Q20" s="8" t="s">
        <v>228</v>
      </c>
      <c r="R20" s="8" t="s">
        <v>236</v>
      </c>
      <c r="S20" s="8" t="s">
        <v>1214</v>
      </c>
      <c r="T20" s="8" t="s">
        <v>1254</v>
      </c>
      <c r="U20" s="8" t="s">
        <v>1255</v>
      </c>
      <c r="V20" s="8" t="s">
        <v>1256</v>
      </c>
      <c r="W20" s="8" t="s">
        <v>247</v>
      </c>
      <c r="X20" s="8" t="s">
        <v>279</v>
      </c>
      <c r="Y20" s="8" t="s">
        <v>1257</v>
      </c>
      <c r="Z20" s="8"/>
      <c r="AA20" s="8"/>
      <c r="AB20" s="8"/>
      <c r="AC20" s="8" t="s">
        <v>1258</v>
      </c>
      <c r="AD20" s="8" t="s">
        <v>1259</v>
      </c>
      <c r="AE20" s="8" t="s">
        <v>362</v>
      </c>
      <c r="AF20" s="8"/>
      <c r="AG20" s="8"/>
      <c r="AH20" s="11" t="s">
        <v>1146</v>
      </c>
      <c r="AI20" s="11"/>
      <c r="AJ20" s="8" t="s">
        <v>1260</v>
      </c>
    </row>
    <row r="21" spans="1:36" ht="48" customHeight="1">
      <c r="A21" s="8" t="s">
        <v>1261</v>
      </c>
      <c r="B21" s="8" t="s">
        <v>477</v>
      </c>
      <c r="C21" s="8" t="s">
        <v>396</v>
      </c>
      <c r="D21" s="8" t="s">
        <v>1139</v>
      </c>
      <c r="E21" s="8" t="s">
        <v>103</v>
      </c>
      <c r="F21" s="8" t="s">
        <v>65</v>
      </c>
      <c r="G21" s="8" t="s">
        <v>1149</v>
      </c>
      <c r="H21" s="8" t="s">
        <v>182</v>
      </c>
      <c r="I21" s="8" t="s">
        <v>1141</v>
      </c>
      <c r="J21" s="8" t="s">
        <v>1141</v>
      </c>
      <c r="K21" s="8" t="s">
        <v>1141</v>
      </c>
      <c r="L21" s="8" t="s">
        <v>1141</v>
      </c>
      <c r="M21" s="8" t="s">
        <v>421</v>
      </c>
      <c r="N21" s="8"/>
      <c r="O21" s="8">
        <v>3</v>
      </c>
      <c r="P21" s="8" t="s">
        <v>202</v>
      </c>
      <c r="Q21" s="8" t="s">
        <v>228</v>
      </c>
      <c r="R21" s="8" t="s">
        <v>236</v>
      </c>
      <c r="S21" s="8" t="s">
        <v>1214</v>
      </c>
      <c r="T21" s="8" t="s">
        <v>1262</v>
      </c>
      <c r="U21" s="8"/>
      <c r="V21" s="8" t="s">
        <v>1256</v>
      </c>
      <c r="W21" s="8" t="s">
        <v>247</v>
      </c>
      <c r="X21" s="8" t="s">
        <v>297</v>
      </c>
      <c r="Y21" s="8" t="s">
        <v>1263</v>
      </c>
      <c r="Z21" s="8"/>
      <c r="AA21" s="8"/>
      <c r="AB21" s="8"/>
      <c r="AC21" s="8" t="s">
        <v>1264</v>
      </c>
      <c r="AD21" s="8" t="s">
        <v>1259</v>
      </c>
      <c r="AE21" s="8" t="s">
        <v>362</v>
      </c>
      <c r="AF21" s="8"/>
      <c r="AG21" s="8"/>
      <c r="AH21" s="11" t="s">
        <v>1146</v>
      </c>
      <c r="AI21" s="11"/>
      <c r="AJ21" s="8" t="s">
        <v>1265</v>
      </c>
    </row>
    <row r="22" spans="1:36" ht="36" customHeight="1">
      <c r="A22" s="8" t="s">
        <v>1266</v>
      </c>
      <c r="B22" s="8" t="s">
        <v>481</v>
      </c>
      <c r="C22" s="8" t="s">
        <v>396</v>
      </c>
      <c r="D22" s="8" t="s">
        <v>1139</v>
      </c>
      <c r="E22" s="8" t="s">
        <v>133</v>
      </c>
      <c r="F22" s="8" t="s">
        <v>85</v>
      </c>
      <c r="G22" s="8" t="s">
        <v>1230</v>
      </c>
      <c r="H22" s="8" t="s">
        <v>150</v>
      </c>
      <c r="I22" s="8" t="s">
        <v>1141</v>
      </c>
      <c r="J22" s="8" t="s">
        <v>1141</v>
      </c>
      <c r="K22" s="8" t="s">
        <v>1141</v>
      </c>
      <c r="L22" s="8" t="s">
        <v>1141</v>
      </c>
      <c r="M22" s="8" t="s">
        <v>421</v>
      </c>
      <c r="N22" s="8"/>
      <c r="O22" s="8">
        <v>1</v>
      </c>
      <c r="P22" s="8" t="s">
        <v>205</v>
      </c>
      <c r="Q22" s="8" t="s">
        <v>228</v>
      </c>
      <c r="R22" s="8" t="s">
        <v>239</v>
      </c>
      <c r="S22" s="8" t="s">
        <v>1267</v>
      </c>
      <c r="T22" s="8" t="s">
        <v>1268</v>
      </c>
      <c r="U22" s="8" t="s">
        <v>461</v>
      </c>
      <c r="V22" s="8"/>
      <c r="W22" s="8"/>
      <c r="X22" s="8"/>
      <c r="Y22" s="8"/>
      <c r="Z22" s="8"/>
      <c r="AA22" s="8"/>
      <c r="AB22" s="8"/>
      <c r="AC22" s="8" t="s">
        <v>1269</v>
      </c>
      <c r="AD22" s="8" t="s">
        <v>1270</v>
      </c>
      <c r="AE22" s="8" t="s">
        <v>368</v>
      </c>
      <c r="AF22" s="8"/>
      <c r="AG22" s="8"/>
      <c r="AH22" s="11" t="s">
        <v>1146</v>
      </c>
      <c r="AI22" s="11"/>
      <c r="AJ22" s="8" t="s">
        <v>1271</v>
      </c>
    </row>
    <row r="23" spans="1:36" ht="48" customHeight="1">
      <c r="A23" s="8" t="s">
        <v>1272</v>
      </c>
      <c r="B23" s="8" t="s">
        <v>485</v>
      </c>
      <c r="C23" s="8" t="s">
        <v>396</v>
      </c>
      <c r="D23" s="8" t="s">
        <v>1139</v>
      </c>
      <c r="E23" s="8" t="s">
        <v>118</v>
      </c>
      <c r="F23" s="8" t="s">
        <v>65</v>
      </c>
      <c r="G23" s="8" t="s">
        <v>1161</v>
      </c>
      <c r="H23" s="8" t="s">
        <v>182</v>
      </c>
      <c r="I23" s="8" t="s">
        <v>1141</v>
      </c>
      <c r="J23" s="8" t="s">
        <v>1141</v>
      </c>
      <c r="K23" s="8" t="s">
        <v>1141</v>
      </c>
      <c r="L23" s="8" t="s">
        <v>1141</v>
      </c>
      <c r="M23" s="8" t="s">
        <v>421</v>
      </c>
      <c r="N23" s="8"/>
      <c r="O23" s="8">
        <v>2</v>
      </c>
      <c r="P23" s="8" t="s">
        <v>208</v>
      </c>
      <c r="Q23" s="8" t="s">
        <v>228</v>
      </c>
      <c r="R23" s="8" t="s">
        <v>236</v>
      </c>
      <c r="S23" s="8" t="s">
        <v>1273</v>
      </c>
      <c r="T23" s="8" t="s">
        <v>1274</v>
      </c>
      <c r="U23" s="8" t="s">
        <v>1275</v>
      </c>
      <c r="V23" s="8" t="s">
        <v>1276</v>
      </c>
      <c r="W23" s="8" t="s">
        <v>271</v>
      </c>
      <c r="X23" s="8" t="s">
        <v>306</v>
      </c>
      <c r="Y23" s="8" t="s">
        <v>1277</v>
      </c>
      <c r="Z23" s="8" t="s">
        <v>1278</v>
      </c>
      <c r="AA23" s="8" t="s">
        <v>315</v>
      </c>
      <c r="AB23" s="8" t="s">
        <v>341</v>
      </c>
      <c r="AC23" s="8" t="s">
        <v>1279</v>
      </c>
      <c r="AD23" s="8" t="s">
        <v>1280</v>
      </c>
      <c r="AE23" s="8" t="s">
        <v>362</v>
      </c>
      <c r="AF23" s="8"/>
      <c r="AG23" s="8"/>
      <c r="AH23" s="11" t="s">
        <v>1146</v>
      </c>
      <c r="AI23" s="11"/>
      <c r="AJ23" s="8" t="s">
        <v>1281</v>
      </c>
    </row>
    <row r="24" spans="1:36" ht="36" customHeight="1">
      <c r="A24" s="8" t="s">
        <v>1282</v>
      </c>
      <c r="B24" s="8" t="s">
        <v>489</v>
      </c>
      <c r="C24" s="8" t="s">
        <v>396</v>
      </c>
      <c r="D24" s="8" t="s">
        <v>1139</v>
      </c>
      <c r="E24" s="8" t="s">
        <v>124</v>
      </c>
      <c r="F24" s="8" t="s">
        <v>70</v>
      </c>
      <c r="G24" s="8" t="s">
        <v>1213</v>
      </c>
      <c r="H24" s="8" t="s">
        <v>182</v>
      </c>
      <c r="I24" s="8" t="s">
        <v>1141</v>
      </c>
      <c r="J24" s="8" t="s">
        <v>1141</v>
      </c>
      <c r="K24" s="8" t="s">
        <v>1141</v>
      </c>
      <c r="L24" s="8" t="s">
        <v>1141</v>
      </c>
      <c r="M24" s="8" t="s">
        <v>421</v>
      </c>
      <c r="N24" s="8"/>
      <c r="O24" s="8">
        <v>1</v>
      </c>
      <c r="P24" s="8" t="s">
        <v>205</v>
      </c>
      <c r="Q24" s="8" t="s">
        <v>228</v>
      </c>
      <c r="R24" s="8" t="s">
        <v>236</v>
      </c>
      <c r="S24" s="8" t="s">
        <v>1214</v>
      </c>
      <c r="T24" s="8" t="s">
        <v>1283</v>
      </c>
      <c r="U24" s="8" t="s">
        <v>454</v>
      </c>
      <c r="V24" s="8"/>
      <c r="W24" s="8"/>
      <c r="X24" s="8"/>
      <c r="Y24" s="8"/>
      <c r="Z24" s="8"/>
      <c r="AA24" s="8"/>
      <c r="AB24" s="8"/>
      <c r="AC24" s="8" t="s">
        <v>1284</v>
      </c>
      <c r="AD24" s="8" t="s">
        <v>381</v>
      </c>
      <c r="AE24" s="8" t="s">
        <v>362</v>
      </c>
      <c r="AF24" s="8"/>
      <c r="AG24" s="8"/>
      <c r="AH24" s="11" t="s">
        <v>1146</v>
      </c>
      <c r="AI24" s="11"/>
      <c r="AJ24" s="8" t="s">
        <v>1285</v>
      </c>
    </row>
    <row r="25" spans="1:36" ht="36" customHeight="1">
      <c r="A25" s="8" t="s">
        <v>1286</v>
      </c>
      <c r="B25" s="8" t="s">
        <v>427</v>
      </c>
      <c r="C25" s="8" t="s">
        <v>396</v>
      </c>
      <c r="D25" s="8" t="s">
        <v>1139</v>
      </c>
      <c r="E25" s="8" t="s">
        <v>99</v>
      </c>
      <c r="F25" s="8" t="s">
        <v>75</v>
      </c>
      <c r="G25" s="8" t="s">
        <v>1230</v>
      </c>
      <c r="H25" s="8" t="s">
        <v>150</v>
      </c>
      <c r="I25" s="8" t="s">
        <v>1141</v>
      </c>
      <c r="J25" s="8" t="s">
        <v>1141</v>
      </c>
      <c r="K25" s="8" t="s">
        <v>1141</v>
      </c>
      <c r="L25" s="8" t="s">
        <v>1141</v>
      </c>
      <c r="M25" s="8" t="s">
        <v>421</v>
      </c>
      <c r="N25" s="8"/>
      <c r="O25" s="8">
        <v>1</v>
      </c>
      <c r="P25" s="8" t="s">
        <v>205</v>
      </c>
      <c r="Q25" s="8" t="s">
        <v>228</v>
      </c>
      <c r="R25" s="8" t="s">
        <v>239</v>
      </c>
      <c r="S25" s="8" t="s">
        <v>1162</v>
      </c>
      <c r="T25" s="8" t="s">
        <v>1287</v>
      </c>
      <c r="U25" s="8"/>
      <c r="V25" s="8"/>
      <c r="W25" s="8"/>
      <c r="X25" s="8"/>
      <c r="Y25" s="8"/>
      <c r="Z25" s="8"/>
      <c r="AA25" s="8"/>
      <c r="AB25" s="8"/>
      <c r="AC25" s="8" t="s">
        <v>1288</v>
      </c>
      <c r="AD25" s="8" t="s">
        <v>1165</v>
      </c>
      <c r="AE25" s="8" t="s">
        <v>362</v>
      </c>
      <c r="AF25" s="8" t="s">
        <v>1166</v>
      </c>
      <c r="AG25" s="8"/>
      <c r="AH25" s="11" t="s">
        <v>1146</v>
      </c>
      <c r="AI25" s="11"/>
      <c r="AJ25" s="8" t="s">
        <v>1289</v>
      </c>
    </row>
    <row r="26" spans="1:36" ht="60" customHeight="1">
      <c r="A26" s="8" t="s">
        <v>1290</v>
      </c>
      <c r="B26" s="8" t="s">
        <v>493</v>
      </c>
      <c r="C26" s="8" t="s">
        <v>396</v>
      </c>
      <c r="D26" s="8" t="s">
        <v>1139</v>
      </c>
      <c r="E26" s="8" t="s">
        <v>121</v>
      </c>
      <c r="F26" s="8" t="s">
        <v>90</v>
      </c>
      <c r="G26" s="8" t="s">
        <v>1161</v>
      </c>
      <c r="H26" s="8" t="s">
        <v>182</v>
      </c>
      <c r="I26" s="8" t="s">
        <v>1141</v>
      </c>
      <c r="J26" s="8" t="s">
        <v>1141</v>
      </c>
      <c r="K26" s="8" t="s">
        <v>1141</v>
      </c>
      <c r="L26" s="8" t="s">
        <v>1141</v>
      </c>
      <c r="M26" s="8" t="s">
        <v>421</v>
      </c>
      <c r="N26" s="8"/>
      <c r="O26" s="8">
        <v>3</v>
      </c>
      <c r="P26" s="8" t="s">
        <v>202</v>
      </c>
      <c r="Q26" s="8" t="s">
        <v>228</v>
      </c>
      <c r="R26" s="8" t="s">
        <v>236</v>
      </c>
      <c r="S26" s="8" t="s">
        <v>1214</v>
      </c>
      <c r="T26" s="8" t="s">
        <v>1291</v>
      </c>
      <c r="U26" s="8" t="s">
        <v>497</v>
      </c>
      <c r="V26" s="8" t="s">
        <v>1292</v>
      </c>
      <c r="W26" s="8" t="s">
        <v>250</v>
      </c>
      <c r="X26" s="8" t="s">
        <v>294</v>
      </c>
      <c r="Y26" s="8" t="s">
        <v>1293</v>
      </c>
      <c r="Z26" s="8" t="s">
        <v>1294</v>
      </c>
      <c r="AA26" s="8" t="s">
        <v>327</v>
      </c>
      <c r="AB26" s="8" t="s">
        <v>347</v>
      </c>
      <c r="AC26" s="8" t="s">
        <v>1295</v>
      </c>
      <c r="AD26" s="8" t="s">
        <v>1296</v>
      </c>
      <c r="AE26" s="8" t="s">
        <v>362</v>
      </c>
      <c r="AF26" s="8" t="s">
        <v>1297</v>
      </c>
      <c r="AG26" s="8" t="s">
        <v>1298</v>
      </c>
      <c r="AH26" s="11" t="s">
        <v>1146</v>
      </c>
      <c r="AI26" s="11"/>
      <c r="AJ26" s="8" t="s">
        <v>1299</v>
      </c>
    </row>
    <row r="27" spans="1:36" ht="60" customHeight="1">
      <c r="A27" s="8" t="s">
        <v>1300</v>
      </c>
      <c r="B27" s="8" t="s">
        <v>497</v>
      </c>
      <c r="C27" s="8" t="s">
        <v>396</v>
      </c>
      <c r="D27" s="8" t="s">
        <v>1139</v>
      </c>
      <c r="E27" s="8" t="s">
        <v>121</v>
      </c>
      <c r="F27" s="8" t="s">
        <v>65</v>
      </c>
      <c r="G27" s="8" t="s">
        <v>1149</v>
      </c>
      <c r="H27" s="8" t="s">
        <v>182</v>
      </c>
      <c r="I27" s="8" t="s">
        <v>1141</v>
      </c>
      <c r="J27" s="8" t="s">
        <v>1141</v>
      </c>
      <c r="K27" s="8" t="s">
        <v>1141</v>
      </c>
      <c r="L27" s="8" t="s">
        <v>1141</v>
      </c>
      <c r="M27" s="8" t="s">
        <v>421</v>
      </c>
      <c r="N27" s="8"/>
      <c r="O27" s="8">
        <v>3</v>
      </c>
      <c r="P27" s="8" t="s">
        <v>202</v>
      </c>
      <c r="Q27" s="8" t="s">
        <v>228</v>
      </c>
      <c r="R27" s="8" t="s">
        <v>236</v>
      </c>
      <c r="S27" s="8" t="s">
        <v>1301</v>
      </c>
      <c r="T27" s="8" t="s">
        <v>1302</v>
      </c>
      <c r="U27" s="8" t="s">
        <v>493</v>
      </c>
      <c r="V27" s="8" t="s">
        <v>1303</v>
      </c>
      <c r="W27" s="8" t="s">
        <v>250</v>
      </c>
      <c r="X27" s="8" t="s">
        <v>282</v>
      </c>
      <c r="Y27" s="8" t="s">
        <v>1304</v>
      </c>
      <c r="Z27" s="8" t="s">
        <v>1305</v>
      </c>
      <c r="AA27" s="8" t="s">
        <v>327</v>
      </c>
      <c r="AB27" s="8" t="s">
        <v>347</v>
      </c>
      <c r="AC27" s="8" t="s">
        <v>1306</v>
      </c>
      <c r="AD27" s="8" t="s">
        <v>381</v>
      </c>
      <c r="AE27" s="8" t="s">
        <v>380</v>
      </c>
      <c r="AF27" s="8" t="s">
        <v>1307</v>
      </c>
      <c r="AG27" s="8" t="s">
        <v>1308</v>
      </c>
      <c r="AH27" s="11" t="s">
        <v>1146</v>
      </c>
      <c r="AI27" s="11"/>
      <c r="AJ27" s="8" t="s">
        <v>1309</v>
      </c>
    </row>
    <row r="28" spans="1:36" ht="48" customHeight="1">
      <c r="A28" s="8" t="s">
        <v>1310</v>
      </c>
      <c r="B28" s="8" t="s">
        <v>501</v>
      </c>
      <c r="C28" s="8" t="s">
        <v>396</v>
      </c>
      <c r="D28" s="8" t="s">
        <v>1139</v>
      </c>
      <c r="E28" s="8" t="s">
        <v>130</v>
      </c>
      <c r="F28" s="8" t="s">
        <v>90</v>
      </c>
      <c r="G28" s="8" t="s">
        <v>1161</v>
      </c>
      <c r="H28" s="8" t="s">
        <v>182</v>
      </c>
      <c r="I28" s="8" t="s">
        <v>1141</v>
      </c>
      <c r="J28" s="8" t="s">
        <v>1141</v>
      </c>
      <c r="K28" s="8" t="s">
        <v>1141</v>
      </c>
      <c r="L28" s="8" t="s">
        <v>1141</v>
      </c>
      <c r="M28" s="8" t="s">
        <v>421</v>
      </c>
      <c r="N28" s="8"/>
      <c r="O28" s="8">
        <v>3</v>
      </c>
      <c r="P28" s="8" t="s">
        <v>193</v>
      </c>
      <c r="Q28" s="8" t="s">
        <v>228</v>
      </c>
      <c r="R28" s="8" t="s">
        <v>236</v>
      </c>
      <c r="S28" s="8" t="s">
        <v>1311</v>
      </c>
      <c r="T28" s="8" t="s">
        <v>1312</v>
      </c>
      <c r="U28" s="8" t="s">
        <v>505</v>
      </c>
      <c r="V28" s="8" t="s">
        <v>1313</v>
      </c>
      <c r="W28" s="8" t="s">
        <v>268</v>
      </c>
      <c r="X28" s="8" t="s">
        <v>300</v>
      </c>
      <c r="Y28" s="8" t="s">
        <v>1314</v>
      </c>
      <c r="Z28" s="8"/>
      <c r="AA28" s="8"/>
      <c r="AB28" s="8"/>
      <c r="AC28" s="8" t="s">
        <v>1315</v>
      </c>
      <c r="AD28" s="8" t="s">
        <v>1316</v>
      </c>
      <c r="AE28" s="8" t="s">
        <v>362</v>
      </c>
      <c r="AF28" s="8" t="s">
        <v>1317</v>
      </c>
      <c r="AG28" s="8" t="s">
        <v>1318</v>
      </c>
      <c r="AH28" s="11" t="s">
        <v>1146</v>
      </c>
      <c r="AI28" s="11"/>
      <c r="AJ28" s="8" t="s">
        <v>1319</v>
      </c>
    </row>
    <row r="29" spans="1:36" ht="48" customHeight="1">
      <c r="A29" s="8" t="s">
        <v>1320</v>
      </c>
      <c r="B29" s="8" t="s">
        <v>505</v>
      </c>
      <c r="C29" s="8" t="s">
        <v>396</v>
      </c>
      <c r="D29" s="8" t="s">
        <v>1139</v>
      </c>
      <c r="E29" s="8" t="s">
        <v>130</v>
      </c>
      <c r="F29" s="8" t="s">
        <v>75</v>
      </c>
      <c r="G29" s="8" t="s">
        <v>1230</v>
      </c>
      <c r="H29" s="8" t="s">
        <v>150</v>
      </c>
      <c r="I29" s="8" t="s">
        <v>1141</v>
      </c>
      <c r="J29" s="8" t="s">
        <v>1141</v>
      </c>
      <c r="K29" s="8" t="s">
        <v>1141</v>
      </c>
      <c r="L29" s="8" t="s">
        <v>1141</v>
      </c>
      <c r="M29" s="8" t="s">
        <v>421</v>
      </c>
      <c r="N29" s="8"/>
      <c r="O29" s="8">
        <v>3</v>
      </c>
      <c r="P29" s="8" t="s">
        <v>193</v>
      </c>
      <c r="Q29" s="8" t="s">
        <v>228</v>
      </c>
      <c r="R29" s="8" t="s">
        <v>236</v>
      </c>
      <c r="S29" s="8" t="s">
        <v>1321</v>
      </c>
      <c r="T29" s="8" t="s">
        <v>1322</v>
      </c>
      <c r="U29" s="8" t="s">
        <v>501</v>
      </c>
      <c r="V29" s="8" t="s">
        <v>1323</v>
      </c>
      <c r="W29" s="8" t="s">
        <v>268</v>
      </c>
      <c r="X29" s="8" t="s">
        <v>300</v>
      </c>
      <c r="Y29" s="8" t="s">
        <v>1324</v>
      </c>
      <c r="Z29" s="8"/>
      <c r="AA29" s="8"/>
      <c r="AB29" s="8"/>
      <c r="AC29" s="8" t="s">
        <v>1325</v>
      </c>
      <c r="AD29" s="8" t="s">
        <v>1326</v>
      </c>
      <c r="AE29" s="8" t="s">
        <v>362</v>
      </c>
      <c r="AF29" s="8" t="s">
        <v>1317</v>
      </c>
      <c r="AG29" s="8" t="s">
        <v>1327</v>
      </c>
      <c r="AH29" s="11" t="s">
        <v>1146</v>
      </c>
      <c r="AI29" s="11"/>
      <c r="AJ29" s="8" t="s">
        <v>1328</v>
      </c>
    </row>
    <row r="30" spans="1:36" ht="72" customHeight="1">
      <c r="A30" s="8" t="s">
        <v>1329</v>
      </c>
      <c r="B30" s="8" t="s">
        <v>508</v>
      </c>
      <c r="C30" s="8" t="s">
        <v>396</v>
      </c>
      <c r="D30" s="8" t="s">
        <v>1139</v>
      </c>
      <c r="E30" s="8" t="s">
        <v>115</v>
      </c>
      <c r="F30" s="8" t="s">
        <v>80</v>
      </c>
      <c r="G30" s="8" t="s">
        <v>1330</v>
      </c>
      <c r="H30" s="8" t="s">
        <v>163</v>
      </c>
      <c r="I30" s="8" t="s">
        <v>1141</v>
      </c>
      <c r="J30" s="8" t="s">
        <v>1141</v>
      </c>
      <c r="K30" s="8" t="s">
        <v>1141</v>
      </c>
      <c r="L30" s="8" t="s">
        <v>1141</v>
      </c>
      <c r="M30" s="8" t="s">
        <v>421</v>
      </c>
      <c r="N30" s="8"/>
      <c r="O30" s="8">
        <v>3</v>
      </c>
      <c r="P30" s="8" t="s">
        <v>193</v>
      </c>
      <c r="Q30" s="8" t="s">
        <v>228</v>
      </c>
      <c r="R30" s="8" t="s">
        <v>236</v>
      </c>
      <c r="S30" s="8" t="s">
        <v>1331</v>
      </c>
      <c r="T30" s="8" t="s">
        <v>1332</v>
      </c>
      <c r="U30" s="8" t="s">
        <v>1333</v>
      </c>
      <c r="V30" s="8" t="s">
        <v>1334</v>
      </c>
      <c r="W30" s="8" t="s">
        <v>268</v>
      </c>
      <c r="X30" s="8"/>
      <c r="Y30" s="8"/>
      <c r="Z30" s="8"/>
      <c r="AA30" s="8"/>
      <c r="AB30" s="8"/>
      <c r="AC30" s="8" t="s">
        <v>1335</v>
      </c>
      <c r="AD30" s="8" t="s">
        <v>1336</v>
      </c>
      <c r="AE30" s="8" t="s">
        <v>362</v>
      </c>
      <c r="AF30" s="8" t="s">
        <v>1337</v>
      </c>
      <c r="AG30" s="8" t="s">
        <v>1338</v>
      </c>
      <c r="AH30" s="11" t="s">
        <v>1146</v>
      </c>
      <c r="AI30" s="11"/>
      <c r="AJ30" s="8" t="s">
        <v>1339</v>
      </c>
    </row>
    <row r="31" spans="1:36" ht="72" customHeight="1">
      <c r="A31" s="8" t="s">
        <v>1340</v>
      </c>
      <c r="B31" s="8" t="s">
        <v>511</v>
      </c>
      <c r="C31" s="8" t="s">
        <v>396</v>
      </c>
      <c r="D31" s="8" t="s">
        <v>1139</v>
      </c>
      <c r="E31" s="8" t="s">
        <v>133</v>
      </c>
      <c r="F31" s="8" t="s">
        <v>90</v>
      </c>
      <c r="G31" s="8" t="s">
        <v>1161</v>
      </c>
      <c r="H31" s="8" t="s">
        <v>182</v>
      </c>
      <c r="I31" s="8" t="s">
        <v>1141</v>
      </c>
      <c r="J31" s="8" t="s">
        <v>1141</v>
      </c>
      <c r="K31" s="8" t="s">
        <v>1141</v>
      </c>
      <c r="L31" s="8" t="s">
        <v>1141</v>
      </c>
      <c r="M31" s="8" t="s">
        <v>421</v>
      </c>
      <c r="N31" s="8"/>
      <c r="O31" s="8">
        <v>1</v>
      </c>
      <c r="P31" s="8" t="s">
        <v>205</v>
      </c>
      <c r="Q31" s="8" t="s">
        <v>228</v>
      </c>
      <c r="R31" s="8" t="s">
        <v>236</v>
      </c>
      <c r="S31" s="8" t="s">
        <v>1341</v>
      </c>
      <c r="T31" s="8" t="s">
        <v>1342</v>
      </c>
      <c r="U31" s="8" t="s">
        <v>461</v>
      </c>
      <c r="V31" s="8"/>
      <c r="W31" s="8"/>
      <c r="X31" s="8"/>
      <c r="Y31" s="8"/>
      <c r="Z31" s="8"/>
      <c r="AA31" s="8"/>
      <c r="AB31" s="8"/>
      <c r="AC31" s="8" t="s">
        <v>1343</v>
      </c>
      <c r="AD31" s="8" t="s">
        <v>1344</v>
      </c>
      <c r="AE31" s="8" t="s">
        <v>362</v>
      </c>
      <c r="AF31" s="8"/>
      <c r="AG31" s="8"/>
      <c r="AH31" s="11" t="s">
        <v>1146</v>
      </c>
      <c r="AI31" s="11"/>
      <c r="AJ31" s="8" t="s">
        <v>1345</v>
      </c>
    </row>
    <row r="32" spans="1:36" ht="60" customHeight="1">
      <c r="A32" s="8" t="s">
        <v>1346</v>
      </c>
      <c r="B32" s="8" t="s">
        <v>515</v>
      </c>
      <c r="C32" s="8" t="s">
        <v>396</v>
      </c>
      <c r="D32" s="8" t="s">
        <v>1139</v>
      </c>
      <c r="E32" s="8" t="s">
        <v>109</v>
      </c>
      <c r="F32" s="8" t="s">
        <v>90</v>
      </c>
      <c r="G32" s="8" t="s">
        <v>1161</v>
      </c>
      <c r="H32" s="8" t="s">
        <v>182</v>
      </c>
      <c r="I32" s="8" t="s">
        <v>1141</v>
      </c>
      <c r="J32" s="8" t="s">
        <v>1141</v>
      </c>
      <c r="K32" s="8" t="s">
        <v>1141</v>
      </c>
      <c r="L32" s="8" t="s">
        <v>1141</v>
      </c>
      <c r="M32" s="8" t="s">
        <v>421</v>
      </c>
      <c r="N32" s="8"/>
      <c r="O32" s="8">
        <v>1</v>
      </c>
      <c r="P32" s="8" t="s">
        <v>205</v>
      </c>
      <c r="Q32" s="8" t="s">
        <v>228</v>
      </c>
      <c r="R32" s="8" t="s">
        <v>236</v>
      </c>
      <c r="S32" s="8" t="s">
        <v>1347</v>
      </c>
      <c r="T32" s="8" t="s">
        <v>1348</v>
      </c>
      <c r="U32" s="8" t="s">
        <v>423</v>
      </c>
      <c r="V32" s="8" t="s">
        <v>1349</v>
      </c>
      <c r="W32" s="8" t="s">
        <v>250</v>
      </c>
      <c r="X32" s="8" t="s">
        <v>282</v>
      </c>
      <c r="Y32" s="8" t="s">
        <v>1350</v>
      </c>
      <c r="Z32" s="8" t="s">
        <v>1351</v>
      </c>
      <c r="AA32" s="8" t="s">
        <v>318</v>
      </c>
      <c r="AB32" s="8" t="s">
        <v>350</v>
      </c>
      <c r="AC32" s="8" t="s">
        <v>1352</v>
      </c>
      <c r="AD32" s="8" t="s">
        <v>1353</v>
      </c>
      <c r="AE32" s="8" t="s">
        <v>362</v>
      </c>
      <c r="AF32" s="8" t="s">
        <v>1354</v>
      </c>
      <c r="AG32" s="8" t="s">
        <v>1355</v>
      </c>
      <c r="AH32" s="11" t="s">
        <v>1146</v>
      </c>
      <c r="AI32" s="11"/>
      <c r="AJ32" s="8" t="s">
        <v>1356</v>
      </c>
    </row>
    <row r="33" spans="1:36" ht="48" customHeight="1">
      <c r="A33" s="8" t="s">
        <v>1357</v>
      </c>
      <c r="B33" s="8" t="s">
        <v>519</v>
      </c>
      <c r="C33" s="8" t="s">
        <v>396</v>
      </c>
      <c r="D33" s="8" t="s">
        <v>1139</v>
      </c>
      <c r="E33" s="8" t="s">
        <v>133</v>
      </c>
      <c r="F33" s="8" t="s">
        <v>85</v>
      </c>
      <c r="G33" s="8" t="s">
        <v>1230</v>
      </c>
      <c r="H33" s="8" t="s">
        <v>150</v>
      </c>
      <c r="I33" s="8" t="s">
        <v>1141</v>
      </c>
      <c r="J33" s="8" t="s">
        <v>1141</v>
      </c>
      <c r="K33" s="8" t="s">
        <v>1141</v>
      </c>
      <c r="L33" s="8" t="s">
        <v>1141</v>
      </c>
      <c r="M33" s="8" t="s">
        <v>421</v>
      </c>
      <c r="N33" s="8"/>
      <c r="O33" s="8">
        <v>2</v>
      </c>
      <c r="P33" s="8" t="s">
        <v>196</v>
      </c>
      <c r="Q33" s="8" t="s">
        <v>228</v>
      </c>
      <c r="R33" s="8" t="s">
        <v>236</v>
      </c>
      <c r="S33" s="8" t="s">
        <v>1358</v>
      </c>
      <c r="T33" s="8" t="s">
        <v>1359</v>
      </c>
      <c r="U33" s="8" t="s">
        <v>461</v>
      </c>
      <c r="V33" s="8" t="s">
        <v>1360</v>
      </c>
      <c r="W33" s="8" t="s">
        <v>274</v>
      </c>
      <c r="X33" s="8" t="s">
        <v>291</v>
      </c>
      <c r="Y33" s="8" t="s">
        <v>1361</v>
      </c>
      <c r="Z33" s="8" t="s">
        <v>1362</v>
      </c>
      <c r="AA33" s="8" t="s">
        <v>330</v>
      </c>
      <c r="AB33" s="8"/>
      <c r="AC33" s="8" t="s">
        <v>1363</v>
      </c>
      <c r="AD33" s="8" t="s">
        <v>1364</v>
      </c>
      <c r="AE33" s="8" t="s">
        <v>371</v>
      </c>
      <c r="AF33" s="8" t="s">
        <v>1365</v>
      </c>
      <c r="AG33" s="8" t="s">
        <v>1366</v>
      </c>
      <c r="AH33" s="11" t="s">
        <v>1146</v>
      </c>
      <c r="AI33" s="11"/>
      <c r="AJ33" s="8" t="s">
        <v>1367</v>
      </c>
    </row>
    <row r="34" spans="1:36" ht="84" customHeight="1">
      <c r="A34" s="8" t="s">
        <v>1368</v>
      </c>
      <c r="B34" s="8" t="s">
        <v>523</v>
      </c>
      <c r="C34" s="8" t="s">
        <v>396</v>
      </c>
      <c r="D34" s="8" t="s">
        <v>1139</v>
      </c>
      <c r="E34" s="8" t="s">
        <v>99</v>
      </c>
      <c r="F34" s="8" t="s">
        <v>80</v>
      </c>
      <c r="G34" s="8" t="s">
        <v>1230</v>
      </c>
      <c r="H34" s="8" t="s">
        <v>150</v>
      </c>
      <c r="I34" s="8" t="s">
        <v>1141</v>
      </c>
      <c r="J34" s="8" t="s">
        <v>1141</v>
      </c>
      <c r="K34" s="8" t="s">
        <v>1141</v>
      </c>
      <c r="L34" s="8" t="s">
        <v>1141</v>
      </c>
      <c r="M34" s="8" t="s">
        <v>421</v>
      </c>
      <c r="N34" s="8"/>
      <c r="O34" s="8">
        <v>2</v>
      </c>
      <c r="P34" s="8" t="s">
        <v>193</v>
      </c>
      <c r="Q34" s="8" t="s">
        <v>228</v>
      </c>
      <c r="R34" s="8" t="s">
        <v>239</v>
      </c>
      <c r="S34" s="8" t="s">
        <v>1369</v>
      </c>
      <c r="T34" s="8" t="s">
        <v>1370</v>
      </c>
      <c r="U34" s="8" t="s">
        <v>465</v>
      </c>
      <c r="V34" s="8"/>
      <c r="W34" s="8"/>
      <c r="X34" s="8"/>
      <c r="Y34" s="8"/>
      <c r="Z34" s="8"/>
      <c r="AA34" s="8"/>
      <c r="AB34" s="8"/>
      <c r="AC34" s="8" t="s">
        <v>1371</v>
      </c>
      <c r="AD34" s="8" t="s">
        <v>1372</v>
      </c>
      <c r="AE34" s="8" t="s">
        <v>362</v>
      </c>
      <c r="AF34" s="8" t="s">
        <v>1373</v>
      </c>
      <c r="AG34" s="8" t="s">
        <v>1374</v>
      </c>
      <c r="AH34" s="11" t="s">
        <v>1146</v>
      </c>
      <c r="AI34" s="11"/>
      <c r="AJ34" s="8" t="s">
        <v>1375</v>
      </c>
    </row>
    <row r="35" spans="1:36" ht="72" customHeight="1">
      <c r="A35" s="8" t="s">
        <v>1376</v>
      </c>
      <c r="B35" s="8" t="s">
        <v>527</v>
      </c>
      <c r="C35" s="8" t="s">
        <v>396</v>
      </c>
      <c r="D35" s="8" t="s">
        <v>1139</v>
      </c>
      <c r="E35" s="8" t="s">
        <v>99</v>
      </c>
      <c r="F35" s="8" t="s">
        <v>75</v>
      </c>
      <c r="G35" s="8" t="s">
        <v>1377</v>
      </c>
      <c r="H35" s="8" t="s">
        <v>163</v>
      </c>
      <c r="I35" s="8" t="s">
        <v>1141</v>
      </c>
      <c r="J35" s="8" t="s">
        <v>1141</v>
      </c>
      <c r="K35" s="8" t="s">
        <v>1141</v>
      </c>
      <c r="L35" s="8" t="s">
        <v>1141</v>
      </c>
      <c r="M35" s="8" t="s">
        <v>421</v>
      </c>
      <c r="N35" s="8"/>
      <c r="O35" s="8">
        <v>3</v>
      </c>
      <c r="P35" s="8" t="s">
        <v>202</v>
      </c>
      <c r="Q35" s="8" t="s">
        <v>228</v>
      </c>
      <c r="R35" s="8" t="s">
        <v>236</v>
      </c>
      <c r="S35" s="8" t="s">
        <v>1378</v>
      </c>
      <c r="T35" s="8" t="s">
        <v>1379</v>
      </c>
      <c r="U35" s="8" t="s">
        <v>1380</v>
      </c>
      <c r="V35" s="8" t="s">
        <v>1381</v>
      </c>
      <c r="W35" s="8" t="s">
        <v>250</v>
      </c>
      <c r="X35" s="8" t="s">
        <v>285</v>
      </c>
      <c r="Y35" s="8" t="s">
        <v>1382</v>
      </c>
      <c r="Z35" s="8" t="s">
        <v>1383</v>
      </c>
      <c r="AA35" s="8" t="s">
        <v>327</v>
      </c>
      <c r="AB35" s="8" t="s">
        <v>347</v>
      </c>
      <c r="AC35" s="8" t="s">
        <v>1384</v>
      </c>
      <c r="AD35" s="8" t="s">
        <v>1385</v>
      </c>
      <c r="AE35" s="8" t="s">
        <v>362</v>
      </c>
      <c r="AF35" s="8" t="s">
        <v>1386</v>
      </c>
      <c r="AG35" s="8" t="s">
        <v>1387</v>
      </c>
      <c r="AH35" s="11" t="s">
        <v>1146</v>
      </c>
      <c r="AI35" s="11"/>
      <c r="AJ35" s="8" t="s">
        <v>1388</v>
      </c>
    </row>
    <row r="36" spans="1:36" ht="60" customHeight="1">
      <c r="A36" s="8" t="s">
        <v>1389</v>
      </c>
      <c r="B36" s="8" t="s">
        <v>530</v>
      </c>
      <c r="C36" s="8" t="s">
        <v>396</v>
      </c>
      <c r="D36" s="8" t="s">
        <v>1139</v>
      </c>
      <c r="E36" s="8" t="s">
        <v>99</v>
      </c>
      <c r="F36" s="8" t="s">
        <v>65</v>
      </c>
      <c r="G36" s="8" t="s">
        <v>1149</v>
      </c>
      <c r="H36" s="8" t="s">
        <v>182</v>
      </c>
      <c r="I36" s="8" t="s">
        <v>1141</v>
      </c>
      <c r="J36" s="8" t="s">
        <v>1141</v>
      </c>
      <c r="K36" s="8" t="s">
        <v>1141</v>
      </c>
      <c r="L36" s="8" t="s">
        <v>1141</v>
      </c>
      <c r="M36" s="8" t="s">
        <v>421</v>
      </c>
      <c r="N36" s="8"/>
      <c r="O36" s="8">
        <v>2</v>
      </c>
      <c r="P36" s="8" t="s">
        <v>202</v>
      </c>
      <c r="Q36" s="8" t="s">
        <v>228</v>
      </c>
      <c r="R36" s="8" t="s">
        <v>239</v>
      </c>
      <c r="S36" s="8" t="s">
        <v>1390</v>
      </c>
      <c r="T36" s="8" t="s">
        <v>1391</v>
      </c>
      <c r="U36" s="8" t="s">
        <v>1392</v>
      </c>
      <c r="V36" s="8" t="s">
        <v>1393</v>
      </c>
      <c r="W36" s="8" t="s">
        <v>250</v>
      </c>
      <c r="X36" s="8" t="s">
        <v>282</v>
      </c>
      <c r="Y36" s="8" t="s">
        <v>1394</v>
      </c>
      <c r="Z36" s="8" t="s">
        <v>1395</v>
      </c>
      <c r="AA36" s="8" t="s">
        <v>327</v>
      </c>
      <c r="AB36" s="8" t="s">
        <v>347</v>
      </c>
      <c r="AC36" s="8" t="s">
        <v>1396</v>
      </c>
      <c r="AD36" s="8" t="s">
        <v>1210</v>
      </c>
      <c r="AE36" s="8" t="s">
        <v>362</v>
      </c>
      <c r="AF36" s="8" t="s">
        <v>1297</v>
      </c>
      <c r="AG36" s="8" t="s">
        <v>1397</v>
      </c>
      <c r="AH36" s="11" t="s">
        <v>1146</v>
      </c>
      <c r="AI36" s="11"/>
      <c r="AJ36" s="8" t="s">
        <v>1398</v>
      </c>
    </row>
    <row r="37" spans="1:36" ht="60" customHeight="1">
      <c r="A37" s="8" t="s">
        <v>1399</v>
      </c>
      <c r="B37" s="8" t="s">
        <v>534</v>
      </c>
      <c r="C37" s="8" t="s">
        <v>396</v>
      </c>
      <c r="D37" s="8" t="s">
        <v>1139</v>
      </c>
      <c r="E37" s="8" t="s">
        <v>124</v>
      </c>
      <c r="F37" s="8" t="s">
        <v>75</v>
      </c>
      <c r="G37" s="8" t="s">
        <v>1213</v>
      </c>
      <c r="H37" s="8" t="s">
        <v>182</v>
      </c>
      <c r="I37" s="8" t="s">
        <v>1141</v>
      </c>
      <c r="J37" s="8" t="s">
        <v>1141</v>
      </c>
      <c r="K37" s="8" t="s">
        <v>1141</v>
      </c>
      <c r="L37" s="8" t="s">
        <v>1141</v>
      </c>
      <c r="M37" s="8" t="s">
        <v>421</v>
      </c>
      <c r="N37" s="8"/>
      <c r="O37" s="8">
        <v>3</v>
      </c>
      <c r="P37" s="8" t="s">
        <v>202</v>
      </c>
      <c r="Q37" s="8" t="s">
        <v>225</v>
      </c>
      <c r="R37" s="8" t="s">
        <v>236</v>
      </c>
      <c r="S37" s="8" t="s">
        <v>1400</v>
      </c>
      <c r="T37" s="8" t="s">
        <v>1401</v>
      </c>
      <c r="U37" s="8" t="s">
        <v>1402</v>
      </c>
      <c r="V37" s="8" t="s">
        <v>1403</v>
      </c>
      <c r="W37" s="8" t="s">
        <v>250</v>
      </c>
      <c r="X37" s="8" t="s">
        <v>282</v>
      </c>
      <c r="Y37" s="8" t="s">
        <v>1404</v>
      </c>
      <c r="Z37" s="8"/>
      <c r="AA37" s="8"/>
      <c r="AB37" s="8"/>
      <c r="AC37" s="8" t="s">
        <v>1405</v>
      </c>
      <c r="AD37" s="8" t="s">
        <v>1406</v>
      </c>
      <c r="AE37" s="8" t="s">
        <v>362</v>
      </c>
      <c r="AF37" s="8" t="s">
        <v>1407</v>
      </c>
      <c r="AG37" s="8" t="s">
        <v>1408</v>
      </c>
      <c r="AH37" s="11" t="s">
        <v>1146</v>
      </c>
      <c r="AI37" s="11"/>
      <c r="AJ37" s="8" t="s">
        <v>1409</v>
      </c>
    </row>
    <row r="38" spans="1:36" ht="72" customHeight="1">
      <c r="A38" s="8" t="s">
        <v>1410</v>
      </c>
      <c r="B38" s="8" t="s">
        <v>538</v>
      </c>
      <c r="C38" s="8" t="s">
        <v>396</v>
      </c>
      <c r="D38" s="8" t="s">
        <v>1139</v>
      </c>
      <c r="E38" s="8" t="s">
        <v>124</v>
      </c>
      <c r="F38" s="8" t="s">
        <v>75</v>
      </c>
      <c r="G38" s="8" t="s">
        <v>1213</v>
      </c>
      <c r="H38" s="8" t="s">
        <v>182</v>
      </c>
      <c r="I38" s="8" t="s">
        <v>1141</v>
      </c>
      <c r="J38" s="8" t="s">
        <v>1141</v>
      </c>
      <c r="K38" s="8" t="s">
        <v>1141</v>
      </c>
      <c r="L38" s="8" t="s">
        <v>1141</v>
      </c>
      <c r="M38" s="8" t="s">
        <v>421</v>
      </c>
      <c r="N38" s="8"/>
      <c r="O38" s="8">
        <v>2</v>
      </c>
      <c r="P38" s="8" t="s">
        <v>208</v>
      </c>
      <c r="Q38" s="8" t="s">
        <v>228</v>
      </c>
      <c r="R38" s="8" t="s">
        <v>239</v>
      </c>
      <c r="S38" s="8" t="s">
        <v>1411</v>
      </c>
      <c r="T38" s="8" t="s">
        <v>1412</v>
      </c>
      <c r="U38" s="8" t="s">
        <v>1413</v>
      </c>
      <c r="V38" s="8" t="s">
        <v>1414</v>
      </c>
      <c r="W38" s="8" t="s">
        <v>268</v>
      </c>
      <c r="X38" s="8"/>
      <c r="Y38" s="8" t="s">
        <v>1415</v>
      </c>
      <c r="Z38" s="8"/>
      <c r="AA38" s="8"/>
      <c r="AB38" s="8"/>
      <c r="AC38" s="8" t="s">
        <v>1416</v>
      </c>
      <c r="AD38" s="8" t="s">
        <v>1417</v>
      </c>
      <c r="AE38" s="8" t="s">
        <v>362</v>
      </c>
      <c r="AF38" s="8" t="s">
        <v>1418</v>
      </c>
      <c r="AG38" s="8" t="s">
        <v>1419</v>
      </c>
      <c r="AH38" s="11" t="s">
        <v>1146</v>
      </c>
      <c r="AI38" s="11"/>
      <c r="AJ38" s="8" t="s">
        <v>1420</v>
      </c>
    </row>
    <row r="39" spans="1:36" ht="84" customHeight="1">
      <c r="A39" s="8" t="s">
        <v>1421</v>
      </c>
      <c r="B39" s="8" t="s">
        <v>542</v>
      </c>
      <c r="C39" s="8" t="s">
        <v>396</v>
      </c>
      <c r="D39" s="8" t="s">
        <v>1139</v>
      </c>
      <c r="E39" s="8" t="s">
        <v>133</v>
      </c>
      <c r="F39" s="8" t="s">
        <v>90</v>
      </c>
      <c r="G39" s="8" t="s">
        <v>1161</v>
      </c>
      <c r="H39" s="8" t="s">
        <v>182</v>
      </c>
      <c r="I39" s="8" t="s">
        <v>1141</v>
      </c>
      <c r="J39" s="8" t="s">
        <v>1141</v>
      </c>
      <c r="K39" s="8" t="s">
        <v>1141</v>
      </c>
      <c r="L39" s="8" t="s">
        <v>1141</v>
      </c>
      <c r="M39" s="8" t="s">
        <v>421</v>
      </c>
      <c r="N39" s="8"/>
      <c r="O39" s="8">
        <v>1</v>
      </c>
      <c r="P39" s="8" t="s">
        <v>205</v>
      </c>
      <c r="Q39" s="8" t="s">
        <v>228</v>
      </c>
      <c r="R39" s="8" t="s">
        <v>236</v>
      </c>
      <c r="S39" s="8" t="s">
        <v>1422</v>
      </c>
      <c r="T39" s="8" t="s">
        <v>1423</v>
      </c>
      <c r="U39" s="8" t="s">
        <v>511</v>
      </c>
      <c r="V39" s="8"/>
      <c r="W39" s="8"/>
      <c r="X39" s="8"/>
      <c r="Y39" s="8"/>
      <c r="Z39" s="8"/>
      <c r="AA39" s="8"/>
      <c r="AB39" s="8"/>
      <c r="AC39" s="8" t="s">
        <v>1424</v>
      </c>
      <c r="AD39" s="8" t="s">
        <v>1425</v>
      </c>
      <c r="AE39" s="8" t="s">
        <v>362</v>
      </c>
      <c r="AF39" s="8" t="s">
        <v>1426</v>
      </c>
      <c r="AG39" s="8"/>
      <c r="AH39" s="11" t="s">
        <v>1146</v>
      </c>
      <c r="AI39" s="11"/>
      <c r="AJ39" s="8" t="s">
        <v>1427</v>
      </c>
    </row>
    <row r="40" spans="1:36" ht="48" customHeight="1">
      <c r="A40" s="8" t="s">
        <v>1428</v>
      </c>
      <c r="B40" s="8" t="s">
        <v>546</v>
      </c>
      <c r="C40" s="8" t="s">
        <v>396</v>
      </c>
      <c r="D40" s="8" t="s">
        <v>1139</v>
      </c>
      <c r="E40" s="8" t="s">
        <v>106</v>
      </c>
      <c r="F40" s="8" t="s">
        <v>85</v>
      </c>
      <c r="G40" s="8" t="s">
        <v>1230</v>
      </c>
      <c r="H40" s="8" t="s">
        <v>150</v>
      </c>
      <c r="I40" s="8" t="s">
        <v>1141</v>
      </c>
      <c r="J40" s="8" t="s">
        <v>1141</v>
      </c>
      <c r="K40" s="8" t="s">
        <v>1141</v>
      </c>
      <c r="L40" s="8" t="s">
        <v>1141</v>
      </c>
      <c r="M40" s="8" t="s">
        <v>421</v>
      </c>
      <c r="N40" s="8"/>
      <c r="O40" s="8">
        <v>3</v>
      </c>
      <c r="P40" s="8" t="s">
        <v>202</v>
      </c>
      <c r="Q40" s="8" t="s">
        <v>228</v>
      </c>
      <c r="R40" s="8" t="s">
        <v>236</v>
      </c>
      <c r="S40" s="8" t="s">
        <v>1429</v>
      </c>
      <c r="T40" s="8" t="s">
        <v>1430</v>
      </c>
      <c r="U40" s="8" t="s">
        <v>1431</v>
      </c>
      <c r="V40" s="8" t="s">
        <v>1432</v>
      </c>
      <c r="W40" s="8" t="s">
        <v>268</v>
      </c>
      <c r="X40" s="8" t="s">
        <v>300</v>
      </c>
      <c r="Y40" s="8" t="s">
        <v>1433</v>
      </c>
      <c r="Z40" s="8"/>
      <c r="AA40" s="8"/>
      <c r="AB40" s="8"/>
      <c r="AC40" s="8" t="s">
        <v>1434</v>
      </c>
      <c r="AD40" s="8" t="s">
        <v>1435</v>
      </c>
      <c r="AE40" s="8" t="s">
        <v>386</v>
      </c>
      <c r="AF40" s="8" t="s">
        <v>1436</v>
      </c>
      <c r="AG40" s="8" t="s">
        <v>1437</v>
      </c>
      <c r="AH40" s="11" t="s">
        <v>1146</v>
      </c>
      <c r="AI40" s="11"/>
      <c r="AJ40" s="8" t="s">
        <v>1438</v>
      </c>
    </row>
    <row r="41" spans="1:36" ht="48" customHeight="1">
      <c r="A41" s="8" t="s">
        <v>1439</v>
      </c>
      <c r="B41" s="8" t="s">
        <v>550</v>
      </c>
      <c r="C41" s="8" t="s">
        <v>396</v>
      </c>
      <c r="D41" s="8" t="s">
        <v>1139</v>
      </c>
      <c r="E41" s="8" t="s">
        <v>106</v>
      </c>
      <c r="F41" s="8" t="s">
        <v>85</v>
      </c>
      <c r="G41" s="8" t="s">
        <v>1230</v>
      </c>
      <c r="H41" s="8" t="s">
        <v>150</v>
      </c>
      <c r="I41" s="8" t="s">
        <v>1141</v>
      </c>
      <c r="J41" s="8" t="s">
        <v>1141</v>
      </c>
      <c r="K41" s="8" t="s">
        <v>1141</v>
      </c>
      <c r="L41" s="8" t="s">
        <v>1141</v>
      </c>
      <c r="M41" s="8" t="s">
        <v>421</v>
      </c>
      <c r="N41" s="8"/>
      <c r="O41" s="8">
        <v>3</v>
      </c>
      <c r="P41" s="8" t="s">
        <v>193</v>
      </c>
      <c r="Q41" s="8" t="s">
        <v>228</v>
      </c>
      <c r="R41" s="8" t="s">
        <v>236</v>
      </c>
      <c r="S41" s="8" t="s">
        <v>1440</v>
      </c>
      <c r="T41" s="8" t="s">
        <v>1441</v>
      </c>
      <c r="U41" s="8" t="s">
        <v>1442</v>
      </c>
      <c r="V41" s="8" t="s">
        <v>1432</v>
      </c>
      <c r="W41" s="8" t="s">
        <v>268</v>
      </c>
      <c r="X41" s="8" t="s">
        <v>300</v>
      </c>
      <c r="Y41" s="8" t="s">
        <v>1443</v>
      </c>
      <c r="Z41" s="8"/>
      <c r="AA41" s="8"/>
      <c r="AB41" s="8"/>
      <c r="AC41" s="8" t="s">
        <v>1444</v>
      </c>
      <c r="AD41" s="8" t="s">
        <v>1445</v>
      </c>
      <c r="AE41" s="8" t="s">
        <v>386</v>
      </c>
      <c r="AF41" s="8" t="s">
        <v>1436</v>
      </c>
      <c r="AG41" s="8" t="s">
        <v>1446</v>
      </c>
      <c r="AH41" s="11" t="s">
        <v>1146</v>
      </c>
      <c r="AI41" s="11"/>
      <c r="AJ41" s="8" t="s">
        <v>1447</v>
      </c>
    </row>
    <row r="42" spans="1:36" ht="48" customHeight="1">
      <c r="A42" s="8" t="s">
        <v>1448</v>
      </c>
      <c r="B42" s="8" t="s">
        <v>553</v>
      </c>
      <c r="C42" s="8" t="s">
        <v>396</v>
      </c>
      <c r="D42" s="8" t="s">
        <v>1139</v>
      </c>
      <c r="E42" s="8" t="s">
        <v>115</v>
      </c>
      <c r="F42" s="8" t="s">
        <v>85</v>
      </c>
      <c r="G42" s="8" t="s">
        <v>1330</v>
      </c>
      <c r="H42" s="8" t="s">
        <v>163</v>
      </c>
      <c r="I42" s="8" t="s">
        <v>1141</v>
      </c>
      <c r="J42" s="8" t="s">
        <v>1141</v>
      </c>
      <c r="K42" s="8" t="s">
        <v>1141</v>
      </c>
      <c r="L42" s="8" t="s">
        <v>1141</v>
      </c>
      <c r="M42" s="8" t="s">
        <v>421</v>
      </c>
      <c r="N42" s="8"/>
      <c r="O42" s="8">
        <v>3</v>
      </c>
      <c r="P42" s="8" t="s">
        <v>202</v>
      </c>
      <c r="Q42" s="8" t="s">
        <v>228</v>
      </c>
      <c r="R42" s="8" t="s">
        <v>236</v>
      </c>
      <c r="S42" s="8" t="s">
        <v>1449</v>
      </c>
      <c r="T42" s="8" t="s">
        <v>1450</v>
      </c>
      <c r="U42" s="8" t="s">
        <v>1451</v>
      </c>
      <c r="V42" s="8" t="s">
        <v>1452</v>
      </c>
      <c r="W42" s="8" t="s">
        <v>268</v>
      </c>
      <c r="X42" s="8" t="s">
        <v>300</v>
      </c>
      <c r="Y42" s="8" t="s">
        <v>1453</v>
      </c>
      <c r="Z42" s="8"/>
      <c r="AA42" s="8"/>
      <c r="AB42" s="8"/>
      <c r="AC42" s="8" t="s">
        <v>1454</v>
      </c>
      <c r="AD42" s="8" t="s">
        <v>1455</v>
      </c>
      <c r="AE42" s="8" t="s">
        <v>386</v>
      </c>
      <c r="AF42" s="8" t="s">
        <v>1436</v>
      </c>
      <c r="AG42" s="8" t="s">
        <v>1456</v>
      </c>
      <c r="AH42" s="11" t="s">
        <v>1146</v>
      </c>
      <c r="AI42" s="11"/>
      <c r="AJ42" s="8" t="s">
        <v>1457</v>
      </c>
    </row>
    <row r="43" spans="1:36" ht="118.5" customHeight="1">
      <c r="A43" s="8" t="s">
        <v>1458</v>
      </c>
      <c r="B43" s="8" t="s">
        <v>556</v>
      </c>
      <c r="C43" s="8" t="s">
        <v>396</v>
      </c>
      <c r="D43" s="8" t="s">
        <v>1139</v>
      </c>
      <c r="E43" s="8" t="s">
        <v>124</v>
      </c>
      <c r="F43" s="8" t="s">
        <v>70</v>
      </c>
      <c r="G43" s="8" t="s">
        <v>1213</v>
      </c>
      <c r="H43" s="8" t="s">
        <v>182</v>
      </c>
      <c r="I43" s="8" t="s">
        <v>1141</v>
      </c>
      <c r="J43" s="8" t="s">
        <v>1141</v>
      </c>
      <c r="K43" s="8" t="s">
        <v>1141</v>
      </c>
      <c r="L43" s="8" t="s">
        <v>1141</v>
      </c>
      <c r="M43" s="8" t="s">
        <v>421</v>
      </c>
      <c r="N43" s="8"/>
      <c r="O43" s="8">
        <v>2</v>
      </c>
      <c r="P43" s="8" t="s">
        <v>193</v>
      </c>
      <c r="Q43" s="8" t="s">
        <v>228</v>
      </c>
      <c r="R43" s="8" t="s">
        <v>242</v>
      </c>
      <c r="S43" s="8" t="s">
        <v>1459</v>
      </c>
      <c r="T43" s="8" t="s">
        <v>1460</v>
      </c>
      <c r="U43" s="8" t="s">
        <v>1461</v>
      </c>
      <c r="V43" s="8"/>
      <c r="W43" s="8"/>
      <c r="X43" s="8"/>
      <c r="Y43" s="8"/>
      <c r="Z43" s="8"/>
      <c r="AA43" s="8"/>
      <c r="AB43" s="8"/>
      <c r="AC43" s="8" t="s">
        <v>1462</v>
      </c>
      <c r="AD43" s="8" t="s">
        <v>1463</v>
      </c>
      <c r="AE43" s="8" t="s">
        <v>362</v>
      </c>
      <c r="AF43" s="8" t="s">
        <v>1464</v>
      </c>
      <c r="AG43" s="8" t="s">
        <v>1465</v>
      </c>
      <c r="AH43" s="11" t="s">
        <v>1146</v>
      </c>
      <c r="AI43" s="11"/>
      <c r="AJ43" s="8" t="s">
        <v>1466</v>
      </c>
    </row>
    <row r="44" spans="1:36" ht="96" customHeight="1">
      <c r="A44" s="8" t="s">
        <v>1467</v>
      </c>
      <c r="B44" s="8" t="s">
        <v>559</v>
      </c>
      <c r="C44" s="8" t="s">
        <v>396</v>
      </c>
      <c r="D44" s="8" t="s">
        <v>1139</v>
      </c>
      <c r="E44" s="8" t="s">
        <v>99</v>
      </c>
      <c r="F44" s="8" t="s">
        <v>80</v>
      </c>
      <c r="G44" s="8" t="s">
        <v>1230</v>
      </c>
      <c r="H44" s="8" t="s">
        <v>150</v>
      </c>
      <c r="I44" s="8" t="s">
        <v>1141</v>
      </c>
      <c r="J44" s="8" t="s">
        <v>1141</v>
      </c>
      <c r="K44" s="8" t="s">
        <v>1141</v>
      </c>
      <c r="L44" s="8" t="s">
        <v>1141</v>
      </c>
      <c r="M44" s="8" t="s">
        <v>421</v>
      </c>
      <c r="N44" s="8"/>
      <c r="O44" s="8">
        <v>2</v>
      </c>
      <c r="P44" s="8" t="s">
        <v>193</v>
      </c>
      <c r="Q44" s="8" t="s">
        <v>228</v>
      </c>
      <c r="R44" s="8" t="s">
        <v>239</v>
      </c>
      <c r="S44" s="8" t="s">
        <v>1468</v>
      </c>
      <c r="T44" s="8" t="s">
        <v>1469</v>
      </c>
      <c r="U44" s="8" t="s">
        <v>1470</v>
      </c>
      <c r="V44" s="8"/>
      <c r="W44" s="8"/>
      <c r="X44" s="8"/>
      <c r="Y44" s="8"/>
      <c r="Z44" s="8"/>
      <c r="AA44" s="8"/>
      <c r="AB44" s="8"/>
      <c r="AC44" s="8" t="s">
        <v>1471</v>
      </c>
      <c r="AD44" s="8" t="s">
        <v>1472</v>
      </c>
      <c r="AE44" s="8" t="s">
        <v>362</v>
      </c>
      <c r="AF44" s="8" t="s">
        <v>1473</v>
      </c>
      <c r="AG44" s="8" t="s">
        <v>1474</v>
      </c>
      <c r="AH44" s="11" t="s">
        <v>1146</v>
      </c>
      <c r="AI44" s="11"/>
      <c r="AJ44" s="8" t="s">
        <v>1475</v>
      </c>
    </row>
    <row r="45" spans="1:36" ht="60" customHeight="1">
      <c r="A45" s="8" t="s">
        <v>1476</v>
      </c>
      <c r="B45" s="8" t="s">
        <v>563</v>
      </c>
      <c r="C45" s="8" t="s">
        <v>396</v>
      </c>
      <c r="D45" s="8" t="s">
        <v>1139</v>
      </c>
      <c r="E45" s="8" t="s">
        <v>112</v>
      </c>
      <c r="F45" s="8" t="s">
        <v>65</v>
      </c>
      <c r="G45" s="8" t="s">
        <v>1140</v>
      </c>
      <c r="H45" s="8" t="s">
        <v>163</v>
      </c>
      <c r="I45" s="8" t="s">
        <v>1141</v>
      </c>
      <c r="J45" s="8" t="s">
        <v>1141</v>
      </c>
      <c r="K45" s="8" t="s">
        <v>1141</v>
      </c>
      <c r="L45" s="8" t="s">
        <v>1141</v>
      </c>
      <c r="M45" s="8" t="s">
        <v>421</v>
      </c>
      <c r="N45" s="8"/>
      <c r="O45" s="8">
        <v>3</v>
      </c>
      <c r="P45" s="8" t="s">
        <v>193</v>
      </c>
      <c r="Q45" s="8" t="s">
        <v>228</v>
      </c>
      <c r="R45" s="8" t="s">
        <v>236</v>
      </c>
      <c r="S45" s="8" t="s">
        <v>1477</v>
      </c>
      <c r="T45" s="8" t="s">
        <v>1478</v>
      </c>
      <c r="U45" s="8" t="s">
        <v>439</v>
      </c>
      <c r="V45" s="8" t="s">
        <v>1479</v>
      </c>
      <c r="W45" s="8" t="s">
        <v>268</v>
      </c>
      <c r="X45" s="8" t="s">
        <v>300</v>
      </c>
      <c r="Y45" s="8" t="s">
        <v>1480</v>
      </c>
      <c r="Z45" s="8"/>
      <c r="AA45" s="8"/>
      <c r="AB45" s="8"/>
      <c r="AC45" s="8" t="s">
        <v>1481</v>
      </c>
      <c r="AD45" s="8" t="s">
        <v>1336</v>
      </c>
      <c r="AE45" s="8" t="s">
        <v>362</v>
      </c>
      <c r="AF45" s="8" t="s">
        <v>1482</v>
      </c>
      <c r="AG45" s="8" t="s">
        <v>1483</v>
      </c>
      <c r="AH45" s="11" t="s">
        <v>1146</v>
      </c>
      <c r="AI45" s="11"/>
      <c r="AJ45" s="8" t="s">
        <v>1484</v>
      </c>
    </row>
    <row r="46" spans="1:36" ht="60" customHeight="1">
      <c r="A46" s="8" t="s">
        <v>1485</v>
      </c>
      <c r="B46" s="8" t="s">
        <v>566</v>
      </c>
      <c r="C46" s="8" t="s">
        <v>396</v>
      </c>
      <c r="D46" s="8" t="s">
        <v>1139</v>
      </c>
      <c r="E46" s="8" t="s">
        <v>106</v>
      </c>
      <c r="F46" s="8" t="s">
        <v>70</v>
      </c>
      <c r="G46" s="8" t="s">
        <v>1140</v>
      </c>
      <c r="H46" s="8" t="s">
        <v>163</v>
      </c>
      <c r="I46" s="8" t="s">
        <v>1141</v>
      </c>
      <c r="J46" s="8" t="s">
        <v>1141</v>
      </c>
      <c r="K46" s="8" t="s">
        <v>1141</v>
      </c>
      <c r="L46" s="8" t="s">
        <v>1141</v>
      </c>
      <c r="M46" s="8" t="s">
        <v>421</v>
      </c>
      <c r="N46" s="8"/>
      <c r="O46" s="8">
        <v>3</v>
      </c>
      <c r="P46" s="8" t="s">
        <v>193</v>
      </c>
      <c r="Q46" s="8" t="s">
        <v>228</v>
      </c>
      <c r="R46" s="8" t="s">
        <v>236</v>
      </c>
      <c r="S46" s="8" t="s">
        <v>1486</v>
      </c>
      <c r="T46" s="8" t="s">
        <v>1487</v>
      </c>
      <c r="U46" s="8" t="s">
        <v>443</v>
      </c>
      <c r="V46" s="8" t="s">
        <v>1488</v>
      </c>
      <c r="W46" s="8" t="s">
        <v>268</v>
      </c>
      <c r="X46" s="8" t="s">
        <v>300</v>
      </c>
      <c r="Y46" s="8" t="s">
        <v>1489</v>
      </c>
      <c r="Z46" s="8"/>
      <c r="AA46" s="8"/>
      <c r="AB46" s="8"/>
      <c r="AC46" s="8" t="s">
        <v>1490</v>
      </c>
      <c r="AD46" s="8" t="s">
        <v>1491</v>
      </c>
      <c r="AE46" s="8" t="s">
        <v>374</v>
      </c>
      <c r="AF46" s="8" t="s">
        <v>1492</v>
      </c>
      <c r="AG46" s="8" t="s">
        <v>1493</v>
      </c>
      <c r="AH46" s="11" t="s">
        <v>1146</v>
      </c>
      <c r="AI46" s="11"/>
      <c r="AJ46" s="8" t="s">
        <v>1494</v>
      </c>
    </row>
    <row r="47" spans="1:36" ht="84" customHeight="1">
      <c r="A47" s="8" t="s">
        <v>1495</v>
      </c>
      <c r="B47" s="8" t="s">
        <v>570</v>
      </c>
      <c r="C47" s="8" t="s">
        <v>396</v>
      </c>
      <c r="D47" s="8" t="s">
        <v>1139</v>
      </c>
      <c r="E47" s="8" t="s">
        <v>106</v>
      </c>
      <c r="F47" s="8" t="s">
        <v>70</v>
      </c>
      <c r="G47" s="8" t="s">
        <v>1140</v>
      </c>
      <c r="H47" s="8" t="s">
        <v>163</v>
      </c>
      <c r="I47" s="8" t="s">
        <v>1141</v>
      </c>
      <c r="J47" s="8" t="s">
        <v>1141</v>
      </c>
      <c r="K47" s="8" t="s">
        <v>1141</v>
      </c>
      <c r="L47" s="8" t="s">
        <v>1141</v>
      </c>
      <c r="M47" s="8" t="s">
        <v>421</v>
      </c>
      <c r="N47" s="8"/>
      <c r="O47" s="8">
        <v>3</v>
      </c>
      <c r="P47" s="8" t="s">
        <v>193</v>
      </c>
      <c r="Q47" s="8" t="s">
        <v>228</v>
      </c>
      <c r="R47" s="8" t="s">
        <v>239</v>
      </c>
      <c r="S47" s="8" t="s">
        <v>1496</v>
      </c>
      <c r="T47" s="8" t="s">
        <v>1497</v>
      </c>
      <c r="U47" s="8" t="s">
        <v>1498</v>
      </c>
      <c r="V47" s="8"/>
      <c r="W47" s="8"/>
      <c r="X47" s="8"/>
      <c r="Y47" s="8"/>
      <c r="Z47" s="8"/>
      <c r="AA47" s="8"/>
      <c r="AB47" s="8"/>
      <c r="AC47" s="8" t="s">
        <v>1499</v>
      </c>
      <c r="AD47" s="8" t="s">
        <v>1500</v>
      </c>
      <c r="AE47" s="8" t="s">
        <v>374</v>
      </c>
      <c r="AF47" s="8" t="s">
        <v>1501</v>
      </c>
      <c r="AG47" s="8" t="s">
        <v>1502</v>
      </c>
      <c r="AH47" s="11" t="s">
        <v>1146</v>
      </c>
      <c r="AI47" s="11"/>
      <c r="AJ47" s="8" t="s">
        <v>1503</v>
      </c>
    </row>
    <row r="48" spans="1:36" ht="72" customHeight="1">
      <c r="A48" s="8" t="s">
        <v>1504</v>
      </c>
      <c r="B48" s="8" t="s">
        <v>573</v>
      </c>
      <c r="C48" s="8" t="s">
        <v>396</v>
      </c>
      <c r="D48" s="8" t="s">
        <v>1139</v>
      </c>
      <c r="E48" s="8" t="s">
        <v>127</v>
      </c>
      <c r="F48" s="8" t="s">
        <v>80</v>
      </c>
      <c r="G48" s="8" t="s">
        <v>1230</v>
      </c>
      <c r="H48" s="8" t="s">
        <v>150</v>
      </c>
      <c r="I48" s="8" t="s">
        <v>1141</v>
      </c>
      <c r="J48" s="8" t="s">
        <v>1141</v>
      </c>
      <c r="K48" s="8" t="s">
        <v>1141</v>
      </c>
      <c r="L48" s="8" t="s">
        <v>1141</v>
      </c>
      <c r="M48" s="8" t="s">
        <v>421</v>
      </c>
      <c r="N48" s="8"/>
      <c r="O48" s="8">
        <v>2</v>
      </c>
      <c r="P48" s="8" t="s">
        <v>205</v>
      </c>
      <c r="Q48" s="8" t="s">
        <v>228</v>
      </c>
      <c r="R48" s="8" t="s">
        <v>236</v>
      </c>
      <c r="S48" s="8" t="s">
        <v>1505</v>
      </c>
      <c r="T48" s="8" t="s">
        <v>1506</v>
      </c>
      <c r="U48" s="8" t="s">
        <v>1507</v>
      </c>
      <c r="V48" s="8" t="s">
        <v>1508</v>
      </c>
      <c r="W48" s="8" t="s">
        <v>274</v>
      </c>
      <c r="X48" s="8" t="s">
        <v>288</v>
      </c>
      <c r="Y48" s="8" t="s">
        <v>1509</v>
      </c>
      <c r="Z48" s="8"/>
      <c r="AA48" s="8"/>
      <c r="AB48" s="8"/>
      <c r="AC48" s="8" t="s">
        <v>1510</v>
      </c>
      <c r="AD48" s="8" t="s">
        <v>1511</v>
      </c>
      <c r="AE48" s="8" t="s">
        <v>362</v>
      </c>
      <c r="AF48" s="8" t="s">
        <v>1512</v>
      </c>
      <c r="AG48" s="8" t="s">
        <v>1513</v>
      </c>
      <c r="AH48" s="11" t="s">
        <v>1146</v>
      </c>
      <c r="AI48" s="11"/>
      <c r="AJ48" s="8" t="s">
        <v>1514</v>
      </c>
    </row>
    <row r="49" spans="1:36" ht="60" customHeight="1">
      <c r="A49" s="8" t="s">
        <v>1515</v>
      </c>
      <c r="B49" s="8" t="s">
        <v>577</v>
      </c>
      <c r="C49" s="8" t="s">
        <v>396</v>
      </c>
      <c r="D49" s="8" t="s">
        <v>1139</v>
      </c>
      <c r="E49" s="8" t="s">
        <v>133</v>
      </c>
      <c r="F49" s="8" t="s">
        <v>90</v>
      </c>
      <c r="G49" s="8" t="s">
        <v>1161</v>
      </c>
      <c r="H49" s="8" t="s">
        <v>182</v>
      </c>
      <c r="I49" s="8" t="s">
        <v>1141</v>
      </c>
      <c r="J49" s="8" t="s">
        <v>1141</v>
      </c>
      <c r="K49" s="8" t="s">
        <v>1141</v>
      </c>
      <c r="L49" s="8" t="s">
        <v>1141</v>
      </c>
      <c r="M49" s="8" t="s">
        <v>421</v>
      </c>
      <c r="N49" s="8"/>
      <c r="O49" s="8">
        <v>1</v>
      </c>
      <c r="P49" s="8" t="s">
        <v>205</v>
      </c>
      <c r="Q49" s="8" t="s">
        <v>228</v>
      </c>
      <c r="R49" s="8" t="s">
        <v>236</v>
      </c>
      <c r="S49" s="8" t="s">
        <v>1516</v>
      </c>
      <c r="T49" s="8" t="s">
        <v>1517</v>
      </c>
      <c r="U49" s="8" t="s">
        <v>1518</v>
      </c>
      <c r="V49" s="8"/>
      <c r="W49" s="8"/>
      <c r="X49" s="8"/>
      <c r="Y49" s="8"/>
      <c r="Z49" s="8"/>
      <c r="AA49" s="8"/>
      <c r="AB49" s="8"/>
      <c r="AC49" s="8" t="s">
        <v>1519</v>
      </c>
      <c r="AD49" s="8" t="s">
        <v>1520</v>
      </c>
      <c r="AE49" s="8" t="s">
        <v>362</v>
      </c>
      <c r="AF49" s="8" t="s">
        <v>1521</v>
      </c>
      <c r="AG49" s="8"/>
      <c r="AH49" s="11" t="s">
        <v>1146</v>
      </c>
      <c r="AI49" s="11"/>
      <c r="AJ49" s="8" t="s">
        <v>1522</v>
      </c>
    </row>
    <row r="50" spans="1:36" ht="60" customHeight="1">
      <c r="A50" s="8" t="s">
        <v>1523</v>
      </c>
      <c r="B50" s="8" t="s">
        <v>581</v>
      </c>
      <c r="C50" s="8" t="s">
        <v>396</v>
      </c>
      <c r="D50" s="8" t="s">
        <v>1139</v>
      </c>
      <c r="E50" s="8" t="s">
        <v>103</v>
      </c>
      <c r="F50" s="8" t="s">
        <v>65</v>
      </c>
      <c r="G50" s="8" t="s">
        <v>1230</v>
      </c>
      <c r="H50" s="8" t="s">
        <v>150</v>
      </c>
      <c r="I50" s="8" t="s">
        <v>1141</v>
      </c>
      <c r="J50" s="8" t="s">
        <v>1141</v>
      </c>
      <c r="K50" s="8" t="s">
        <v>1141</v>
      </c>
      <c r="L50" s="8" t="s">
        <v>1141</v>
      </c>
      <c r="M50" s="8" t="s">
        <v>421</v>
      </c>
      <c r="N50" s="8"/>
      <c r="O50" s="8">
        <v>3</v>
      </c>
      <c r="P50" s="8" t="s">
        <v>193</v>
      </c>
      <c r="Q50" s="8" t="s">
        <v>228</v>
      </c>
      <c r="R50" s="8" t="s">
        <v>236</v>
      </c>
      <c r="S50" s="8" t="s">
        <v>1524</v>
      </c>
      <c r="T50" s="8" t="s">
        <v>1525</v>
      </c>
      <c r="U50" s="8" t="s">
        <v>585</v>
      </c>
      <c r="V50" s="8" t="s">
        <v>1526</v>
      </c>
      <c r="W50" s="8" t="s">
        <v>274</v>
      </c>
      <c r="X50" s="8" t="s">
        <v>297</v>
      </c>
      <c r="Y50" s="8" t="s">
        <v>1527</v>
      </c>
      <c r="Z50" s="8"/>
      <c r="AA50" s="8"/>
      <c r="AB50" s="8"/>
      <c r="AC50" s="8" t="s">
        <v>1528</v>
      </c>
      <c r="AD50" s="8" t="s">
        <v>1529</v>
      </c>
      <c r="AE50" s="8" t="s">
        <v>362</v>
      </c>
      <c r="AF50" s="8" t="s">
        <v>1530</v>
      </c>
      <c r="AG50" s="8" t="s">
        <v>1531</v>
      </c>
      <c r="AH50" s="11" t="s">
        <v>1146</v>
      </c>
      <c r="AI50" s="11"/>
      <c r="AJ50" s="8" t="s">
        <v>1532</v>
      </c>
    </row>
    <row r="51" spans="1:36" ht="72" customHeight="1">
      <c r="A51" s="8" t="s">
        <v>1533</v>
      </c>
      <c r="B51" s="8" t="s">
        <v>585</v>
      </c>
      <c r="C51" s="8" t="s">
        <v>396</v>
      </c>
      <c r="D51" s="8" t="s">
        <v>1139</v>
      </c>
      <c r="E51" s="8" t="s">
        <v>103</v>
      </c>
      <c r="F51" s="8" t="s">
        <v>65</v>
      </c>
      <c r="G51" s="8" t="s">
        <v>1230</v>
      </c>
      <c r="H51" s="8" t="s">
        <v>150</v>
      </c>
      <c r="I51" s="8" t="s">
        <v>1141</v>
      </c>
      <c r="J51" s="8" t="s">
        <v>1141</v>
      </c>
      <c r="K51" s="8" t="s">
        <v>1141</v>
      </c>
      <c r="L51" s="8" t="s">
        <v>1141</v>
      </c>
      <c r="M51" s="8" t="s">
        <v>421</v>
      </c>
      <c r="N51" s="8"/>
      <c r="O51" s="8">
        <v>3</v>
      </c>
      <c r="P51" s="8" t="s">
        <v>193</v>
      </c>
      <c r="Q51" s="8" t="s">
        <v>228</v>
      </c>
      <c r="R51" s="8" t="s">
        <v>236</v>
      </c>
      <c r="S51" s="8" t="s">
        <v>1534</v>
      </c>
      <c r="T51" s="8" t="s">
        <v>1535</v>
      </c>
      <c r="U51" s="8" t="s">
        <v>581</v>
      </c>
      <c r="V51" s="8" t="s">
        <v>1536</v>
      </c>
      <c r="W51" s="8" t="s">
        <v>274</v>
      </c>
      <c r="X51" s="8" t="s">
        <v>291</v>
      </c>
      <c r="Y51" s="8" t="s">
        <v>1537</v>
      </c>
      <c r="Z51" s="8"/>
      <c r="AA51" s="8"/>
      <c r="AB51" s="8"/>
      <c r="AC51" s="8" t="s">
        <v>1538</v>
      </c>
      <c r="AD51" s="8" t="s">
        <v>1539</v>
      </c>
      <c r="AE51" s="8" t="s">
        <v>362</v>
      </c>
      <c r="AF51" s="8" t="s">
        <v>1540</v>
      </c>
      <c r="AG51" s="8" t="s">
        <v>1541</v>
      </c>
      <c r="AH51" s="11" t="s">
        <v>1146</v>
      </c>
      <c r="AI51" s="11"/>
      <c r="AJ51" s="8" t="s">
        <v>1542</v>
      </c>
    </row>
    <row r="52" spans="1:36" ht="48" customHeight="1">
      <c r="A52" s="8" t="s">
        <v>1543</v>
      </c>
      <c r="B52" s="8" t="s">
        <v>588</v>
      </c>
      <c r="C52" s="8" t="s">
        <v>396</v>
      </c>
      <c r="D52" s="8" t="s">
        <v>1139</v>
      </c>
      <c r="E52" s="8" t="s">
        <v>112</v>
      </c>
      <c r="F52" s="8" t="s">
        <v>85</v>
      </c>
      <c r="G52" s="8" t="s">
        <v>1230</v>
      </c>
      <c r="H52" s="8" t="s">
        <v>150</v>
      </c>
      <c r="I52" s="8" t="s">
        <v>1141</v>
      </c>
      <c r="J52" s="8" t="s">
        <v>1141</v>
      </c>
      <c r="K52" s="8" t="s">
        <v>1141</v>
      </c>
      <c r="L52" s="8" t="s">
        <v>1141</v>
      </c>
      <c r="M52" s="8" t="s">
        <v>421</v>
      </c>
      <c r="N52" s="8"/>
      <c r="O52" s="8">
        <v>3</v>
      </c>
      <c r="P52" s="8" t="s">
        <v>202</v>
      </c>
      <c r="Q52" s="8" t="s">
        <v>228</v>
      </c>
      <c r="R52" s="8" t="s">
        <v>236</v>
      </c>
      <c r="S52" s="8" t="s">
        <v>1544</v>
      </c>
      <c r="T52" s="8" t="s">
        <v>1545</v>
      </c>
      <c r="U52" s="8" t="s">
        <v>1546</v>
      </c>
      <c r="V52" s="8" t="s">
        <v>1547</v>
      </c>
      <c r="W52" s="8" t="s">
        <v>250</v>
      </c>
      <c r="X52" s="8" t="s">
        <v>282</v>
      </c>
      <c r="Y52" s="8" t="s">
        <v>1548</v>
      </c>
      <c r="Z52" s="8"/>
      <c r="AA52" s="8"/>
      <c r="AB52" s="8"/>
      <c r="AC52" s="8" t="s">
        <v>1549</v>
      </c>
      <c r="AD52" s="8" t="s">
        <v>1219</v>
      </c>
      <c r="AE52" s="8" t="s">
        <v>380</v>
      </c>
      <c r="AF52" s="8" t="s">
        <v>1550</v>
      </c>
      <c r="AG52" s="8" t="s">
        <v>1551</v>
      </c>
      <c r="AH52" s="11" t="s">
        <v>1146</v>
      </c>
      <c r="AI52" s="11"/>
      <c r="AJ52" s="8" t="s">
        <v>1552</v>
      </c>
    </row>
    <row r="53" spans="1:36" ht="60" customHeight="1">
      <c r="A53" s="8" t="s">
        <v>1553</v>
      </c>
      <c r="B53" s="8" t="s">
        <v>591</v>
      </c>
      <c r="C53" s="8" t="s">
        <v>396</v>
      </c>
      <c r="D53" s="8" t="s">
        <v>1139</v>
      </c>
      <c r="E53" s="8" t="s">
        <v>112</v>
      </c>
      <c r="F53" s="8" t="s">
        <v>85</v>
      </c>
      <c r="G53" s="8" t="s">
        <v>1230</v>
      </c>
      <c r="H53" s="8" t="s">
        <v>150</v>
      </c>
      <c r="I53" s="8" t="s">
        <v>1141</v>
      </c>
      <c r="J53" s="8" t="s">
        <v>1141</v>
      </c>
      <c r="K53" s="8" t="s">
        <v>1141</v>
      </c>
      <c r="L53" s="8" t="s">
        <v>1141</v>
      </c>
      <c r="M53" s="8" t="s">
        <v>421</v>
      </c>
      <c r="N53" s="8"/>
      <c r="O53" s="8">
        <v>2</v>
      </c>
      <c r="P53" s="8" t="s">
        <v>202</v>
      </c>
      <c r="Q53" s="8" t="s">
        <v>228</v>
      </c>
      <c r="R53" s="8" t="s">
        <v>239</v>
      </c>
      <c r="S53" s="8" t="s">
        <v>1554</v>
      </c>
      <c r="T53" s="8" t="s">
        <v>1555</v>
      </c>
      <c r="U53" s="8" t="s">
        <v>588</v>
      </c>
      <c r="V53" s="8" t="s">
        <v>1547</v>
      </c>
      <c r="W53" s="8" t="s">
        <v>250</v>
      </c>
      <c r="X53" s="8" t="s">
        <v>282</v>
      </c>
      <c r="Y53" s="8" t="s">
        <v>1556</v>
      </c>
      <c r="Z53" s="8"/>
      <c r="AA53" s="8"/>
      <c r="AB53" s="8"/>
      <c r="AC53" s="8" t="s">
        <v>1557</v>
      </c>
      <c r="AD53" s="8" t="s">
        <v>1219</v>
      </c>
      <c r="AE53" s="8" t="s">
        <v>380</v>
      </c>
      <c r="AF53" s="8" t="s">
        <v>1558</v>
      </c>
      <c r="AG53" s="8" t="s">
        <v>1559</v>
      </c>
      <c r="AH53" s="11" t="s">
        <v>1146</v>
      </c>
      <c r="AI53" s="11"/>
      <c r="AJ53" s="8" t="s">
        <v>1560</v>
      </c>
    </row>
    <row r="54" spans="1:36" ht="60" customHeight="1">
      <c r="A54" s="8" t="s">
        <v>1561</v>
      </c>
      <c r="B54" s="8" t="s">
        <v>594</v>
      </c>
      <c r="C54" s="8" t="s">
        <v>396</v>
      </c>
      <c r="D54" s="8" t="s">
        <v>1139</v>
      </c>
      <c r="E54" s="8" t="s">
        <v>118</v>
      </c>
      <c r="F54" s="8" t="s">
        <v>90</v>
      </c>
      <c r="G54" s="8" t="s">
        <v>1161</v>
      </c>
      <c r="H54" s="8" t="s">
        <v>182</v>
      </c>
      <c r="I54" s="8" t="s">
        <v>1141</v>
      </c>
      <c r="J54" s="8" t="s">
        <v>1141</v>
      </c>
      <c r="K54" s="8" t="s">
        <v>1141</v>
      </c>
      <c r="L54" s="8" t="s">
        <v>1141</v>
      </c>
      <c r="M54" s="8" t="s">
        <v>421</v>
      </c>
      <c r="N54" s="8"/>
      <c r="O54" s="8">
        <v>2</v>
      </c>
      <c r="P54" s="8" t="s">
        <v>199</v>
      </c>
      <c r="Q54" s="8" t="s">
        <v>228</v>
      </c>
      <c r="R54" s="8" t="s">
        <v>236</v>
      </c>
      <c r="S54" s="8" t="s">
        <v>1562</v>
      </c>
      <c r="T54" s="8" t="s">
        <v>1563</v>
      </c>
      <c r="U54" s="8" t="s">
        <v>485</v>
      </c>
      <c r="V54" s="8" t="s">
        <v>1564</v>
      </c>
      <c r="W54" s="8" t="s">
        <v>271</v>
      </c>
      <c r="X54" s="8" t="s">
        <v>306</v>
      </c>
      <c r="Y54" s="8" t="s">
        <v>1565</v>
      </c>
      <c r="Z54" s="8" t="s">
        <v>1566</v>
      </c>
      <c r="AA54" s="8" t="s">
        <v>315</v>
      </c>
      <c r="AB54" s="8" t="s">
        <v>341</v>
      </c>
      <c r="AC54" s="8" t="s">
        <v>1567</v>
      </c>
      <c r="AD54" s="8" t="s">
        <v>1568</v>
      </c>
      <c r="AE54" s="8" t="s">
        <v>362</v>
      </c>
      <c r="AF54" s="8" t="s">
        <v>1569</v>
      </c>
      <c r="AG54" s="8" t="s">
        <v>1570</v>
      </c>
      <c r="AH54" s="11" t="s">
        <v>1146</v>
      </c>
      <c r="AI54" s="11"/>
      <c r="AJ54" s="8" t="s">
        <v>1571</v>
      </c>
    </row>
    <row r="55" spans="1:36" ht="72" customHeight="1">
      <c r="A55" s="8" t="s">
        <v>1572</v>
      </c>
      <c r="B55" s="8" t="s">
        <v>598</v>
      </c>
      <c r="C55" s="8" t="s">
        <v>396</v>
      </c>
      <c r="D55" s="8" t="s">
        <v>1139</v>
      </c>
      <c r="E55" s="8" t="s">
        <v>133</v>
      </c>
      <c r="F55" s="8" t="s">
        <v>85</v>
      </c>
      <c r="G55" s="8" t="s">
        <v>1330</v>
      </c>
      <c r="H55" s="8" t="s">
        <v>163</v>
      </c>
      <c r="I55" s="8" t="s">
        <v>1141</v>
      </c>
      <c r="J55" s="8" t="s">
        <v>1141</v>
      </c>
      <c r="K55" s="8" t="s">
        <v>1141</v>
      </c>
      <c r="L55" s="8" t="s">
        <v>1141</v>
      </c>
      <c r="M55" s="8" t="s">
        <v>421</v>
      </c>
      <c r="N55" s="8"/>
      <c r="O55" s="8">
        <v>3</v>
      </c>
      <c r="P55" s="8" t="s">
        <v>193</v>
      </c>
      <c r="Q55" s="8" t="s">
        <v>228</v>
      </c>
      <c r="R55" s="8" t="s">
        <v>236</v>
      </c>
      <c r="S55" s="8" t="s">
        <v>1573</v>
      </c>
      <c r="T55" s="8" t="s">
        <v>1574</v>
      </c>
      <c r="U55" s="8" t="s">
        <v>1575</v>
      </c>
      <c r="V55" s="8" t="s">
        <v>1576</v>
      </c>
      <c r="W55" s="8" t="s">
        <v>274</v>
      </c>
      <c r="X55" s="8" t="s">
        <v>300</v>
      </c>
      <c r="Y55" s="8" t="s">
        <v>1577</v>
      </c>
      <c r="Z55" s="8"/>
      <c r="AA55" s="8"/>
      <c r="AB55" s="8"/>
      <c r="AC55" s="8" t="s">
        <v>1578</v>
      </c>
      <c r="AD55" s="8" t="s">
        <v>1579</v>
      </c>
      <c r="AE55" s="8" t="s">
        <v>386</v>
      </c>
      <c r="AF55" s="8" t="s">
        <v>1580</v>
      </c>
      <c r="AG55" s="8" t="s">
        <v>1581</v>
      </c>
      <c r="AH55" s="11" t="s">
        <v>1146</v>
      </c>
      <c r="AI55" s="11"/>
      <c r="AJ55" s="8" t="s">
        <v>1582</v>
      </c>
    </row>
    <row r="56" spans="1:36" ht="72" customHeight="1">
      <c r="A56" s="8" t="s">
        <v>1583</v>
      </c>
      <c r="B56" s="8" t="s">
        <v>601</v>
      </c>
      <c r="C56" s="8" t="s">
        <v>396</v>
      </c>
      <c r="D56" s="8" t="s">
        <v>1139</v>
      </c>
      <c r="E56" s="8" t="s">
        <v>118</v>
      </c>
      <c r="F56" s="8" t="s">
        <v>65</v>
      </c>
      <c r="G56" s="8" t="s">
        <v>1230</v>
      </c>
      <c r="H56" s="8" t="s">
        <v>150</v>
      </c>
      <c r="I56" s="8" t="s">
        <v>1141</v>
      </c>
      <c r="J56" s="8" t="s">
        <v>1141</v>
      </c>
      <c r="K56" s="8" t="s">
        <v>1141</v>
      </c>
      <c r="L56" s="8" t="s">
        <v>1141</v>
      </c>
      <c r="M56" s="8" t="s">
        <v>421</v>
      </c>
      <c r="N56" s="8"/>
      <c r="O56" s="8">
        <v>3</v>
      </c>
      <c r="P56" s="8" t="s">
        <v>202</v>
      </c>
      <c r="Q56" s="8" t="s">
        <v>228</v>
      </c>
      <c r="R56" s="8" t="s">
        <v>236</v>
      </c>
      <c r="S56" s="8" t="s">
        <v>1584</v>
      </c>
      <c r="T56" s="8" t="s">
        <v>1585</v>
      </c>
      <c r="U56" s="8" t="s">
        <v>1586</v>
      </c>
      <c r="V56" s="8" t="s">
        <v>1587</v>
      </c>
      <c r="W56" s="8" t="s">
        <v>274</v>
      </c>
      <c r="X56" s="8" t="s">
        <v>300</v>
      </c>
      <c r="Y56" s="8" t="s">
        <v>1588</v>
      </c>
      <c r="Z56" s="8"/>
      <c r="AA56" s="8"/>
      <c r="AB56" s="8"/>
      <c r="AC56" s="8" t="s">
        <v>1589</v>
      </c>
      <c r="AD56" s="8" t="s">
        <v>1590</v>
      </c>
      <c r="AE56" s="8" t="s">
        <v>362</v>
      </c>
      <c r="AF56" s="8" t="s">
        <v>1591</v>
      </c>
      <c r="AG56" s="8" t="s">
        <v>1592</v>
      </c>
      <c r="AH56" s="11" t="s">
        <v>1146</v>
      </c>
      <c r="AI56" s="11"/>
      <c r="AJ56" s="8" t="s">
        <v>1593</v>
      </c>
    </row>
    <row r="57" spans="1:36" ht="60" customHeight="1">
      <c r="A57" s="8" t="s">
        <v>1594</v>
      </c>
      <c r="B57" s="8" t="s">
        <v>604</v>
      </c>
      <c r="C57" s="8" t="s">
        <v>396</v>
      </c>
      <c r="D57" s="8" t="s">
        <v>1139</v>
      </c>
      <c r="E57" s="8" t="s">
        <v>106</v>
      </c>
      <c r="F57" s="8" t="s">
        <v>85</v>
      </c>
      <c r="G57" s="8" t="s">
        <v>1330</v>
      </c>
      <c r="H57" s="8" t="s">
        <v>163</v>
      </c>
      <c r="I57" s="8" t="s">
        <v>1141</v>
      </c>
      <c r="J57" s="8" t="s">
        <v>1141</v>
      </c>
      <c r="K57" s="8" t="s">
        <v>1141</v>
      </c>
      <c r="L57" s="8" t="s">
        <v>1141</v>
      </c>
      <c r="M57" s="8" t="s">
        <v>421</v>
      </c>
      <c r="N57" s="8"/>
      <c r="O57" s="8">
        <v>3</v>
      </c>
      <c r="P57" s="8" t="s">
        <v>193</v>
      </c>
      <c r="Q57" s="8" t="s">
        <v>228</v>
      </c>
      <c r="R57" s="8" t="s">
        <v>236</v>
      </c>
      <c r="S57" s="8" t="s">
        <v>1595</v>
      </c>
      <c r="T57" s="8" t="s">
        <v>1596</v>
      </c>
      <c r="U57" s="8" t="s">
        <v>1597</v>
      </c>
      <c r="V57" s="8" t="s">
        <v>1598</v>
      </c>
      <c r="W57" s="8" t="s">
        <v>268</v>
      </c>
      <c r="X57" s="8" t="s">
        <v>300</v>
      </c>
      <c r="Y57" s="8" t="s">
        <v>1599</v>
      </c>
      <c r="Z57" s="8"/>
      <c r="AA57" s="8"/>
      <c r="AB57" s="8"/>
      <c r="AC57" s="8" t="s">
        <v>1600</v>
      </c>
      <c r="AD57" s="8" t="s">
        <v>1601</v>
      </c>
      <c r="AE57" s="8" t="s">
        <v>386</v>
      </c>
      <c r="AF57" s="8" t="s">
        <v>1602</v>
      </c>
      <c r="AG57" s="8" t="s">
        <v>1603</v>
      </c>
      <c r="AH57" s="11" t="s">
        <v>1146</v>
      </c>
      <c r="AI57" s="11"/>
      <c r="AJ57" s="8" t="s">
        <v>1604</v>
      </c>
    </row>
    <row r="58" spans="1:36" ht="60" customHeight="1">
      <c r="A58" s="8" t="s">
        <v>1605</v>
      </c>
      <c r="B58" s="8" t="s">
        <v>608</v>
      </c>
      <c r="C58" s="8" t="s">
        <v>396</v>
      </c>
      <c r="D58" s="8" t="s">
        <v>1139</v>
      </c>
      <c r="E58" s="8" t="s">
        <v>133</v>
      </c>
      <c r="F58" s="8" t="s">
        <v>90</v>
      </c>
      <c r="G58" s="8" t="s">
        <v>1161</v>
      </c>
      <c r="H58" s="8" t="s">
        <v>182</v>
      </c>
      <c r="I58" s="8" t="s">
        <v>1141</v>
      </c>
      <c r="J58" s="8" t="s">
        <v>1141</v>
      </c>
      <c r="K58" s="8" t="s">
        <v>1141</v>
      </c>
      <c r="L58" s="8" t="s">
        <v>1141</v>
      </c>
      <c r="M58" s="8" t="s">
        <v>421</v>
      </c>
      <c r="N58" s="8"/>
      <c r="O58" s="8">
        <v>1</v>
      </c>
      <c r="P58" s="8" t="s">
        <v>205</v>
      </c>
      <c r="Q58" s="8" t="s">
        <v>228</v>
      </c>
      <c r="R58" s="8" t="s">
        <v>236</v>
      </c>
      <c r="S58" s="8" t="s">
        <v>1606</v>
      </c>
      <c r="T58" s="8" t="s">
        <v>1607</v>
      </c>
      <c r="U58" s="8" t="s">
        <v>1608</v>
      </c>
      <c r="V58" s="8"/>
      <c r="W58" s="8"/>
      <c r="X58" s="8"/>
      <c r="Y58" s="8"/>
      <c r="Z58" s="8"/>
      <c r="AA58" s="8"/>
      <c r="AB58" s="8"/>
      <c r="AC58" s="8" t="s">
        <v>1609</v>
      </c>
      <c r="AD58" s="8" t="s">
        <v>1610</v>
      </c>
      <c r="AE58" s="8" t="s">
        <v>362</v>
      </c>
      <c r="AF58" s="8" t="s">
        <v>1611</v>
      </c>
      <c r="AG58" s="8"/>
      <c r="AH58" s="11" t="s">
        <v>1146</v>
      </c>
      <c r="AI58" s="11"/>
      <c r="AJ58" s="8" t="s">
        <v>1612</v>
      </c>
    </row>
    <row r="59" spans="1:36" ht="118.5" customHeight="1">
      <c r="A59" s="8" t="s">
        <v>1613</v>
      </c>
      <c r="B59" s="8" t="s">
        <v>612</v>
      </c>
      <c r="C59" s="8" t="s">
        <v>396</v>
      </c>
      <c r="D59" s="8" t="s">
        <v>1139</v>
      </c>
      <c r="E59" s="8" t="s">
        <v>115</v>
      </c>
      <c r="F59" s="8" t="s">
        <v>65</v>
      </c>
      <c r="G59" s="8" t="s">
        <v>1149</v>
      </c>
      <c r="H59" s="8" t="s">
        <v>182</v>
      </c>
      <c r="I59" s="8" t="s">
        <v>1141</v>
      </c>
      <c r="J59" s="8" t="s">
        <v>1141</v>
      </c>
      <c r="K59" s="8" t="s">
        <v>1141</v>
      </c>
      <c r="L59" s="8" t="s">
        <v>1141</v>
      </c>
      <c r="M59" s="8" t="s">
        <v>421</v>
      </c>
      <c r="N59" s="8"/>
      <c r="O59" s="8">
        <v>3</v>
      </c>
      <c r="P59" s="8" t="s">
        <v>193</v>
      </c>
      <c r="Q59" s="8" t="s">
        <v>228</v>
      </c>
      <c r="R59" s="8" t="s">
        <v>239</v>
      </c>
      <c r="S59" s="8" t="s">
        <v>1614</v>
      </c>
      <c r="T59" s="8" t="s">
        <v>1615</v>
      </c>
      <c r="U59" s="8"/>
      <c r="V59" s="8" t="s">
        <v>1616</v>
      </c>
      <c r="W59" s="8" t="s">
        <v>268</v>
      </c>
      <c r="X59" s="8" t="s">
        <v>300</v>
      </c>
      <c r="Y59" s="8" t="s">
        <v>1617</v>
      </c>
      <c r="Z59" s="8"/>
      <c r="AA59" s="8"/>
      <c r="AB59" s="8"/>
      <c r="AC59" s="8" t="s">
        <v>1618</v>
      </c>
      <c r="AD59" s="8" t="s">
        <v>1336</v>
      </c>
      <c r="AE59" s="8" t="s">
        <v>362</v>
      </c>
      <c r="AF59" s="8" t="s">
        <v>1297</v>
      </c>
      <c r="AG59" s="8" t="s">
        <v>1619</v>
      </c>
      <c r="AH59" s="11" t="s">
        <v>1146</v>
      </c>
      <c r="AI59" s="11"/>
      <c r="AJ59" s="8" t="s">
        <v>1620</v>
      </c>
    </row>
    <row r="60" spans="1:36" ht="84" customHeight="1">
      <c r="A60" s="8" t="s">
        <v>1621</v>
      </c>
      <c r="B60" s="8" t="s">
        <v>615</v>
      </c>
      <c r="C60" s="8" t="s">
        <v>396</v>
      </c>
      <c r="D60" s="8" t="s">
        <v>1139</v>
      </c>
      <c r="E60" s="8" t="s">
        <v>133</v>
      </c>
      <c r="F60" s="8" t="s">
        <v>90</v>
      </c>
      <c r="G60" s="8" t="s">
        <v>1161</v>
      </c>
      <c r="H60" s="8" t="s">
        <v>182</v>
      </c>
      <c r="I60" s="8" t="s">
        <v>1141</v>
      </c>
      <c r="J60" s="8" t="s">
        <v>1141</v>
      </c>
      <c r="K60" s="8" t="s">
        <v>1141</v>
      </c>
      <c r="L60" s="8" t="s">
        <v>1141</v>
      </c>
      <c r="M60" s="8" t="s">
        <v>421</v>
      </c>
      <c r="N60" s="8"/>
      <c r="O60" s="8">
        <v>1</v>
      </c>
      <c r="P60" s="8" t="s">
        <v>205</v>
      </c>
      <c r="Q60" s="8" t="s">
        <v>228</v>
      </c>
      <c r="R60" s="8" t="s">
        <v>236</v>
      </c>
      <c r="S60" s="8" t="s">
        <v>1622</v>
      </c>
      <c r="T60" s="8" t="s">
        <v>1623</v>
      </c>
      <c r="U60" s="8" t="s">
        <v>1624</v>
      </c>
      <c r="V60" s="8"/>
      <c r="W60" s="8"/>
      <c r="X60" s="8"/>
      <c r="Y60" s="8"/>
      <c r="Z60" s="8"/>
      <c r="AA60" s="8"/>
      <c r="AB60" s="8"/>
      <c r="AC60" s="8" t="s">
        <v>1625</v>
      </c>
      <c r="AD60" s="8" t="s">
        <v>1626</v>
      </c>
      <c r="AE60" s="8" t="s">
        <v>362</v>
      </c>
      <c r="AF60" s="8" t="s">
        <v>1627</v>
      </c>
      <c r="AG60" s="8"/>
      <c r="AH60" s="11" t="s">
        <v>1146</v>
      </c>
      <c r="AI60" s="11"/>
      <c r="AJ60" s="8" t="s">
        <v>1628</v>
      </c>
    </row>
    <row r="61" spans="1:36" ht="60" customHeight="1">
      <c r="A61" s="8" t="s">
        <v>1629</v>
      </c>
      <c r="B61" s="8" t="s">
        <v>619</v>
      </c>
      <c r="C61" s="8" t="s">
        <v>396</v>
      </c>
      <c r="D61" s="8" t="s">
        <v>1139</v>
      </c>
      <c r="E61" s="8" t="s">
        <v>127</v>
      </c>
      <c r="F61" s="8" t="s">
        <v>65</v>
      </c>
      <c r="G61" s="8" t="s">
        <v>1230</v>
      </c>
      <c r="H61" s="8" t="s">
        <v>150</v>
      </c>
      <c r="I61" s="8" t="s">
        <v>1141</v>
      </c>
      <c r="J61" s="8" t="s">
        <v>1141</v>
      </c>
      <c r="K61" s="8" t="s">
        <v>1141</v>
      </c>
      <c r="L61" s="8" t="s">
        <v>1141</v>
      </c>
      <c r="M61" s="8" t="s">
        <v>421</v>
      </c>
      <c r="N61" s="8"/>
      <c r="O61" s="8">
        <v>3</v>
      </c>
      <c r="P61" s="8" t="s">
        <v>202</v>
      </c>
      <c r="Q61" s="8" t="s">
        <v>228</v>
      </c>
      <c r="R61" s="8" t="s">
        <v>236</v>
      </c>
      <c r="S61" s="8" t="s">
        <v>1630</v>
      </c>
      <c r="T61" s="8" t="s">
        <v>1631</v>
      </c>
      <c r="U61" s="8" t="s">
        <v>1632</v>
      </c>
      <c r="V61" s="8" t="s">
        <v>1633</v>
      </c>
      <c r="W61" s="8" t="s">
        <v>253</v>
      </c>
      <c r="X61" s="8" t="s">
        <v>288</v>
      </c>
      <c r="Y61" s="8" t="s">
        <v>1634</v>
      </c>
      <c r="Z61" s="8" t="s">
        <v>1635</v>
      </c>
      <c r="AA61" s="8" t="s">
        <v>327</v>
      </c>
      <c r="AB61" s="8" t="s">
        <v>347</v>
      </c>
      <c r="AC61" s="8" t="s">
        <v>1636</v>
      </c>
      <c r="AD61" s="8" t="s">
        <v>1637</v>
      </c>
      <c r="AE61" s="8" t="s">
        <v>362</v>
      </c>
      <c r="AF61" s="8" t="s">
        <v>1638</v>
      </c>
      <c r="AG61" s="8" t="s">
        <v>1639</v>
      </c>
      <c r="AH61" s="11" t="s">
        <v>1146</v>
      </c>
      <c r="AI61" s="11"/>
      <c r="AJ61" s="8" t="s">
        <v>1640</v>
      </c>
    </row>
    <row r="62" spans="1:36" ht="60" customHeight="1">
      <c r="A62" s="8" t="s">
        <v>1641</v>
      </c>
      <c r="B62" s="8" t="s">
        <v>622</v>
      </c>
      <c r="C62" s="8" t="s">
        <v>396</v>
      </c>
      <c r="D62" s="8" t="s">
        <v>1139</v>
      </c>
      <c r="E62" s="8" t="s">
        <v>99</v>
      </c>
      <c r="F62" s="8" t="s">
        <v>65</v>
      </c>
      <c r="G62" s="8" t="s">
        <v>1642</v>
      </c>
      <c r="H62" s="8" t="s">
        <v>150</v>
      </c>
      <c r="I62" s="8" t="s">
        <v>1141</v>
      </c>
      <c r="J62" s="8" t="s">
        <v>1141</v>
      </c>
      <c r="K62" s="8" t="s">
        <v>1141</v>
      </c>
      <c r="L62" s="8" t="s">
        <v>1141</v>
      </c>
      <c r="M62" s="8" t="s">
        <v>421</v>
      </c>
      <c r="N62" s="8"/>
      <c r="O62" s="8">
        <v>3</v>
      </c>
      <c r="P62" s="8" t="s">
        <v>202</v>
      </c>
      <c r="Q62" s="8" t="s">
        <v>228</v>
      </c>
      <c r="R62" s="8" t="s">
        <v>236</v>
      </c>
      <c r="S62" s="8" t="s">
        <v>1643</v>
      </c>
      <c r="T62" s="8" t="s">
        <v>1644</v>
      </c>
      <c r="U62" s="8" t="s">
        <v>1392</v>
      </c>
      <c r="V62" s="8" t="s">
        <v>1645</v>
      </c>
      <c r="W62" s="8" t="s">
        <v>250</v>
      </c>
      <c r="X62" s="8" t="s">
        <v>282</v>
      </c>
      <c r="Y62" s="8" t="s">
        <v>1646</v>
      </c>
      <c r="Z62" s="8" t="s">
        <v>1647</v>
      </c>
      <c r="AA62" s="8" t="s">
        <v>333</v>
      </c>
      <c r="AB62" s="8" t="s">
        <v>347</v>
      </c>
      <c r="AC62" s="8" t="s">
        <v>1648</v>
      </c>
      <c r="AD62" s="8" t="s">
        <v>1649</v>
      </c>
      <c r="AE62" s="8" t="s">
        <v>362</v>
      </c>
      <c r="AF62" s="8" t="s">
        <v>1650</v>
      </c>
      <c r="AG62" s="8" t="s">
        <v>1651</v>
      </c>
      <c r="AH62" s="11" t="s">
        <v>1146</v>
      </c>
      <c r="AI62" s="11"/>
      <c r="AJ62" s="8" t="s">
        <v>1652</v>
      </c>
    </row>
    <row r="63" spans="1:36" ht="72" customHeight="1">
      <c r="A63" s="8" t="s">
        <v>1653</v>
      </c>
      <c r="B63" s="8" t="s">
        <v>626</v>
      </c>
      <c r="C63" s="8" t="s">
        <v>396</v>
      </c>
      <c r="D63" s="8" t="s">
        <v>1139</v>
      </c>
      <c r="E63" s="8" t="s">
        <v>112</v>
      </c>
      <c r="F63" s="8" t="s">
        <v>85</v>
      </c>
      <c r="G63" s="8" t="s">
        <v>1230</v>
      </c>
      <c r="H63" s="8" t="s">
        <v>150</v>
      </c>
      <c r="I63" s="8" t="s">
        <v>1141</v>
      </c>
      <c r="J63" s="8" t="s">
        <v>1141</v>
      </c>
      <c r="K63" s="8" t="s">
        <v>1141</v>
      </c>
      <c r="L63" s="8" t="s">
        <v>1141</v>
      </c>
      <c r="M63" s="8" t="s">
        <v>421</v>
      </c>
      <c r="N63" s="8"/>
      <c r="O63" s="8">
        <v>1</v>
      </c>
      <c r="P63" s="8" t="s">
        <v>205</v>
      </c>
      <c r="Q63" s="8" t="s">
        <v>228</v>
      </c>
      <c r="R63" s="8" t="s">
        <v>236</v>
      </c>
      <c r="S63" s="8" t="s">
        <v>1654</v>
      </c>
      <c r="T63" s="8" t="s">
        <v>1655</v>
      </c>
      <c r="U63" s="8" t="s">
        <v>1656</v>
      </c>
      <c r="V63" s="8" t="s">
        <v>1657</v>
      </c>
      <c r="W63" s="8" t="s">
        <v>250</v>
      </c>
      <c r="X63" s="8" t="s">
        <v>282</v>
      </c>
      <c r="Y63" s="8" t="s">
        <v>1658</v>
      </c>
      <c r="Z63" s="8"/>
      <c r="AA63" s="8"/>
      <c r="AB63" s="8"/>
      <c r="AC63" s="8" t="s">
        <v>1659</v>
      </c>
      <c r="AD63" s="8" t="s">
        <v>381</v>
      </c>
      <c r="AE63" s="8" t="s">
        <v>380</v>
      </c>
      <c r="AF63" s="8" t="s">
        <v>1660</v>
      </c>
      <c r="AG63" s="8" t="s">
        <v>1661</v>
      </c>
      <c r="AH63" s="11" t="s">
        <v>1146</v>
      </c>
      <c r="AI63" s="11"/>
      <c r="AJ63" s="8" t="s">
        <v>1662</v>
      </c>
    </row>
    <row r="64" spans="1:36" ht="84" customHeight="1">
      <c r="A64" s="8" t="s">
        <v>1663</v>
      </c>
      <c r="B64" s="8" t="s">
        <v>630</v>
      </c>
      <c r="C64" s="8" t="s">
        <v>396</v>
      </c>
      <c r="D64" s="8" t="s">
        <v>1139</v>
      </c>
      <c r="E64" s="8" t="s">
        <v>99</v>
      </c>
      <c r="F64" s="8" t="s">
        <v>90</v>
      </c>
      <c r="G64" s="8" t="s">
        <v>1161</v>
      </c>
      <c r="H64" s="8" t="s">
        <v>182</v>
      </c>
      <c r="I64" s="8" t="s">
        <v>1141</v>
      </c>
      <c r="J64" s="8" t="s">
        <v>1141</v>
      </c>
      <c r="K64" s="8" t="s">
        <v>1141</v>
      </c>
      <c r="L64" s="8" t="s">
        <v>1141</v>
      </c>
      <c r="M64" s="8" t="s">
        <v>421</v>
      </c>
      <c r="N64" s="8"/>
      <c r="O64" s="8">
        <v>1</v>
      </c>
      <c r="P64" s="8" t="s">
        <v>205</v>
      </c>
      <c r="Q64" s="8" t="s">
        <v>228</v>
      </c>
      <c r="R64" s="8" t="s">
        <v>236</v>
      </c>
      <c r="S64" s="8" t="s">
        <v>1664</v>
      </c>
      <c r="T64" s="8" t="s">
        <v>1665</v>
      </c>
      <c r="U64" s="8" t="s">
        <v>1666</v>
      </c>
      <c r="V64" s="8"/>
      <c r="W64" s="8"/>
      <c r="X64" s="8"/>
      <c r="Y64" s="8"/>
      <c r="Z64" s="8"/>
      <c r="AA64" s="8"/>
      <c r="AB64" s="8"/>
      <c r="AC64" s="8" t="s">
        <v>1667</v>
      </c>
      <c r="AD64" s="8" t="s">
        <v>1668</v>
      </c>
      <c r="AE64" s="8" t="s">
        <v>362</v>
      </c>
      <c r="AF64" s="8" t="s">
        <v>1669</v>
      </c>
      <c r="AG64" s="8"/>
      <c r="AH64" s="11" t="s">
        <v>1146</v>
      </c>
      <c r="AI64" s="11"/>
      <c r="AJ64" s="8" t="s">
        <v>1670</v>
      </c>
    </row>
    <row r="65" spans="1:36" ht="60" customHeight="1">
      <c r="A65" s="8" t="s">
        <v>1671</v>
      </c>
      <c r="B65" s="8" t="s">
        <v>634</v>
      </c>
      <c r="C65" s="8" t="s">
        <v>396</v>
      </c>
      <c r="D65" s="8" t="s">
        <v>1139</v>
      </c>
      <c r="E65" s="8" t="s">
        <v>112</v>
      </c>
      <c r="F65" s="8" t="s">
        <v>65</v>
      </c>
      <c r="G65" s="8" t="s">
        <v>1161</v>
      </c>
      <c r="H65" s="8" t="s">
        <v>182</v>
      </c>
      <c r="I65" s="8" t="s">
        <v>1141</v>
      </c>
      <c r="J65" s="8" t="s">
        <v>1141</v>
      </c>
      <c r="K65" s="8" t="s">
        <v>1141</v>
      </c>
      <c r="L65" s="8" t="s">
        <v>1141</v>
      </c>
      <c r="M65" s="8" t="s">
        <v>421</v>
      </c>
      <c r="N65" s="8"/>
      <c r="O65" s="8">
        <v>1</v>
      </c>
      <c r="P65" s="8" t="s">
        <v>205</v>
      </c>
      <c r="Q65" s="8" t="s">
        <v>228</v>
      </c>
      <c r="R65" s="8" t="s">
        <v>236</v>
      </c>
      <c r="S65" s="8" t="s">
        <v>1672</v>
      </c>
      <c r="T65" s="8" t="s">
        <v>1673</v>
      </c>
      <c r="U65" s="8" t="s">
        <v>1674</v>
      </c>
      <c r="V65" s="8"/>
      <c r="W65" s="8"/>
      <c r="X65" s="8"/>
      <c r="Y65" s="8"/>
      <c r="Z65" s="8"/>
      <c r="AA65" s="8"/>
      <c r="AB65" s="8"/>
      <c r="AC65" s="8" t="s">
        <v>1675</v>
      </c>
      <c r="AD65" s="8" t="s">
        <v>1676</v>
      </c>
      <c r="AE65" s="8" t="s">
        <v>362</v>
      </c>
      <c r="AF65" s="8" t="s">
        <v>1677</v>
      </c>
      <c r="AG65" s="8"/>
      <c r="AH65" s="11" t="s">
        <v>1146</v>
      </c>
      <c r="AI65" s="11"/>
      <c r="AJ65" s="8" t="s">
        <v>1678</v>
      </c>
    </row>
    <row r="66" spans="1:36" ht="60" customHeight="1">
      <c r="A66" s="8" t="s">
        <v>1679</v>
      </c>
      <c r="B66" s="8" t="s">
        <v>638</v>
      </c>
      <c r="C66" s="8" t="s">
        <v>396</v>
      </c>
      <c r="D66" s="8" t="s">
        <v>1139</v>
      </c>
      <c r="E66" s="8" t="s">
        <v>106</v>
      </c>
      <c r="F66" s="8" t="s">
        <v>70</v>
      </c>
      <c r="G66" s="8" t="s">
        <v>1161</v>
      </c>
      <c r="H66" s="8" t="s">
        <v>182</v>
      </c>
      <c r="I66" s="8" t="s">
        <v>1141</v>
      </c>
      <c r="J66" s="8" t="s">
        <v>1141</v>
      </c>
      <c r="K66" s="8" t="s">
        <v>1141</v>
      </c>
      <c r="L66" s="8" t="s">
        <v>1141</v>
      </c>
      <c r="M66" s="8" t="s">
        <v>421</v>
      </c>
      <c r="N66" s="8"/>
      <c r="O66" s="8">
        <v>1</v>
      </c>
      <c r="P66" s="8" t="s">
        <v>205</v>
      </c>
      <c r="Q66" s="8" t="s">
        <v>228</v>
      </c>
      <c r="R66" s="8" t="s">
        <v>236</v>
      </c>
      <c r="S66" s="8" t="s">
        <v>1680</v>
      </c>
      <c r="T66" s="8" t="s">
        <v>1681</v>
      </c>
      <c r="U66" s="8" t="s">
        <v>1682</v>
      </c>
      <c r="V66" s="8"/>
      <c r="W66" s="8"/>
      <c r="X66" s="8"/>
      <c r="Y66" s="8"/>
      <c r="Z66" s="8"/>
      <c r="AA66" s="8"/>
      <c r="AB66" s="8"/>
      <c r="AC66" s="8" t="s">
        <v>1683</v>
      </c>
      <c r="AD66" s="8" t="s">
        <v>1684</v>
      </c>
      <c r="AE66" s="8" t="s">
        <v>374</v>
      </c>
      <c r="AF66" s="8" t="s">
        <v>1685</v>
      </c>
      <c r="AG66" s="8"/>
      <c r="AH66" s="11" t="s">
        <v>1146</v>
      </c>
      <c r="AI66" s="11"/>
      <c r="AJ66" s="8" t="s">
        <v>1686</v>
      </c>
    </row>
    <row r="67" spans="1:36" ht="60" customHeight="1">
      <c r="A67" s="8" t="s">
        <v>1687</v>
      </c>
      <c r="B67" s="8" t="s">
        <v>642</v>
      </c>
      <c r="C67" s="8" t="s">
        <v>396</v>
      </c>
      <c r="D67" s="8" t="s">
        <v>1139</v>
      </c>
      <c r="E67" s="8" t="s">
        <v>106</v>
      </c>
      <c r="F67" s="8" t="s">
        <v>70</v>
      </c>
      <c r="G67" s="8" t="s">
        <v>1140</v>
      </c>
      <c r="H67" s="8" t="s">
        <v>163</v>
      </c>
      <c r="I67" s="8" t="s">
        <v>1141</v>
      </c>
      <c r="J67" s="8" t="s">
        <v>1141</v>
      </c>
      <c r="K67" s="8" t="s">
        <v>1141</v>
      </c>
      <c r="L67" s="8" t="s">
        <v>1141</v>
      </c>
      <c r="M67" s="8" t="s">
        <v>421</v>
      </c>
      <c r="N67" s="8"/>
      <c r="O67" s="8">
        <v>1</v>
      </c>
      <c r="P67" s="8" t="s">
        <v>205</v>
      </c>
      <c r="Q67" s="8" t="s">
        <v>228</v>
      </c>
      <c r="R67" s="8" t="s">
        <v>236</v>
      </c>
      <c r="S67" s="8" t="s">
        <v>1688</v>
      </c>
      <c r="T67" s="8" t="s">
        <v>1689</v>
      </c>
      <c r="U67" s="8" t="s">
        <v>1690</v>
      </c>
      <c r="V67" s="8"/>
      <c r="W67" s="8"/>
      <c r="X67" s="8"/>
      <c r="Y67" s="8"/>
      <c r="Z67" s="8"/>
      <c r="AA67" s="8"/>
      <c r="AB67" s="8"/>
      <c r="AC67" s="8" t="s">
        <v>1691</v>
      </c>
      <c r="AD67" s="8" t="s">
        <v>1692</v>
      </c>
      <c r="AE67" s="8" t="s">
        <v>374</v>
      </c>
      <c r="AF67" s="8" t="s">
        <v>1693</v>
      </c>
      <c r="AG67" s="8"/>
      <c r="AH67" s="11" t="s">
        <v>1146</v>
      </c>
      <c r="AI67" s="11"/>
      <c r="AJ67" s="8" t="s">
        <v>1694</v>
      </c>
    </row>
    <row r="68" spans="1:36" ht="60" customHeight="1">
      <c r="A68" s="8" t="s">
        <v>1695</v>
      </c>
      <c r="B68" s="8" t="s">
        <v>646</v>
      </c>
      <c r="C68" s="8" t="s">
        <v>396</v>
      </c>
      <c r="D68" s="8" t="s">
        <v>1139</v>
      </c>
      <c r="E68" s="8" t="s">
        <v>127</v>
      </c>
      <c r="F68" s="8" t="s">
        <v>65</v>
      </c>
      <c r="G68" s="8" t="s">
        <v>1149</v>
      </c>
      <c r="H68" s="8" t="s">
        <v>182</v>
      </c>
      <c r="I68" s="8" t="s">
        <v>1141</v>
      </c>
      <c r="J68" s="8" t="s">
        <v>1141</v>
      </c>
      <c r="K68" s="8" t="s">
        <v>1141</v>
      </c>
      <c r="L68" s="8" t="s">
        <v>1141</v>
      </c>
      <c r="M68" s="8" t="s">
        <v>421</v>
      </c>
      <c r="N68" s="8"/>
      <c r="O68" s="8">
        <v>3</v>
      </c>
      <c r="P68" s="8" t="s">
        <v>202</v>
      </c>
      <c r="Q68" s="8" t="s">
        <v>228</v>
      </c>
      <c r="R68" s="8" t="s">
        <v>236</v>
      </c>
      <c r="S68" s="8" t="s">
        <v>1696</v>
      </c>
      <c r="T68" s="8" t="s">
        <v>1697</v>
      </c>
      <c r="U68" s="8" t="s">
        <v>1698</v>
      </c>
      <c r="V68" s="8" t="s">
        <v>1699</v>
      </c>
      <c r="W68" s="8" t="s">
        <v>253</v>
      </c>
      <c r="X68" s="8" t="s">
        <v>294</v>
      </c>
      <c r="Y68" s="8" t="s">
        <v>1700</v>
      </c>
      <c r="Z68" s="8" t="s">
        <v>1701</v>
      </c>
      <c r="AA68" s="8" t="s">
        <v>327</v>
      </c>
      <c r="AB68" s="8" t="s">
        <v>347</v>
      </c>
      <c r="AC68" s="8" t="s">
        <v>1702</v>
      </c>
      <c r="AD68" s="8" t="s">
        <v>1703</v>
      </c>
      <c r="AE68" s="8" t="s">
        <v>362</v>
      </c>
      <c r="AF68" s="8" t="s">
        <v>1704</v>
      </c>
      <c r="AG68" s="8" t="s">
        <v>1705</v>
      </c>
      <c r="AH68" s="11" t="s">
        <v>1146</v>
      </c>
      <c r="AI68" s="11"/>
      <c r="AJ68" s="8" t="s">
        <v>1706</v>
      </c>
    </row>
    <row r="69" spans="1:36" ht="60" customHeight="1">
      <c r="A69" s="8" t="s">
        <v>1707</v>
      </c>
      <c r="B69" s="8" t="s">
        <v>649</v>
      </c>
      <c r="C69" s="8" t="s">
        <v>396</v>
      </c>
      <c r="D69" s="8" t="s">
        <v>1139</v>
      </c>
      <c r="E69" s="8" t="s">
        <v>115</v>
      </c>
      <c r="F69" s="8" t="s">
        <v>75</v>
      </c>
      <c r="G69" s="8" t="s">
        <v>1213</v>
      </c>
      <c r="H69" s="8" t="s">
        <v>182</v>
      </c>
      <c r="I69" s="8" t="s">
        <v>1141</v>
      </c>
      <c r="J69" s="8" t="s">
        <v>1141</v>
      </c>
      <c r="K69" s="8" t="s">
        <v>1141</v>
      </c>
      <c r="L69" s="8" t="s">
        <v>1141</v>
      </c>
      <c r="M69" s="8" t="s">
        <v>421</v>
      </c>
      <c r="N69" s="8"/>
      <c r="O69" s="8">
        <v>1</v>
      </c>
      <c r="P69" s="8" t="s">
        <v>205</v>
      </c>
      <c r="Q69" s="8" t="s">
        <v>228</v>
      </c>
      <c r="R69" s="8" t="s">
        <v>236</v>
      </c>
      <c r="S69" s="8" t="s">
        <v>1708</v>
      </c>
      <c r="T69" s="8" t="s">
        <v>1709</v>
      </c>
      <c r="U69" s="8" t="s">
        <v>1710</v>
      </c>
      <c r="V69" s="8" t="s">
        <v>1711</v>
      </c>
      <c r="W69" s="8" t="s">
        <v>268</v>
      </c>
      <c r="X69" s="8" t="s">
        <v>300</v>
      </c>
      <c r="Y69" s="8" t="s">
        <v>1712</v>
      </c>
      <c r="Z69" s="8"/>
      <c r="AA69" s="8"/>
      <c r="AB69" s="8"/>
      <c r="AC69" s="8" t="s">
        <v>1713</v>
      </c>
      <c r="AD69" s="8" t="s">
        <v>1714</v>
      </c>
      <c r="AE69" s="8" t="s">
        <v>362</v>
      </c>
      <c r="AF69" s="8" t="s">
        <v>1715</v>
      </c>
      <c r="AG69" s="8"/>
      <c r="AH69" s="11" t="s">
        <v>1146</v>
      </c>
      <c r="AI69" s="11"/>
      <c r="AJ69" s="8" t="s">
        <v>1716</v>
      </c>
    </row>
    <row r="70" spans="1:36" ht="60" customHeight="1">
      <c r="A70" s="8" t="s">
        <v>1717</v>
      </c>
      <c r="B70" s="8" t="s">
        <v>652</v>
      </c>
      <c r="C70" s="8" t="s">
        <v>396</v>
      </c>
      <c r="D70" s="8" t="s">
        <v>1139</v>
      </c>
      <c r="E70" s="8" t="s">
        <v>106</v>
      </c>
      <c r="F70" s="8" t="s">
        <v>70</v>
      </c>
      <c r="G70" s="8" t="s">
        <v>1161</v>
      </c>
      <c r="H70" s="8" t="s">
        <v>182</v>
      </c>
      <c r="I70" s="8" t="s">
        <v>1141</v>
      </c>
      <c r="J70" s="8" t="s">
        <v>1141</v>
      </c>
      <c r="K70" s="8" t="s">
        <v>1141</v>
      </c>
      <c r="L70" s="8" t="s">
        <v>1141</v>
      </c>
      <c r="M70" s="8" t="s">
        <v>421</v>
      </c>
      <c r="N70" s="8"/>
      <c r="O70" s="8">
        <v>2</v>
      </c>
      <c r="P70" s="8" t="s">
        <v>199</v>
      </c>
      <c r="Q70" s="8" t="s">
        <v>225</v>
      </c>
      <c r="R70" s="8" t="s">
        <v>236</v>
      </c>
      <c r="S70" s="8" t="s">
        <v>1718</v>
      </c>
      <c r="T70" s="8" t="s">
        <v>1719</v>
      </c>
      <c r="U70" s="8" t="s">
        <v>1720</v>
      </c>
      <c r="V70" s="8" t="s">
        <v>1721</v>
      </c>
      <c r="W70" s="8" t="s">
        <v>268</v>
      </c>
      <c r="X70" s="8" t="s">
        <v>300</v>
      </c>
      <c r="Y70" s="8" t="s">
        <v>1722</v>
      </c>
      <c r="Z70" s="8" t="s">
        <v>1723</v>
      </c>
      <c r="AA70" s="8" t="s">
        <v>333</v>
      </c>
      <c r="AB70" s="8" t="s">
        <v>347</v>
      </c>
      <c r="AC70" s="8" t="s">
        <v>1724</v>
      </c>
      <c r="AD70" s="8" t="s">
        <v>1725</v>
      </c>
      <c r="AE70" s="8" t="s">
        <v>374</v>
      </c>
      <c r="AF70" s="8" t="s">
        <v>1726</v>
      </c>
      <c r="AG70" s="8" t="s">
        <v>1727</v>
      </c>
      <c r="AH70" s="11" t="s">
        <v>1146</v>
      </c>
      <c r="AI70" s="11"/>
      <c r="AJ70" s="8" t="s">
        <v>1728</v>
      </c>
    </row>
    <row r="71" spans="1:36" ht="60" customHeight="1">
      <c r="A71" s="8" t="s">
        <v>1729</v>
      </c>
      <c r="B71" s="8" t="s">
        <v>656</v>
      </c>
      <c r="C71" s="8" t="s">
        <v>396</v>
      </c>
      <c r="D71" s="8" t="s">
        <v>1139</v>
      </c>
      <c r="E71" s="8" t="s">
        <v>133</v>
      </c>
      <c r="F71" s="8" t="s">
        <v>90</v>
      </c>
      <c r="G71" s="8" t="s">
        <v>1161</v>
      </c>
      <c r="H71" s="8" t="s">
        <v>182</v>
      </c>
      <c r="I71" s="8" t="s">
        <v>1141</v>
      </c>
      <c r="J71" s="8" t="s">
        <v>1141</v>
      </c>
      <c r="K71" s="8" t="s">
        <v>1141</v>
      </c>
      <c r="L71" s="8" t="s">
        <v>1141</v>
      </c>
      <c r="M71" s="8" t="s">
        <v>421</v>
      </c>
      <c r="N71" s="8"/>
      <c r="O71" s="8">
        <v>2</v>
      </c>
      <c r="P71" s="8" t="s">
        <v>196</v>
      </c>
      <c r="Q71" s="8" t="s">
        <v>228</v>
      </c>
      <c r="R71" s="8" t="s">
        <v>236</v>
      </c>
      <c r="S71" s="8" t="s">
        <v>1730</v>
      </c>
      <c r="T71" s="8" t="s">
        <v>1731</v>
      </c>
      <c r="U71" s="8" t="s">
        <v>511</v>
      </c>
      <c r="V71" s="8" t="s">
        <v>1732</v>
      </c>
      <c r="W71" s="8" t="s">
        <v>247</v>
      </c>
      <c r="X71" s="8" t="s">
        <v>300</v>
      </c>
      <c r="Y71" s="8" t="s">
        <v>1733</v>
      </c>
      <c r="Z71" s="8"/>
      <c r="AA71" s="8"/>
      <c r="AB71" s="8"/>
      <c r="AC71" s="8" t="s">
        <v>1734</v>
      </c>
      <c r="AD71" s="8" t="s">
        <v>1735</v>
      </c>
      <c r="AE71" s="8" t="s">
        <v>383</v>
      </c>
      <c r="AF71" s="8" t="s">
        <v>1736</v>
      </c>
      <c r="AG71" s="8" t="s">
        <v>1737</v>
      </c>
      <c r="AH71" s="11" t="s">
        <v>1146</v>
      </c>
      <c r="AI71" s="11"/>
      <c r="AJ71" s="8" t="s">
        <v>1738</v>
      </c>
    </row>
    <row r="72" spans="1:36" ht="60" customHeight="1">
      <c r="A72" s="8" t="s">
        <v>1739</v>
      </c>
      <c r="B72" s="8" t="s">
        <v>660</v>
      </c>
      <c r="C72" s="8" t="s">
        <v>396</v>
      </c>
      <c r="D72" s="8" t="s">
        <v>1139</v>
      </c>
      <c r="E72" s="8" t="s">
        <v>127</v>
      </c>
      <c r="F72" s="8" t="s">
        <v>65</v>
      </c>
      <c r="G72" s="8" t="s">
        <v>1149</v>
      </c>
      <c r="H72" s="8" t="s">
        <v>182</v>
      </c>
      <c r="I72" s="8" t="s">
        <v>1141</v>
      </c>
      <c r="J72" s="8" t="s">
        <v>1141</v>
      </c>
      <c r="K72" s="8" t="s">
        <v>1141</v>
      </c>
      <c r="L72" s="8" t="s">
        <v>1141</v>
      </c>
      <c r="M72" s="8" t="s">
        <v>421</v>
      </c>
      <c r="N72" s="8"/>
      <c r="O72" s="8">
        <v>3</v>
      </c>
      <c r="P72" s="8" t="s">
        <v>202</v>
      </c>
      <c r="Q72" s="8" t="s">
        <v>228</v>
      </c>
      <c r="R72" s="8" t="s">
        <v>236</v>
      </c>
      <c r="S72" s="8" t="s">
        <v>1740</v>
      </c>
      <c r="T72" s="8" t="s">
        <v>1741</v>
      </c>
      <c r="U72" s="8" t="s">
        <v>1632</v>
      </c>
      <c r="V72" s="8" t="s">
        <v>1742</v>
      </c>
      <c r="W72" s="8" t="s">
        <v>247</v>
      </c>
      <c r="X72" s="8" t="s">
        <v>279</v>
      </c>
      <c r="Y72" s="8" t="s">
        <v>1743</v>
      </c>
      <c r="Z72" s="8" t="s">
        <v>1744</v>
      </c>
      <c r="AA72" s="8" t="s">
        <v>327</v>
      </c>
      <c r="AB72" s="8" t="s">
        <v>347</v>
      </c>
      <c r="AC72" s="8" t="s">
        <v>1745</v>
      </c>
      <c r="AD72" s="8" t="s">
        <v>1746</v>
      </c>
      <c r="AE72" s="8" t="s">
        <v>365</v>
      </c>
      <c r="AF72" s="8" t="s">
        <v>1747</v>
      </c>
      <c r="AG72" s="8" t="s">
        <v>1748</v>
      </c>
      <c r="AH72" s="11" t="s">
        <v>1146</v>
      </c>
      <c r="AI72" s="11"/>
      <c r="AJ72" s="8" t="s">
        <v>1749</v>
      </c>
    </row>
    <row r="73" spans="1:36" ht="60" customHeight="1">
      <c r="A73" s="8" t="s">
        <v>1750</v>
      </c>
      <c r="B73" s="8" t="s">
        <v>663</v>
      </c>
      <c r="C73" s="8" t="s">
        <v>396</v>
      </c>
      <c r="D73" s="8" t="s">
        <v>1139</v>
      </c>
      <c r="E73" s="8" t="s">
        <v>99</v>
      </c>
      <c r="F73" s="8" t="s">
        <v>85</v>
      </c>
      <c r="G73" s="8" t="s">
        <v>1330</v>
      </c>
      <c r="H73" s="8" t="s">
        <v>163</v>
      </c>
      <c r="I73" s="8" t="s">
        <v>1141</v>
      </c>
      <c r="J73" s="8" t="s">
        <v>1141</v>
      </c>
      <c r="K73" s="8" t="s">
        <v>1141</v>
      </c>
      <c r="L73" s="8" t="s">
        <v>1141</v>
      </c>
      <c r="M73" s="8" t="s">
        <v>421</v>
      </c>
      <c r="N73" s="8"/>
      <c r="O73" s="8">
        <v>3</v>
      </c>
      <c r="P73" s="8" t="s">
        <v>202</v>
      </c>
      <c r="Q73" s="8" t="s">
        <v>228</v>
      </c>
      <c r="R73" s="8" t="s">
        <v>236</v>
      </c>
      <c r="S73" s="8" t="s">
        <v>1751</v>
      </c>
      <c r="T73" s="8" t="s">
        <v>1752</v>
      </c>
      <c r="U73" s="8" t="s">
        <v>1753</v>
      </c>
      <c r="V73" s="8" t="s">
        <v>1754</v>
      </c>
      <c r="W73" s="8" t="s">
        <v>274</v>
      </c>
      <c r="X73" s="8" t="s">
        <v>300</v>
      </c>
      <c r="Y73" s="8" t="s">
        <v>1755</v>
      </c>
      <c r="Z73" s="8"/>
      <c r="AA73" s="8"/>
      <c r="AB73" s="8"/>
      <c r="AC73" s="8" t="s">
        <v>1756</v>
      </c>
      <c r="AD73" s="8" t="s">
        <v>1757</v>
      </c>
      <c r="AE73" s="8" t="s">
        <v>386</v>
      </c>
      <c r="AF73" s="8" t="s">
        <v>1758</v>
      </c>
      <c r="AG73" s="8" t="s">
        <v>1759</v>
      </c>
      <c r="AH73" s="11" t="s">
        <v>1146</v>
      </c>
      <c r="AI73" s="11"/>
      <c r="AJ73" s="8" t="s">
        <v>1760</v>
      </c>
    </row>
    <row r="74" spans="1:36" ht="60" customHeight="1">
      <c r="A74" s="8" t="s">
        <v>1761</v>
      </c>
      <c r="B74" s="8" t="s">
        <v>667</v>
      </c>
      <c r="C74" s="8" t="s">
        <v>396</v>
      </c>
      <c r="D74" s="8" t="s">
        <v>1139</v>
      </c>
      <c r="E74" s="8" t="s">
        <v>127</v>
      </c>
      <c r="F74" s="8" t="s">
        <v>90</v>
      </c>
      <c r="G74" s="8" t="s">
        <v>1161</v>
      </c>
      <c r="H74" s="8" t="s">
        <v>182</v>
      </c>
      <c r="I74" s="8" t="s">
        <v>1141</v>
      </c>
      <c r="J74" s="8" t="s">
        <v>1141</v>
      </c>
      <c r="K74" s="8" t="s">
        <v>1141</v>
      </c>
      <c r="L74" s="8" t="s">
        <v>1141</v>
      </c>
      <c r="M74" s="8" t="s">
        <v>421</v>
      </c>
      <c r="N74" s="8"/>
      <c r="O74" s="8">
        <v>1</v>
      </c>
      <c r="P74" s="8" t="s">
        <v>205</v>
      </c>
      <c r="Q74" s="8" t="s">
        <v>228</v>
      </c>
      <c r="R74" s="8" t="s">
        <v>236</v>
      </c>
      <c r="S74" s="8" t="s">
        <v>1762</v>
      </c>
      <c r="T74" s="8" t="s">
        <v>1763</v>
      </c>
      <c r="U74" s="8" t="s">
        <v>1764</v>
      </c>
      <c r="V74" s="8" t="s">
        <v>1765</v>
      </c>
      <c r="W74" s="8" t="s">
        <v>274</v>
      </c>
      <c r="X74" s="8" t="s">
        <v>288</v>
      </c>
      <c r="Y74" s="8" t="s">
        <v>1766</v>
      </c>
      <c r="Z74" s="8"/>
      <c r="AA74" s="8"/>
      <c r="AB74" s="8"/>
      <c r="AC74" s="8" t="s">
        <v>1767</v>
      </c>
      <c r="AD74" s="8" t="s">
        <v>384</v>
      </c>
      <c r="AE74" s="8" t="s">
        <v>383</v>
      </c>
      <c r="AF74" s="8" t="s">
        <v>1768</v>
      </c>
      <c r="AG74" s="8"/>
      <c r="AH74" s="11" t="s">
        <v>1146</v>
      </c>
      <c r="AI74" s="11"/>
      <c r="AJ74" s="8" t="s">
        <v>1769</v>
      </c>
    </row>
    <row r="75" spans="1:36" ht="60" customHeight="1">
      <c r="A75" s="8" t="s">
        <v>1770</v>
      </c>
      <c r="B75" s="8" t="s">
        <v>670</v>
      </c>
      <c r="C75" s="8" t="s">
        <v>396</v>
      </c>
      <c r="D75" s="8" t="s">
        <v>1139</v>
      </c>
      <c r="E75" s="8" t="s">
        <v>130</v>
      </c>
      <c r="F75" s="8" t="s">
        <v>65</v>
      </c>
      <c r="G75" s="8" t="s">
        <v>1642</v>
      </c>
      <c r="H75" s="8" t="s">
        <v>150</v>
      </c>
      <c r="I75" s="8" t="s">
        <v>1141</v>
      </c>
      <c r="J75" s="8" t="s">
        <v>1141</v>
      </c>
      <c r="K75" s="8" t="s">
        <v>1141</v>
      </c>
      <c r="L75" s="8" t="s">
        <v>1141</v>
      </c>
      <c r="M75" s="8" t="s">
        <v>421</v>
      </c>
      <c r="N75" s="8"/>
      <c r="O75" s="8">
        <v>2</v>
      </c>
      <c r="P75" s="8" t="s">
        <v>196</v>
      </c>
      <c r="Q75" s="8" t="s">
        <v>228</v>
      </c>
      <c r="R75" s="8" t="s">
        <v>236</v>
      </c>
      <c r="S75" s="8" t="s">
        <v>1771</v>
      </c>
      <c r="T75" s="8" t="s">
        <v>1772</v>
      </c>
      <c r="U75" s="8" t="s">
        <v>1773</v>
      </c>
      <c r="V75" s="8" t="s">
        <v>1774</v>
      </c>
      <c r="W75" s="8" t="s">
        <v>268</v>
      </c>
      <c r="X75" s="8" t="s">
        <v>291</v>
      </c>
      <c r="Y75" s="8" t="s">
        <v>1775</v>
      </c>
      <c r="Z75" s="8" t="s">
        <v>1776</v>
      </c>
      <c r="AA75" s="8" t="s">
        <v>333</v>
      </c>
      <c r="AB75" s="8" t="s">
        <v>347</v>
      </c>
      <c r="AC75" s="8" t="s">
        <v>1777</v>
      </c>
      <c r="AD75" s="8" t="s">
        <v>1778</v>
      </c>
      <c r="AE75" s="8" t="s">
        <v>362</v>
      </c>
      <c r="AF75" s="8" t="s">
        <v>1779</v>
      </c>
      <c r="AG75" s="8" t="s">
        <v>1780</v>
      </c>
      <c r="AH75" s="11" t="s">
        <v>1146</v>
      </c>
      <c r="AI75" s="11"/>
      <c r="AJ75" s="8" t="s">
        <v>1781</v>
      </c>
    </row>
    <row r="76" spans="1:36" ht="60" customHeight="1">
      <c r="A76" s="8" t="s">
        <v>1782</v>
      </c>
      <c r="B76" s="8" t="s">
        <v>674</v>
      </c>
      <c r="C76" s="8" t="s">
        <v>396</v>
      </c>
      <c r="D76" s="8" t="s">
        <v>1139</v>
      </c>
      <c r="E76" s="8" t="s">
        <v>133</v>
      </c>
      <c r="F76" s="8" t="s">
        <v>85</v>
      </c>
      <c r="G76" s="8" t="s">
        <v>1161</v>
      </c>
      <c r="H76" s="8" t="s">
        <v>182</v>
      </c>
      <c r="I76" s="8" t="s">
        <v>1141</v>
      </c>
      <c r="J76" s="8" t="s">
        <v>1141</v>
      </c>
      <c r="K76" s="8" t="s">
        <v>1141</v>
      </c>
      <c r="L76" s="8" t="s">
        <v>1141</v>
      </c>
      <c r="M76" s="8" t="s">
        <v>421</v>
      </c>
      <c r="N76" s="8"/>
      <c r="O76" s="8">
        <v>2</v>
      </c>
      <c r="P76" s="8" t="s">
        <v>205</v>
      </c>
      <c r="Q76" s="8" t="s">
        <v>228</v>
      </c>
      <c r="R76" s="8" t="s">
        <v>236</v>
      </c>
      <c r="S76" s="8" t="s">
        <v>1783</v>
      </c>
      <c r="T76" s="8" t="s">
        <v>1784</v>
      </c>
      <c r="U76" s="8" t="s">
        <v>1785</v>
      </c>
      <c r="V76" s="8" t="s">
        <v>1786</v>
      </c>
      <c r="W76" s="8" t="s">
        <v>274</v>
      </c>
      <c r="X76" s="8" t="s">
        <v>300</v>
      </c>
      <c r="Y76" s="8" t="s">
        <v>1787</v>
      </c>
      <c r="Z76" s="8" t="s">
        <v>1788</v>
      </c>
      <c r="AA76" s="8" t="s">
        <v>333</v>
      </c>
      <c r="AB76" s="8"/>
      <c r="AC76" s="8" t="s">
        <v>1789</v>
      </c>
      <c r="AD76" s="8" t="s">
        <v>1790</v>
      </c>
      <c r="AE76" s="8" t="s">
        <v>380</v>
      </c>
      <c r="AF76" s="8" t="s">
        <v>1791</v>
      </c>
      <c r="AG76" s="8"/>
      <c r="AH76" s="11" t="s">
        <v>1146</v>
      </c>
      <c r="AI76" s="11"/>
      <c r="AJ76" s="8" t="s">
        <v>1792</v>
      </c>
    </row>
    <row r="77" spans="1:36" ht="60" customHeight="1">
      <c r="A77" s="8" t="s">
        <v>1793</v>
      </c>
      <c r="B77" s="8" t="s">
        <v>678</v>
      </c>
      <c r="C77" s="8" t="s">
        <v>396</v>
      </c>
      <c r="D77" s="8" t="s">
        <v>1139</v>
      </c>
      <c r="E77" s="8" t="s">
        <v>99</v>
      </c>
      <c r="F77" s="8" t="s">
        <v>90</v>
      </c>
      <c r="G77" s="8" t="s">
        <v>1161</v>
      </c>
      <c r="H77" s="8" t="s">
        <v>182</v>
      </c>
      <c r="I77" s="8" t="s">
        <v>1141</v>
      </c>
      <c r="J77" s="8" t="s">
        <v>1141</v>
      </c>
      <c r="K77" s="8" t="s">
        <v>1141</v>
      </c>
      <c r="L77" s="8" t="s">
        <v>1141</v>
      </c>
      <c r="M77" s="8" t="s">
        <v>421</v>
      </c>
      <c r="N77" s="8"/>
      <c r="O77" s="8">
        <v>2</v>
      </c>
      <c r="P77" s="8" t="s">
        <v>196</v>
      </c>
      <c r="Q77" s="8" t="s">
        <v>225</v>
      </c>
      <c r="R77" s="8" t="s">
        <v>236</v>
      </c>
      <c r="S77" s="8" t="s">
        <v>1794</v>
      </c>
      <c r="T77" s="8" t="s">
        <v>1795</v>
      </c>
      <c r="U77" s="8" t="s">
        <v>1796</v>
      </c>
      <c r="V77" s="8" t="s">
        <v>1797</v>
      </c>
      <c r="W77" s="8" t="s">
        <v>262</v>
      </c>
      <c r="X77" s="8" t="s">
        <v>300</v>
      </c>
      <c r="Y77" s="8" t="s">
        <v>1798</v>
      </c>
      <c r="Z77" s="8" t="s">
        <v>1799</v>
      </c>
      <c r="AA77" s="8" t="s">
        <v>330</v>
      </c>
      <c r="AB77" s="8"/>
      <c r="AC77" s="8" t="s">
        <v>1800</v>
      </c>
      <c r="AD77" s="8" t="s">
        <v>1801</v>
      </c>
      <c r="AE77" s="8" t="s">
        <v>362</v>
      </c>
      <c r="AF77" s="8" t="s">
        <v>1802</v>
      </c>
      <c r="AG77" s="8" t="s">
        <v>1803</v>
      </c>
      <c r="AH77" s="11" t="s">
        <v>1146</v>
      </c>
      <c r="AI77" s="11"/>
      <c r="AJ77" s="8" t="s">
        <v>1804</v>
      </c>
    </row>
    <row r="78" spans="1:36" ht="60" customHeight="1">
      <c r="A78" s="8" t="s">
        <v>1805</v>
      </c>
      <c r="B78" s="8" t="s">
        <v>682</v>
      </c>
      <c r="C78" s="8" t="s">
        <v>396</v>
      </c>
      <c r="D78" s="8" t="s">
        <v>1139</v>
      </c>
      <c r="E78" s="8" t="s">
        <v>127</v>
      </c>
      <c r="F78" s="8" t="s">
        <v>65</v>
      </c>
      <c r="G78" s="8" t="s">
        <v>1149</v>
      </c>
      <c r="H78" s="8" t="s">
        <v>182</v>
      </c>
      <c r="I78" s="8" t="s">
        <v>1141</v>
      </c>
      <c r="J78" s="8" t="s">
        <v>1141</v>
      </c>
      <c r="K78" s="8" t="s">
        <v>1141</v>
      </c>
      <c r="L78" s="8" t="s">
        <v>1141</v>
      </c>
      <c r="M78" s="8" t="s">
        <v>421</v>
      </c>
      <c r="N78" s="8"/>
      <c r="O78" s="8">
        <v>2</v>
      </c>
      <c r="P78" s="8" t="s">
        <v>202</v>
      </c>
      <c r="Q78" s="8" t="s">
        <v>228</v>
      </c>
      <c r="R78" s="8" t="s">
        <v>236</v>
      </c>
      <c r="S78" s="8" t="s">
        <v>1806</v>
      </c>
      <c r="T78" s="8" t="s">
        <v>1807</v>
      </c>
      <c r="U78" s="8" t="s">
        <v>1808</v>
      </c>
      <c r="V78" s="8" t="s">
        <v>1809</v>
      </c>
      <c r="W78" s="8" t="s">
        <v>247</v>
      </c>
      <c r="X78" s="8" t="s">
        <v>279</v>
      </c>
      <c r="Y78" s="8" t="s">
        <v>1810</v>
      </c>
      <c r="Z78" s="8" t="s">
        <v>1811</v>
      </c>
      <c r="AA78" s="8" t="s">
        <v>327</v>
      </c>
      <c r="AB78" s="8" t="s">
        <v>347</v>
      </c>
      <c r="AC78" s="8" t="s">
        <v>1812</v>
      </c>
      <c r="AD78" s="8" t="s">
        <v>1813</v>
      </c>
      <c r="AE78" s="8" t="s">
        <v>377</v>
      </c>
      <c r="AF78" s="8" t="s">
        <v>1814</v>
      </c>
      <c r="AG78" s="8" t="s">
        <v>1815</v>
      </c>
      <c r="AH78" s="11" t="s">
        <v>1146</v>
      </c>
      <c r="AI78" s="11"/>
      <c r="AJ78" s="8" t="s">
        <v>1816</v>
      </c>
    </row>
    <row r="79" spans="1:36" ht="60" customHeight="1">
      <c r="A79" s="8" t="s">
        <v>1817</v>
      </c>
      <c r="B79" s="8" t="s">
        <v>686</v>
      </c>
      <c r="C79" s="8" t="s">
        <v>396</v>
      </c>
      <c r="D79" s="8" t="s">
        <v>1139</v>
      </c>
      <c r="E79" s="8" t="s">
        <v>118</v>
      </c>
      <c r="F79" s="8" t="s">
        <v>65</v>
      </c>
      <c r="G79" s="8" t="s">
        <v>1161</v>
      </c>
      <c r="H79" s="8" t="s">
        <v>182</v>
      </c>
      <c r="I79" s="8" t="s">
        <v>1141</v>
      </c>
      <c r="J79" s="8" t="s">
        <v>1141</v>
      </c>
      <c r="K79" s="8" t="s">
        <v>1141</v>
      </c>
      <c r="L79" s="8" t="s">
        <v>1141</v>
      </c>
      <c r="M79" s="8" t="s">
        <v>421</v>
      </c>
      <c r="N79" s="8"/>
      <c r="O79" s="8">
        <v>1</v>
      </c>
      <c r="P79" s="8" t="s">
        <v>205</v>
      </c>
      <c r="Q79" s="8" t="s">
        <v>228</v>
      </c>
      <c r="R79" s="8" t="s">
        <v>236</v>
      </c>
      <c r="S79" s="8" t="s">
        <v>1818</v>
      </c>
      <c r="T79" s="8" t="s">
        <v>1819</v>
      </c>
      <c r="U79" s="8" t="s">
        <v>1820</v>
      </c>
      <c r="V79" s="8" t="s">
        <v>1821</v>
      </c>
      <c r="W79" s="8" t="s">
        <v>274</v>
      </c>
      <c r="X79" s="8" t="s">
        <v>300</v>
      </c>
      <c r="Y79" s="8" t="s">
        <v>1822</v>
      </c>
      <c r="Z79" s="8" t="s">
        <v>1823</v>
      </c>
      <c r="AA79" s="8" t="s">
        <v>327</v>
      </c>
      <c r="AB79" s="8"/>
      <c r="AC79" s="8" t="s">
        <v>1824</v>
      </c>
      <c r="AD79" s="8" t="s">
        <v>1825</v>
      </c>
      <c r="AE79" s="8" t="s">
        <v>362</v>
      </c>
      <c r="AF79" s="8" t="s">
        <v>1826</v>
      </c>
      <c r="AG79" s="8"/>
      <c r="AH79" s="11" t="s">
        <v>1146</v>
      </c>
      <c r="AI79" s="11"/>
      <c r="AJ79" s="8" t="s">
        <v>1827</v>
      </c>
    </row>
    <row r="80" spans="1:36" ht="60" customHeight="1">
      <c r="A80" s="8" t="s">
        <v>1828</v>
      </c>
      <c r="B80" s="8" t="s">
        <v>690</v>
      </c>
      <c r="C80" s="8" t="s">
        <v>396</v>
      </c>
      <c r="D80" s="8" t="s">
        <v>1139</v>
      </c>
      <c r="E80" s="8" t="s">
        <v>112</v>
      </c>
      <c r="F80" s="8" t="s">
        <v>85</v>
      </c>
      <c r="G80" s="8" t="s">
        <v>1330</v>
      </c>
      <c r="H80" s="8" t="s">
        <v>163</v>
      </c>
      <c r="I80" s="8" t="s">
        <v>1141</v>
      </c>
      <c r="J80" s="8" t="s">
        <v>1141</v>
      </c>
      <c r="K80" s="8" t="s">
        <v>1141</v>
      </c>
      <c r="L80" s="8" t="s">
        <v>1141</v>
      </c>
      <c r="M80" s="8" t="s">
        <v>421</v>
      </c>
      <c r="N80" s="8"/>
      <c r="O80" s="8">
        <v>1</v>
      </c>
      <c r="P80" s="8" t="s">
        <v>205</v>
      </c>
      <c r="Q80" s="8" t="s">
        <v>228</v>
      </c>
      <c r="R80" s="8" t="s">
        <v>236</v>
      </c>
      <c r="S80" s="8" t="s">
        <v>1829</v>
      </c>
      <c r="T80" s="8" t="s">
        <v>1830</v>
      </c>
      <c r="U80" s="8" t="s">
        <v>1831</v>
      </c>
      <c r="V80" s="8" t="s">
        <v>1832</v>
      </c>
      <c r="W80" s="8" t="s">
        <v>274</v>
      </c>
      <c r="X80" s="8" t="s">
        <v>300</v>
      </c>
      <c r="Y80" s="8" t="s">
        <v>1833</v>
      </c>
      <c r="Z80" s="8" t="s">
        <v>1834</v>
      </c>
      <c r="AA80" s="8" t="s">
        <v>333</v>
      </c>
      <c r="AB80" s="8"/>
      <c r="AC80" s="8" t="s">
        <v>1835</v>
      </c>
      <c r="AD80" s="8" t="s">
        <v>1836</v>
      </c>
      <c r="AE80" s="8" t="s">
        <v>362</v>
      </c>
      <c r="AF80" s="8" t="s">
        <v>1837</v>
      </c>
      <c r="AG80" s="8"/>
      <c r="AH80" s="11" t="s">
        <v>1146</v>
      </c>
      <c r="AI80" s="11"/>
      <c r="AJ80" s="8" t="s">
        <v>1838</v>
      </c>
    </row>
    <row r="81" spans="1:36" ht="72" customHeight="1">
      <c r="A81" s="8" t="s">
        <v>1839</v>
      </c>
      <c r="B81" s="8" t="s">
        <v>694</v>
      </c>
      <c r="C81" s="8" t="s">
        <v>396</v>
      </c>
      <c r="D81" s="8" t="s">
        <v>1139</v>
      </c>
      <c r="E81" s="8" t="s">
        <v>118</v>
      </c>
      <c r="F81" s="8" t="s">
        <v>65</v>
      </c>
      <c r="G81" s="8" t="s">
        <v>1149</v>
      </c>
      <c r="H81" s="8" t="s">
        <v>182</v>
      </c>
      <c r="I81" s="8" t="s">
        <v>1141</v>
      </c>
      <c r="J81" s="8" t="s">
        <v>1141</v>
      </c>
      <c r="K81" s="8" t="s">
        <v>1141</v>
      </c>
      <c r="L81" s="8" t="s">
        <v>1141</v>
      </c>
      <c r="M81" s="8" t="s">
        <v>421</v>
      </c>
      <c r="N81" s="8"/>
      <c r="O81" s="8">
        <v>1</v>
      </c>
      <c r="P81" s="8" t="s">
        <v>205</v>
      </c>
      <c r="Q81" s="8" t="s">
        <v>228</v>
      </c>
      <c r="R81" s="8" t="s">
        <v>239</v>
      </c>
      <c r="S81" s="8" t="s">
        <v>1840</v>
      </c>
      <c r="T81" s="8" t="s">
        <v>1841</v>
      </c>
      <c r="U81" s="8" t="s">
        <v>1842</v>
      </c>
      <c r="V81" s="8" t="s">
        <v>1843</v>
      </c>
      <c r="W81" s="8" t="s">
        <v>274</v>
      </c>
      <c r="X81" s="8" t="s">
        <v>300</v>
      </c>
      <c r="Y81" s="8" t="s">
        <v>1844</v>
      </c>
      <c r="Z81" s="8" t="s">
        <v>1845</v>
      </c>
      <c r="AA81" s="8" t="s">
        <v>333</v>
      </c>
      <c r="AB81" s="8"/>
      <c r="AC81" s="8" t="s">
        <v>1846</v>
      </c>
      <c r="AD81" s="8" t="s">
        <v>1825</v>
      </c>
      <c r="AE81" s="8" t="s">
        <v>362</v>
      </c>
      <c r="AF81" s="8" t="s">
        <v>1847</v>
      </c>
      <c r="AG81" s="8"/>
      <c r="AH81" s="11" t="s">
        <v>1146</v>
      </c>
      <c r="AI81" s="11"/>
      <c r="AJ81" s="8" t="s">
        <v>1848</v>
      </c>
    </row>
    <row r="82" spans="1:36" ht="72" customHeight="1">
      <c r="A82" s="8" t="s">
        <v>1849</v>
      </c>
      <c r="B82" s="8" t="s">
        <v>698</v>
      </c>
      <c r="C82" s="8" t="s">
        <v>396</v>
      </c>
      <c r="D82" s="8" t="s">
        <v>1139</v>
      </c>
      <c r="E82" s="8" t="s">
        <v>118</v>
      </c>
      <c r="F82" s="8" t="s">
        <v>65</v>
      </c>
      <c r="G82" s="8" t="s">
        <v>1149</v>
      </c>
      <c r="H82" s="8" t="s">
        <v>182</v>
      </c>
      <c r="I82" s="8" t="s">
        <v>1141</v>
      </c>
      <c r="J82" s="8" t="s">
        <v>1141</v>
      </c>
      <c r="K82" s="8" t="s">
        <v>1141</v>
      </c>
      <c r="L82" s="8" t="s">
        <v>1141</v>
      </c>
      <c r="M82" s="8" t="s">
        <v>421</v>
      </c>
      <c r="N82" s="8"/>
      <c r="O82" s="8">
        <v>3</v>
      </c>
      <c r="P82" s="8" t="s">
        <v>700</v>
      </c>
      <c r="Q82" s="8" t="s">
        <v>228</v>
      </c>
      <c r="R82" s="8" t="s">
        <v>236</v>
      </c>
      <c r="S82" s="8" t="s">
        <v>1850</v>
      </c>
      <c r="T82" s="8" t="s">
        <v>1851</v>
      </c>
      <c r="U82" s="8" t="s">
        <v>1852</v>
      </c>
      <c r="V82" s="8" t="s">
        <v>1853</v>
      </c>
      <c r="W82" s="8" t="s">
        <v>247</v>
      </c>
      <c r="X82" s="8" t="s">
        <v>279</v>
      </c>
      <c r="Y82" s="8" t="s">
        <v>1854</v>
      </c>
      <c r="Z82" s="8" t="s">
        <v>1855</v>
      </c>
      <c r="AA82" s="8" t="s">
        <v>318</v>
      </c>
      <c r="AB82" s="8" t="s">
        <v>347</v>
      </c>
      <c r="AC82" s="8" t="s">
        <v>1856</v>
      </c>
      <c r="AD82" s="8" t="s">
        <v>1857</v>
      </c>
      <c r="AE82" s="8" t="s">
        <v>371</v>
      </c>
      <c r="AF82" s="8" t="s">
        <v>1858</v>
      </c>
      <c r="AG82" s="8" t="s">
        <v>1859</v>
      </c>
      <c r="AH82" s="11" t="s">
        <v>1146</v>
      </c>
      <c r="AI82" s="11"/>
      <c r="AJ82" s="8" t="s">
        <v>1860</v>
      </c>
    </row>
    <row r="83" spans="1:36" ht="60" customHeight="1">
      <c r="A83" s="8" t="s">
        <v>1861</v>
      </c>
      <c r="B83" s="8" t="s">
        <v>703</v>
      </c>
      <c r="C83" s="8" t="s">
        <v>396</v>
      </c>
      <c r="D83" s="8" t="s">
        <v>1139</v>
      </c>
      <c r="E83" s="8" t="s">
        <v>127</v>
      </c>
      <c r="F83" s="8" t="s">
        <v>65</v>
      </c>
      <c r="G83" s="8" t="s">
        <v>1149</v>
      </c>
      <c r="H83" s="8" t="s">
        <v>182</v>
      </c>
      <c r="I83" s="8" t="s">
        <v>1141</v>
      </c>
      <c r="J83" s="8" t="s">
        <v>1141</v>
      </c>
      <c r="K83" s="8" t="s">
        <v>1141</v>
      </c>
      <c r="L83" s="8" t="s">
        <v>1141</v>
      </c>
      <c r="M83" s="8" t="s">
        <v>421</v>
      </c>
      <c r="N83" s="8"/>
      <c r="O83" s="8">
        <v>2</v>
      </c>
      <c r="P83" s="8" t="s">
        <v>196</v>
      </c>
      <c r="Q83" s="8" t="s">
        <v>228</v>
      </c>
      <c r="R83" s="8" t="s">
        <v>239</v>
      </c>
      <c r="S83" s="8" t="s">
        <v>1862</v>
      </c>
      <c r="T83" s="8" t="s">
        <v>1863</v>
      </c>
      <c r="U83" s="8" t="s">
        <v>1864</v>
      </c>
      <c r="V83" s="8" t="s">
        <v>1865</v>
      </c>
      <c r="W83" s="8" t="s">
        <v>268</v>
      </c>
      <c r="X83" s="8" t="s">
        <v>288</v>
      </c>
      <c r="Y83" s="8" t="s">
        <v>1866</v>
      </c>
      <c r="Z83" s="8" t="s">
        <v>1867</v>
      </c>
      <c r="AA83" s="8" t="s">
        <v>333</v>
      </c>
      <c r="AB83" s="8"/>
      <c r="AC83" s="8" t="s">
        <v>1868</v>
      </c>
      <c r="AD83" s="8" t="s">
        <v>1869</v>
      </c>
      <c r="AE83" s="8" t="s">
        <v>362</v>
      </c>
      <c r="AF83" s="8" t="s">
        <v>1870</v>
      </c>
      <c r="AG83" s="8" t="s">
        <v>1871</v>
      </c>
      <c r="AH83" s="11" t="s">
        <v>1146</v>
      </c>
      <c r="AI83" s="11"/>
      <c r="AJ83" s="8" t="s">
        <v>1872</v>
      </c>
    </row>
    <row r="84" spans="1:36" ht="60" customHeight="1">
      <c r="A84" s="8" t="s">
        <v>1873</v>
      </c>
      <c r="B84" s="8" t="s">
        <v>707</v>
      </c>
      <c r="C84" s="8" t="s">
        <v>396</v>
      </c>
      <c r="D84" s="8" t="s">
        <v>1139</v>
      </c>
      <c r="E84" s="8" t="s">
        <v>118</v>
      </c>
      <c r="F84" s="8" t="s">
        <v>70</v>
      </c>
      <c r="G84" s="8" t="s">
        <v>1149</v>
      </c>
      <c r="H84" s="8" t="s">
        <v>182</v>
      </c>
      <c r="I84" s="8" t="s">
        <v>1141</v>
      </c>
      <c r="J84" s="8" t="s">
        <v>1141</v>
      </c>
      <c r="K84" s="8" t="s">
        <v>1141</v>
      </c>
      <c r="L84" s="8" t="s">
        <v>1141</v>
      </c>
      <c r="M84" s="8" t="s">
        <v>421</v>
      </c>
      <c r="N84" s="8"/>
      <c r="O84" s="8">
        <v>1</v>
      </c>
      <c r="P84" s="8" t="s">
        <v>205</v>
      </c>
      <c r="Q84" s="8" t="s">
        <v>228</v>
      </c>
      <c r="R84" s="8" t="s">
        <v>236</v>
      </c>
      <c r="S84" s="8" t="s">
        <v>1874</v>
      </c>
      <c r="T84" s="8" t="s">
        <v>1875</v>
      </c>
      <c r="U84" s="8" t="s">
        <v>1876</v>
      </c>
      <c r="V84" s="8" t="s">
        <v>1877</v>
      </c>
      <c r="W84" s="8" t="s">
        <v>274</v>
      </c>
      <c r="X84" s="8" t="s">
        <v>300</v>
      </c>
      <c r="Y84" s="8" t="s">
        <v>1878</v>
      </c>
      <c r="Z84" s="8" t="s">
        <v>1879</v>
      </c>
      <c r="AA84" s="8" t="s">
        <v>333</v>
      </c>
      <c r="AB84" s="8"/>
      <c r="AC84" s="8" t="s">
        <v>1880</v>
      </c>
      <c r="AD84" s="8" t="s">
        <v>1825</v>
      </c>
      <c r="AE84" s="8" t="s">
        <v>362</v>
      </c>
      <c r="AF84" s="8" t="s">
        <v>1881</v>
      </c>
      <c r="AG84" s="8"/>
      <c r="AH84" s="11" t="s">
        <v>1146</v>
      </c>
      <c r="AI84" s="11"/>
      <c r="AJ84" s="8" t="s">
        <v>1882</v>
      </c>
    </row>
    <row r="85" spans="1:36" ht="72" customHeight="1">
      <c r="A85" s="8" t="s">
        <v>1883</v>
      </c>
      <c r="B85" s="8" t="s">
        <v>710</v>
      </c>
      <c r="C85" s="8" t="s">
        <v>396</v>
      </c>
      <c r="D85" s="8" t="s">
        <v>1139</v>
      </c>
      <c r="E85" s="8" t="s">
        <v>99</v>
      </c>
      <c r="F85" s="8" t="s">
        <v>90</v>
      </c>
      <c r="G85" s="8" t="s">
        <v>1642</v>
      </c>
      <c r="H85" s="8" t="s">
        <v>150</v>
      </c>
      <c r="I85" s="8" t="s">
        <v>1141</v>
      </c>
      <c r="J85" s="8" t="s">
        <v>1141</v>
      </c>
      <c r="K85" s="8" t="s">
        <v>1141</v>
      </c>
      <c r="L85" s="8" t="s">
        <v>1141</v>
      </c>
      <c r="M85" s="8" t="s">
        <v>421</v>
      </c>
      <c r="N85" s="8"/>
      <c r="O85" s="8">
        <v>2</v>
      </c>
      <c r="P85" s="8" t="s">
        <v>199</v>
      </c>
      <c r="Q85" s="8" t="s">
        <v>225</v>
      </c>
      <c r="R85" s="8" t="s">
        <v>236</v>
      </c>
      <c r="S85" s="8" t="s">
        <v>1884</v>
      </c>
      <c r="T85" s="8" t="s">
        <v>1885</v>
      </c>
      <c r="U85" s="8" t="s">
        <v>1886</v>
      </c>
      <c r="V85" s="8" t="s">
        <v>1887</v>
      </c>
      <c r="W85" s="8" t="s">
        <v>250</v>
      </c>
      <c r="X85" s="8" t="s">
        <v>303</v>
      </c>
      <c r="Y85" s="8" t="s">
        <v>1888</v>
      </c>
      <c r="Z85" s="8" t="s">
        <v>1889</v>
      </c>
      <c r="AA85" s="8" t="s">
        <v>330</v>
      </c>
      <c r="AB85" s="8" t="s">
        <v>347</v>
      </c>
      <c r="AC85" s="8" t="s">
        <v>1890</v>
      </c>
      <c r="AD85" s="8" t="s">
        <v>1891</v>
      </c>
      <c r="AE85" s="8" t="s">
        <v>362</v>
      </c>
      <c r="AF85" s="8" t="s">
        <v>1892</v>
      </c>
      <c r="AG85" s="8" t="s">
        <v>1893</v>
      </c>
      <c r="AH85" s="11" t="s">
        <v>1146</v>
      </c>
      <c r="AI85" s="11"/>
      <c r="AJ85" s="8" t="s">
        <v>1894</v>
      </c>
    </row>
    <row r="86" spans="1:36" ht="72" customHeight="1">
      <c r="A86" s="8" t="s">
        <v>1895</v>
      </c>
      <c r="B86" s="8" t="s">
        <v>714</v>
      </c>
      <c r="C86" s="8" t="s">
        <v>396</v>
      </c>
      <c r="D86" s="8" t="s">
        <v>1139</v>
      </c>
      <c r="E86" s="8" t="s">
        <v>103</v>
      </c>
      <c r="F86" s="8" t="s">
        <v>65</v>
      </c>
      <c r="G86" s="8" t="s">
        <v>1149</v>
      </c>
      <c r="H86" s="8" t="s">
        <v>182</v>
      </c>
      <c r="I86" s="8" t="s">
        <v>1141</v>
      </c>
      <c r="J86" s="8" t="s">
        <v>1141</v>
      </c>
      <c r="K86" s="8" t="s">
        <v>1141</v>
      </c>
      <c r="L86" s="8" t="s">
        <v>1141</v>
      </c>
      <c r="M86" s="8" t="s">
        <v>421</v>
      </c>
      <c r="N86" s="8"/>
      <c r="O86" s="8">
        <v>2</v>
      </c>
      <c r="P86" s="8" t="s">
        <v>199</v>
      </c>
      <c r="Q86" s="8" t="s">
        <v>228</v>
      </c>
      <c r="R86" s="8" t="s">
        <v>236</v>
      </c>
      <c r="S86" s="8" t="s">
        <v>1896</v>
      </c>
      <c r="T86" s="8" t="s">
        <v>1897</v>
      </c>
      <c r="U86" s="8" t="s">
        <v>1898</v>
      </c>
      <c r="V86" s="8" t="s">
        <v>1899</v>
      </c>
      <c r="W86" s="8" t="s">
        <v>271</v>
      </c>
      <c r="X86" s="8" t="s">
        <v>297</v>
      </c>
      <c r="Y86" s="8" t="s">
        <v>1900</v>
      </c>
      <c r="Z86" s="8" t="s">
        <v>1901</v>
      </c>
      <c r="AA86" s="8" t="s">
        <v>315</v>
      </c>
      <c r="AB86" s="8" t="s">
        <v>341</v>
      </c>
      <c r="AC86" s="8" t="s">
        <v>1902</v>
      </c>
      <c r="AD86" s="8" t="s">
        <v>1903</v>
      </c>
      <c r="AE86" s="8" t="s">
        <v>371</v>
      </c>
      <c r="AF86" s="8" t="s">
        <v>1904</v>
      </c>
      <c r="AG86" s="8" t="s">
        <v>1905</v>
      </c>
      <c r="AH86" s="11" t="s">
        <v>1146</v>
      </c>
      <c r="AI86" s="11"/>
      <c r="AJ86" s="8" t="s">
        <v>1906</v>
      </c>
    </row>
    <row r="87" spans="1:36" ht="72" customHeight="1">
      <c r="A87" s="8" t="s">
        <v>1907</v>
      </c>
      <c r="B87" s="8" t="s">
        <v>718</v>
      </c>
      <c r="C87" s="8" t="s">
        <v>396</v>
      </c>
      <c r="D87" s="8" t="s">
        <v>1139</v>
      </c>
      <c r="E87" s="8" t="s">
        <v>118</v>
      </c>
      <c r="F87" s="8" t="s">
        <v>65</v>
      </c>
      <c r="G87" s="8" t="s">
        <v>1149</v>
      </c>
      <c r="H87" s="8" t="s">
        <v>182</v>
      </c>
      <c r="I87" s="8" t="s">
        <v>1141</v>
      </c>
      <c r="J87" s="8" t="s">
        <v>1141</v>
      </c>
      <c r="K87" s="8" t="s">
        <v>1141</v>
      </c>
      <c r="L87" s="8" t="s">
        <v>1141</v>
      </c>
      <c r="M87" s="8" t="s">
        <v>421</v>
      </c>
      <c r="N87" s="8"/>
      <c r="O87" s="8">
        <v>2</v>
      </c>
      <c r="P87" s="8" t="s">
        <v>199</v>
      </c>
      <c r="Q87" s="8" t="s">
        <v>225</v>
      </c>
      <c r="R87" s="8" t="s">
        <v>236</v>
      </c>
      <c r="S87" s="8" t="s">
        <v>1908</v>
      </c>
      <c r="T87" s="8" t="s">
        <v>1909</v>
      </c>
      <c r="U87" s="8" t="s">
        <v>1910</v>
      </c>
      <c r="V87" s="8" t="s">
        <v>1911</v>
      </c>
      <c r="W87" s="8" t="s">
        <v>271</v>
      </c>
      <c r="X87" s="8" t="s">
        <v>300</v>
      </c>
      <c r="Y87" s="8" t="s">
        <v>1912</v>
      </c>
      <c r="Z87" s="8" t="s">
        <v>1913</v>
      </c>
      <c r="AA87" s="8" t="s">
        <v>333</v>
      </c>
      <c r="AB87" s="8" t="s">
        <v>341</v>
      </c>
      <c r="AC87" s="8" t="s">
        <v>1914</v>
      </c>
      <c r="AD87" s="8" t="s">
        <v>1915</v>
      </c>
      <c r="AE87" s="8" t="s">
        <v>362</v>
      </c>
      <c r="AF87" s="8" t="s">
        <v>1916</v>
      </c>
      <c r="AG87" s="8" t="s">
        <v>1917</v>
      </c>
      <c r="AH87" s="11" t="s">
        <v>1146</v>
      </c>
      <c r="AI87" s="11"/>
      <c r="AJ87" s="8" t="s">
        <v>1918</v>
      </c>
    </row>
    <row r="88" spans="1:36" ht="60" customHeight="1">
      <c r="A88" s="8" t="s">
        <v>1919</v>
      </c>
      <c r="B88" s="8" t="s">
        <v>721</v>
      </c>
      <c r="C88" s="8" t="s">
        <v>396</v>
      </c>
      <c r="D88" s="8" t="s">
        <v>1139</v>
      </c>
      <c r="E88" s="8" t="s">
        <v>133</v>
      </c>
      <c r="F88" s="8" t="s">
        <v>85</v>
      </c>
      <c r="G88" s="8" t="s">
        <v>1330</v>
      </c>
      <c r="H88" s="8" t="s">
        <v>163</v>
      </c>
      <c r="I88" s="8" t="s">
        <v>1141</v>
      </c>
      <c r="J88" s="8" t="s">
        <v>1141</v>
      </c>
      <c r="K88" s="8" t="s">
        <v>1141</v>
      </c>
      <c r="L88" s="8" t="s">
        <v>1141</v>
      </c>
      <c r="M88" s="8" t="s">
        <v>421</v>
      </c>
      <c r="N88" s="8"/>
      <c r="O88" s="8">
        <v>1</v>
      </c>
      <c r="P88" s="8" t="s">
        <v>205</v>
      </c>
      <c r="Q88" s="8" t="s">
        <v>228</v>
      </c>
      <c r="R88" s="8" t="s">
        <v>236</v>
      </c>
      <c r="S88" s="8" t="s">
        <v>1920</v>
      </c>
      <c r="T88" s="8" t="s">
        <v>1921</v>
      </c>
      <c r="U88" s="8" t="s">
        <v>1922</v>
      </c>
      <c r="V88" s="8" t="s">
        <v>1923</v>
      </c>
      <c r="W88" s="8" t="s">
        <v>265</v>
      </c>
      <c r="X88" s="8" t="s">
        <v>300</v>
      </c>
      <c r="Y88" s="8" t="s">
        <v>1924</v>
      </c>
      <c r="Z88" s="8" t="s">
        <v>1925</v>
      </c>
      <c r="AA88" s="8" t="s">
        <v>333</v>
      </c>
      <c r="AB88" s="8"/>
      <c r="AC88" s="8" t="s">
        <v>1926</v>
      </c>
      <c r="AD88" s="8" t="s">
        <v>1927</v>
      </c>
      <c r="AE88" s="8" t="s">
        <v>380</v>
      </c>
      <c r="AF88" s="8" t="s">
        <v>1928</v>
      </c>
      <c r="AG88" s="8"/>
      <c r="AH88" s="11" t="s">
        <v>1146</v>
      </c>
      <c r="AI88" s="11"/>
      <c r="AJ88" s="8" t="s">
        <v>1929</v>
      </c>
    </row>
    <row r="89" spans="1:36" ht="72" customHeight="1">
      <c r="A89" s="8" t="s">
        <v>1930</v>
      </c>
      <c r="B89" s="8" t="s">
        <v>725</v>
      </c>
      <c r="C89" s="8" t="s">
        <v>396</v>
      </c>
      <c r="D89" s="8" t="s">
        <v>1139</v>
      </c>
      <c r="E89" s="8" t="s">
        <v>112</v>
      </c>
      <c r="F89" s="8" t="s">
        <v>65</v>
      </c>
      <c r="G89" s="8" t="s">
        <v>1149</v>
      </c>
      <c r="H89" s="8" t="s">
        <v>182</v>
      </c>
      <c r="I89" s="8" t="s">
        <v>1141</v>
      </c>
      <c r="J89" s="8" t="s">
        <v>1141</v>
      </c>
      <c r="K89" s="8" t="s">
        <v>1141</v>
      </c>
      <c r="L89" s="8" t="s">
        <v>1141</v>
      </c>
      <c r="M89" s="8" t="s">
        <v>421</v>
      </c>
      <c r="N89" s="8"/>
      <c r="O89" s="8">
        <v>2</v>
      </c>
      <c r="P89" s="8" t="s">
        <v>196</v>
      </c>
      <c r="Q89" s="8" t="s">
        <v>228</v>
      </c>
      <c r="R89" s="8" t="s">
        <v>236</v>
      </c>
      <c r="S89" s="8" t="s">
        <v>1931</v>
      </c>
      <c r="T89" s="8" t="s">
        <v>1932</v>
      </c>
      <c r="U89" s="8" t="s">
        <v>1933</v>
      </c>
      <c r="V89" s="8" t="s">
        <v>1934</v>
      </c>
      <c r="W89" s="8" t="s">
        <v>262</v>
      </c>
      <c r="X89" s="8" t="s">
        <v>300</v>
      </c>
      <c r="Y89" s="8" t="s">
        <v>1935</v>
      </c>
      <c r="Z89" s="8" t="s">
        <v>1936</v>
      </c>
      <c r="AA89" s="8" t="s">
        <v>333</v>
      </c>
      <c r="AB89" s="8"/>
      <c r="AC89" s="8" t="s">
        <v>1937</v>
      </c>
      <c r="AD89" s="8" t="s">
        <v>1938</v>
      </c>
      <c r="AE89" s="8" t="s">
        <v>362</v>
      </c>
      <c r="AF89" s="8" t="s">
        <v>1939</v>
      </c>
      <c r="AG89" s="8" t="s">
        <v>1940</v>
      </c>
      <c r="AH89" s="11" t="s">
        <v>1146</v>
      </c>
      <c r="AI89" s="11"/>
      <c r="AJ89" s="8" t="s">
        <v>1941</v>
      </c>
    </row>
    <row r="90" spans="1:36" ht="60" customHeight="1">
      <c r="A90" s="8" t="s">
        <v>1942</v>
      </c>
      <c r="B90" s="8" t="s">
        <v>729</v>
      </c>
      <c r="C90" s="8" t="s">
        <v>396</v>
      </c>
      <c r="D90" s="8" t="s">
        <v>1139</v>
      </c>
      <c r="E90" s="8" t="s">
        <v>127</v>
      </c>
      <c r="F90" s="8" t="s">
        <v>65</v>
      </c>
      <c r="G90" s="8" t="s">
        <v>1377</v>
      </c>
      <c r="H90" s="8" t="s">
        <v>163</v>
      </c>
      <c r="I90" s="8" t="s">
        <v>1141</v>
      </c>
      <c r="J90" s="8" t="s">
        <v>1141</v>
      </c>
      <c r="K90" s="8" t="s">
        <v>1141</v>
      </c>
      <c r="L90" s="8" t="s">
        <v>1141</v>
      </c>
      <c r="M90" s="8" t="s">
        <v>421</v>
      </c>
      <c r="N90" s="8"/>
      <c r="O90" s="8">
        <v>3</v>
      </c>
      <c r="P90" s="8" t="s">
        <v>202</v>
      </c>
      <c r="Q90" s="8" t="s">
        <v>228</v>
      </c>
      <c r="R90" s="8" t="s">
        <v>236</v>
      </c>
      <c r="S90" s="8" t="s">
        <v>1943</v>
      </c>
      <c r="T90" s="8" t="s">
        <v>1944</v>
      </c>
      <c r="U90" s="8" t="s">
        <v>1945</v>
      </c>
      <c r="V90" s="8" t="s">
        <v>1946</v>
      </c>
      <c r="W90" s="8" t="s">
        <v>253</v>
      </c>
      <c r="X90" s="8" t="s">
        <v>294</v>
      </c>
      <c r="Y90" s="8" t="s">
        <v>1947</v>
      </c>
      <c r="Z90" s="8" t="s">
        <v>1948</v>
      </c>
      <c r="AA90" s="8" t="s">
        <v>333</v>
      </c>
      <c r="AB90" s="8"/>
      <c r="AC90" s="8" t="s">
        <v>1949</v>
      </c>
      <c r="AD90" s="8" t="s">
        <v>1950</v>
      </c>
      <c r="AE90" s="8" t="s">
        <v>362</v>
      </c>
      <c r="AF90" s="8" t="s">
        <v>1951</v>
      </c>
      <c r="AG90" s="8" t="s">
        <v>1952</v>
      </c>
      <c r="AH90" s="11" t="s">
        <v>1146</v>
      </c>
      <c r="AI90" s="11"/>
      <c r="AJ90" s="8" t="s">
        <v>1953</v>
      </c>
    </row>
    <row r="91" spans="1:36" ht="60" customHeight="1">
      <c r="A91" s="8" t="s">
        <v>1954</v>
      </c>
      <c r="B91" s="8" t="s">
        <v>733</v>
      </c>
      <c r="C91" s="8" t="s">
        <v>396</v>
      </c>
      <c r="D91" s="8" t="s">
        <v>1139</v>
      </c>
      <c r="E91" s="8" t="s">
        <v>118</v>
      </c>
      <c r="F91" s="8" t="s">
        <v>90</v>
      </c>
      <c r="G91" s="8" t="s">
        <v>1161</v>
      </c>
      <c r="H91" s="8" t="s">
        <v>182</v>
      </c>
      <c r="I91" s="8" t="s">
        <v>1141</v>
      </c>
      <c r="J91" s="8" t="s">
        <v>1141</v>
      </c>
      <c r="K91" s="8" t="s">
        <v>1141</v>
      </c>
      <c r="L91" s="8" t="s">
        <v>1141</v>
      </c>
      <c r="M91" s="8" t="s">
        <v>421</v>
      </c>
      <c r="N91" s="8"/>
      <c r="O91" s="8">
        <v>1</v>
      </c>
      <c r="P91" s="8" t="s">
        <v>205</v>
      </c>
      <c r="Q91" s="8" t="s">
        <v>228</v>
      </c>
      <c r="R91" s="8" t="s">
        <v>236</v>
      </c>
      <c r="S91" s="8" t="s">
        <v>1955</v>
      </c>
      <c r="T91" s="8" t="s">
        <v>1956</v>
      </c>
      <c r="U91" s="8" t="s">
        <v>1957</v>
      </c>
      <c r="V91" s="8" t="s">
        <v>1958</v>
      </c>
      <c r="W91" s="8" t="s">
        <v>274</v>
      </c>
      <c r="X91" s="8" t="s">
        <v>300</v>
      </c>
      <c r="Y91" s="8" t="s">
        <v>1959</v>
      </c>
      <c r="Z91" s="8" t="s">
        <v>1960</v>
      </c>
      <c r="AA91" s="8" t="s">
        <v>333</v>
      </c>
      <c r="AB91" s="8"/>
      <c r="AC91" s="8" t="s">
        <v>1961</v>
      </c>
      <c r="AD91" s="8" t="s">
        <v>1962</v>
      </c>
      <c r="AE91" s="8" t="s">
        <v>362</v>
      </c>
      <c r="AF91" s="8" t="s">
        <v>1963</v>
      </c>
      <c r="AG91" s="8"/>
      <c r="AH91" s="11" t="s">
        <v>1146</v>
      </c>
      <c r="AI91" s="11"/>
      <c r="AJ91" s="8" t="s">
        <v>1964</v>
      </c>
    </row>
    <row r="92" spans="1:36" ht="60" customHeight="1">
      <c r="A92" s="8" t="s">
        <v>1965</v>
      </c>
      <c r="B92" s="8" t="s">
        <v>736</v>
      </c>
      <c r="C92" s="8" t="s">
        <v>396</v>
      </c>
      <c r="D92" s="8" t="s">
        <v>1139</v>
      </c>
      <c r="E92" s="8" t="s">
        <v>112</v>
      </c>
      <c r="F92" s="8" t="s">
        <v>75</v>
      </c>
      <c r="G92" s="8" t="s">
        <v>1213</v>
      </c>
      <c r="H92" s="8" t="s">
        <v>182</v>
      </c>
      <c r="I92" s="8" t="s">
        <v>1141</v>
      </c>
      <c r="J92" s="8" t="s">
        <v>1141</v>
      </c>
      <c r="K92" s="8" t="s">
        <v>1141</v>
      </c>
      <c r="L92" s="8" t="s">
        <v>1141</v>
      </c>
      <c r="M92" s="8" t="s">
        <v>421</v>
      </c>
      <c r="N92" s="8"/>
      <c r="O92" s="8">
        <v>1</v>
      </c>
      <c r="P92" s="8" t="s">
        <v>205</v>
      </c>
      <c r="Q92" s="8" t="s">
        <v>228</v>
      </c>
      <c r="R92" s="8" t="s">
        <v>236</v>
      </c>
      <c r="S92" s="8" t="s">
        <v>1966</v>
      </c>
      <c r="T92" s="8" t="s">
        <v>1967</v>
      </c>
      <c r="U92" s="8" t="s">
        <v>1968</v>
      </c>
      <c r="V92" s="8" t="s">
        <v>1969</v>
      </c>
      <c r="W92" s="8" t="s">
        <v>253</v>
      </c>
      <c r="X92" s="8" t="s">
        <v>300</v>
      </c>
      <c r="Y92" s="8" t="s">
        <v>1970</v>
      </c>
      <c r="Z92" s="8" t="s">
        <v>1971</v>
      </c>
      <c r="AA92" s="8" t="s">
        <v>321</v>
      </c>
      <c r="AB92" s="8"/>
      <c r="AC92" s="8" t="s">
        <v>1972</v>
      </c>
      <c r="AD92" s="8" t="s">
        <v>1973</v>
      </c>
      <c r="AE92" s="8" t="s">
        <v>380</v>
      </c>
      <c r="AF92" s="8" t="s">
        <v>1974</v>
      </c>
      <c r="AG92" s="8"/>
      <c r="AH92" s="11" t="s">
        <v>1146</v>
      </c>
      <c r="AI92" s="11"/>
      <c r="AJ92" s="8" t="s">
        <v>1975</v>
      </c>
    </row>
    <row r="93" spans="1:36" ht="60" customHeight="1">
      <c r="A93" s="8" t="s">
        <v>1976</v>
      </c>
      <c r="B93" s="8" t="s">
        <v>740</v>
      </c>
      <c r="C93" s="8" t="s">
        <v>396</v>
      </c>
      <c r="D93" s="8" t="s">
        <v>1139</v>
      </c>
      <c r="E93" s="8" t="s">
        <v>112</v>
      </c>
      <c r="F93" s="8" t="s">
        <v>65</v>
      </c>
      <c r="G93" s="8" t="s">
        <v>1161</v>
      </c>
      <c r="H93" s="8" t="s">
        <v>182</v>
      </c>
      <c r="I93" s="8" t="s">
        <v>1141</v>
      </c>
      <c r="J93" s="8" t="s">
        <v>1141</v>
      </c>
      <c r="K93" s="8" t="s">
        <v>1141</v>
      </c>
      <c r="L93" s="8" t="s">
        <v>1141</v>
      </c>
      <c r="M93" s="8" t="s">
        <v>421</v>
      </c>
      <c r="N93" s="8"/>
      <c r="O93" s="8">
        <v>1</v>
      </c>
      <c r="P93" s="8" t="s">
        <v>205</v>
      </c>
      <c r="Q93" s="8" t="s">
        <v>228</v>
      </c>
      <c r="R93" s="8" t="s">
        <v>236</v>
      </c>
      <c r="S93" s="8" t="s">
        <v>1977</v>
      </c>
      <c r="T93" s="8" t="s">
        <v>1978</v>
      </c>
      <c r="U93" s="8" t="s">
        <v>1979</v>
      </c>
      <c r="V93" s="8" t="s">
        <v>1980</v>
      </c>
      <c r="W93" s="8" t="s">
        <v>274</v>
      </c>
      <c r="X93" s="8" t="s">
        <v>300</v>
      </c>
      <c r="Y93" s="8" t="s">
        <v>1981</v>
      </c>
      <c r="Z93" s="8" t="s">
        <v>1982</v>
      </c>
      <c r="AA93" s="8" t="s">
        <v>333</v>
      </c>
      <c r="AB93" s="8"/>
      <c r="AC93" s="8" t="s">
        <v>1983</v>
      </c>
      <c r="AD93" s="8" t="s">
        <v>1984</v>
      </c>
      <c r="AE93" s="8" t="s">
        <v>362</v>
      </c>
      <c r="AF93" s="8" t="s">
        <v>1985</v>
      </c>
      <c r="AG93" s="8"/>
      <c r="AH93" s="11" t="s">
        <v>1146</v>
      </c>
      <c r="AI93" s="11"/>
      <c r="AJ93" s="8" t="s">
        <v>1986</v>
      </c>
    </row>
    <row r="94" spans="1:36" ht="60" customHeight="1">
      <c r="A94" s="8" t="s">
        <v>1987</v>
      </c>
      <c r="B94" s="8" t="s">
        <v>744</v>
      </c>
      <c r="C94" s="8" t="s">
        <v>396</v>
      </c>
      <c r="D94" s="8" t="s">
        <v>1139</v>
      </c>
      <c r="E94" s="8" t="s">
        <v>118</v>
      </c>
      <c r="F94" s="8" t="s">
        <v>90</v>
      </c>
      <c r="G94" s="8" t="s">
        <v>1161</v>
      </c>
      <c r="H94" s="8" t="s">
        <v>182</v>
      </c>
      <c r="I94" s="8" t="s">
        <v>1141</v>
      </c>
      <c r="J94" s="8" t="s">
        <v>1141</v>
      </c>
      <c r="K94" s="8" t="s">
        <v>1141</v>
      </c>
      <c r="L94" s="8" t="s">
        <v>1141</v>
      </c>
      <c r="M94" s="8" t="s">
        <v>421</v>
      </c>
      <c r="N94" s="8"/>
      <c r="O94" s="8">
        <v>1</v>
      </c>
      <c r="P94" s="8" t="s">
        <v>205</v>
      </c>
      <c r="Q94" s="8" t="s">
        <v>228</v>
      </c>
      <c r="R94" s="8" t="s">
        <v>236</v>
      </c>
      <c r="S94" s="8" t="s">
        <v>1988</v>
      </c>
      <c r="T94" s="8" t="s">
        <v>1989</v>
      </c>
      <c r="U94" s="8" t="s">
        <v>1990</v>
      </c>
      <c r="V94" s="8" t="s">
        <v>1991</v>
      </c>
      <c r="W94" s="8" t="s">
        <v>274</v>
      </c>
      <c r="X94" s="8" t="s">
        <v>300</v>
      </c>
      <c r="Y94" s="8" t="s">
        <v>1992</v>
      </c>
      <c r="Z94" s="8" t="s">
        <v>1993</v>
      </c>
      <c r="AA94" s="8" t="s">
        <v>333</v>
      </c>
      <c r="AB94" s="8"/>
      <c r="AC94" s="8" t="s">
        <v>1994</v>
      </c>
      <c r="AD94" s="8" t="s">
        <v>1825</v>
      </c>
      <c r="AE94" s="8" t="s">
        <v>362</v>
      </c>
      <c r="AF94" s="8" t="s">
        <v>1995</v>
      </c>
      <c r="AG94" s="8"/>
      <c r="AH94" s="11" t="s">
        <v>1146</v>
      </c>
      <c r="AI94" s="11"/>
      <c r="AJ94" s="8" t="s">
        <v>1996</v>
      </c>
    </row>
    <row r="95" spans="1:36" ht="72" customHeight="1">
      <c r="A95" s="8" t="s">
        <v>1997</v>
      </c>
      <c r="B95" s="8" t="s">
        <v>748</v>
      </c>
      <c r="C95" s="8" t="s">
        <v>396</v>
      </c>
      <c r="D95" s="8" t="s">
        <v>1139</v>
      </c>
      <c r="E95" s="8" t="s">
        <v>112</v>
      </c>
      <c r="F95" s="8" t="s">
        <v>75</v>
      </c>
      <c r="G95" s="8" t="s">
        <v>1213</v>
      </c>
      <c r="H95" s="8" t="s">
        <v>182</v>
      </c>
      <c r="I95" s="8" t="s">
        <v>1141</v>
      </c>
      <c r="J95" s="8" t="s">
        <v>1141</v>
      </c>
      <c r="K95" s="8" t="s">
        <v>1141</v>
      </c>
      <c r="L95" s="8" t="s">
        <v>1141</v>
      </c>
      <c r="M95" s="8" t="s">
        <v>421</v>
      </c>
      <c r="N95" s="8"/>
      <c r="O95" s="8">
        <v>1</v>
      </c>
      <c r="P95" s="8" t="s">
        <v>205</v>
      </c>
      <c r="Q95" s="8" t="s">
        <v>228</v>
      </c>
      <c r="R95" s="8" t="s">
        <v>236</v>
      </c>
      <c r="S95" s="8" t="s">
        <v>1998</v>
      </c>
      <c r="T95" s="8" t="s">
        <v>1999</v>
      </c>
      <c r="U95" s="8" t="s">
        <v>2000</v>
      </c>
      <c r="V95" s="8" t="s">
        <v>2001</v>
      </c>
      <c r="W95" s="8" t="s">
        <v>250</v>
      </c>
      <c r="X95" s="8" t="s">
        <v>300</v>
      </c>
      <c r="Y95" s="8" t="s">
        <v>2002</v>
      </c>
      <c r="Z95" s="8" t="s">
        <v>2003</v>
      </c>
      <c r="AA95" s="8" t="s">
        <v>321</v>
      </c>
      <c r="AB95" s="8"/>
      <c r="AC95" s="8" t="s">
        <v>2004</v>
      </c>
      <c r="AD95" s="8" t="s">
        <v>2005</v>
      </c>
      <c r="AE95" s="8" t="s">
        <v>362</v>
      </c>
      <c r="AF95" s="8" t="s">
        <v>1963</v>
      </c>
      <c r="AG95" s="8"/>
      <c r="AH95" s="11" t="s">
        <v>1146</v>
      </c>
      <c r="AI95" s="11"/>
      <c r="AJ95" s="8" t="s">
        <v>2006</v>
      </c>
    </row>
    <row r="96" spans="1:36" ht="72" customHeight="1">
      <c r="A96" s="8" t="s">
        <v>2007</v>
      </c>
      <c r="B96" s="8" t="s">
        <v>752</v>
      </c>
      <c r="C96" s="8" t="s">
        <v>396</v>
      </c>
      <c r="D96" s="8" t="s">
        <v>1139</v>
      </c>
      <c r="E96" s="8" t="s">
        <v>115</v>
      </c>
      <c r="F96" s="8" t="s">
        <v>65</v>
      </c>
      <c r="G96" s="8" t="s">
        <v>1149</v>
      </c>
      <c r="H96" s="8" t="s">
        <v>182</v>
      </c>
      <c r="I96" s="8" t="s">
        <v>1141</v>
      </c>
      <c r="J96" s="8" t="s">
        <v>1141</v>
      </c>
      <c r="K96" s="8" t="s">
        <v>1141</v>
      </c>
      <c r="L96" s="8" t="s">
        <v>1141</v>
      </c>
      <c r="M96" s="8" t="s">
        <v>421</v>
      </c>
      <c r="N96" s="8"/>
      <c r="O96" s="8">
        <v>1</v>
      </c>
      <c r="P96" s="8" t="s">
        <v>205</v>
      </c>
      <c r="Q96" s="8" t="s">
        <v>228</v>
      </c>
      <c r="R96" s="8" t="s">
        <v>236</v>
      </c>
      <c r="S96" s="8" t="s">
        <v>2008</v>
      </c>
      <c r="T96" s="8" t="s">
        <v>2009</v>
      </c>
      <c r="U96" s="8" t="s">
        <v>2010</v>
      </c>
      <c r="V96" s="8" t="s">
        <v>2011</v>
      </c>
      <c r="W96" s="8" t="s">
        <v>268</v>
      </c>
      <c r="X96" s="8" t="s">
        <v>300</v>
      </c>
      <c r="Y96" s="8" t="s">
        <v>2012</v>
      </c>
      <c r="Z96" s="8" t="s">
        <v>2013</v>
      </c>
      <c r="AA96" s="8" t="s">
        <v>312</v>
      </c>
      <c r="AB96" s="8"/>
      <c r="AC96" s="8" t="s">
        <v>2014</v>
      </c>
      <c r="AD96" s="8" t="s">
        <v>2015</v>
      </c>
      <c r="AE96" s="8" t="s">
        <v>362</v>
      </c>
      <c r="AF96" s="8" t="s">
        <v>1963</v>
      </c>
      <c r="AG96" s="8"/>
      <c r="AH96" s="11" t="s">
        <v>1146</v>
      </c>
      <c r="AI96" s="11"/>
      <c r="AJ96" s="8" t="s">
        <v>2016</v>
      </c>
    </row>
    <row r="97" spans="1:36" ht="60" customHeight="1">
      <c r="A97" s="8" t="s">
        <v>2017</v>
      </c>
      <c r="B97" s="8" t="s">
        <v>756</v>
      </c>
      <c r="C97" s="8" t="s">
        <v>396</v>
      </c>
      <c r="D97" s="8" t="s">
        <v>1139</v>
      </c>
      <c r="E97" s="8" t="s">
        <v>115</v>
      </c>
      <c r="F97" s="8" t="s">
        <v>80</v>
      </c>
      <c r="G97" s="8" t="s">
        <v>1213</v>
      </c>
      <c r="H97" s="8" t="s">
        <v>182</v>
      </c>
      <c r="I97" s="8" t="s">
        <v>1141</v>
      </c>
      <c r="J97" s="8" t="s">
        <v>1141</v>
      </c>
      <c r="K97" s="8" t="s">
        <v>1141</v>
      </c>
      <c r="L97" s="8" t="s">
        <v>1141</v>
      </c>
      <c r="M97" s="8" t="s">
        <v>421</v>
      </c>
      <c r="N97" s="8"/>
      <c r="O97" s="8">
        <v>1</v>
      </c>
      <c r="P97" s="8" t="s">
        <v>205</v>
      </c>
      <c r="Q97" s="8" t="s">
        <v>228</v>
      </c>
      <c r="R97" s="8" t="s">
        <v>236</v>
      </c>
      <c r="S97" s="8" t="s">
        <v>2018</v>
      </c>
      <c r="T97" s="8" t="s">
        <v>2019</v>
      </c>
      <c r="U97" s="8" t="s">
        <v>2020</v>
      </c>
      <c r="V97" s="8" t="s">
        <v>2021</v>
      </c>
      <c r="W97" s="8" t="s">
        <v>268</v>
      </c>
      <c r="X97" s="8" t="s">
        <v>300</v>
      </c>
      <c r="Y97" s="8" t="s">
        <v>2022</v>
      </c>
      <c r="Z97" s="8" t="s">
        <v>2023</v>
      </c>
      <c r="AA97" s="8" t="s">
        <v>312</v>
      </c>
      <c r="AB97" s="8"/>
      <c r="AC97" s="8" t="s">
        <v>2024</v>
      </c>
      <c r="AD97" s="8" t="s">
        <v>1251</v>
      </c>
      <c r="AE97" s="8" t="s">
        <v>362</v>
      </c>
      <c r="AF97" s="8" t="s">
        <v>1963</v>
      </c>
      <c r="AG97" s="8" t="s">
        <v>2025</v>
      </c>
      <c r="AH97" s="11" t="s">
        <v>1146</v>
      </c>
      <c r="AI97" s="11"/>
      <c r="AJ97" s="8" t="s">
        <v>2026</v>
      </c>
    </row>
    <row r="98" spans="1:36" ht="72" customHeight="1">
      <c r="A98" s="8" t="s">
        <v>2027</v>
      </c>
      <c r="B98" s="8" t="s">
        <v>760</v>
      </c>
      <c r="C98" s="8" t="s">
        <v>396</v>
      </c>
      <c r="D98" s="8" t="s">
        <v>1139</v>
      </c>
      <c r="E98" s="8" t="s">
        <v>115</v>
      </c>
      <c r="F98" s="8" t="s">
        <v>85</v>
      </c>
      <c r="G98" s="8" t="s">
        <v>1330</v>
      </c>
      <c r="H98" s="8" t="s">
        <v>163</v>
      </c>
      <c r="I98" s="8" t="s">
        <v>1141</v>
      </c>
      <c r="J98" s="8" t="s">
        <v>1141</v>
      </c>
      <c r="K98" s="8" t="s">
        <v>1141</v>
      </c>
      <c r="L98" s="8" t="s">
        <v>1141</v>
      </c>
      <c r="M98" s="8" t="s">
        <v>421</v>
      </c>
      <c r="N98" s="8"/>
      <c r="O98" s="8">
        <v>2</v>
      </c>
      <c r="P98" s="8" t="s">
        <v>196</v>
      </c>
      <c r="Q98" s="8" t="s">
        <v>228</v>
      </c>
      <c r="R98" s="8" t="s">
        <v>236</v>
      </c>
      <c r="S98" s="8" t="s">
        <v>2028</v>
      </c>
      <c r="T98" s="8" t="s">
        <v>2029</v>
      </c>
      <c r="U98" s="8" t="s">
        <v>2030</v>
      </c>
      <c r="V98" s="8" t="s">
        <v>2031</v>
      </c>
      <c r="W98" s="8" t="s">
        <v>268</v>
      </c>
      <c r="X98" s="8" t="s">
        <v>300</v>
      </c>
      <c r="Y98" s="8" t="s">
        <v>2032</v>
      </c>
      <c r="Z98" s="8" t="s">
        <v>2033</v>
      </c>
      <c r="AA98" s="8" t="s">
        <v>312</v>
      </c>
      <c r="AB98" s="8"/>
      <c r="AC98" s="8" t="s">
        <v>2034</v>
      </c>
      <c r="AD98" s="8" t="s">
        <v>2035</v>
      </c>
      <c r="AE98" s="8" t="s">
        <v>386</v>
      </c>
      <c r="AF98" s="8" t="s">
        <v>2036</v>
      </c>
      <c r="AG98" s="8" t="s">
        <v>2037</v>
      </c>
      <c r="AH98" s="11" t="s">
        <v>1146</v>
      </c>
      <c r="AI98" s="11"/>
      <c r="AJ98" s="8" t="s">
        <v>2038</v>
      </c>
    </row>
    <row r="99" spans="1:36" ht="60" customHeight="1">
      <c r="A99" s="8" t="s">
        <v>2039</v>
      </c>
      <c r="B99" s="8" t="s">
        <v>764</v>
      </c>
      <c r="C99" s="8" t="s">
        <v>396</v>
      </c>
      <c r="D99" s="8" t="s">
        <v>1139</v>
      </c>
      <c r="E99" s="8" t="s">
        <v>133</v>
      </c>
      <c r="F99" s="8" t="s">
        <v>65</v>
      </c>
      <c r="G99" s="8" t="s">
        <v>1149</v>
      </c>
      <c r="H99" s="8" t="s">
        <v>182</v>
      </c>
      <c r="I99" s="8" t="s">
        <v>1141</v>
      </c>
      <c r="J99" s="8" t="s">
        <v>1141</v>
      </c>
      <c r="K99" s="8" t="s">
        <v>1141</v>
      </c>
      <c r="L99" s="8" t="s">
        <v>1141</v>
      </c>
      <c r="M99" s="8" t="s">
        <v>421</v>
      </c>
      <c r="N99" s="8"/>
      <c r="O99" s="8">
        <v>1</v>
      </c>
      <c r="P99" s="8" t="s">
        <v>205</v>
      </c>
      <c r="Q99" s="8" t="s">
        <v>228</v>
      </c>
      <c r="R99" s="8" t="s">
        <v>236</v>
      </c>
      <c r="S99" s="8" t="s">
        <v>2040</v>
      </c>
      <c r="T99" s="8" t="s">
        <v>2041</v>
      </c>
      <c r="U99" s="8" t="s">
        <v>2042</v>
      </c>
      <c r="V99" s="8" t="s">
        <v>2043</v>
      </c>
      <c r="W99" s="8" t="s">
        <v>274</v>
      </c>
      <c r="X99" s="8" t="s">
        <v>300</v>
      </c>
      <c r="Y99" s="8" t="s">
        <v>2044</v>
      </c>
      <c r="Z99" s="8" t="s">
        <v>2045</v>
      </c>
      <c r="AA99" s="8" t="s">
        <v>333</v>
      </c>
      <c r="AB99" s="8"/>
      <c r="AC99" s="8" t="s">
        <v>2046</v>
      </c>
      <c r="AD99" s="8" t="s">
        <v>2047</v>
      </c>
      <c r="AE99" s="8" t="s">
        <v>362</v>
      </c>
      <c r="AF99" s="8" t="s">
        <v>1963</v>
      </c>
      <c r="AG99" s="8"/>
      <c r="AH99" s="11" t="s">
        <v>1146</v>
      </c>
      <c r="AI99" s="11"/>
      <c r="AJ99" s="8" t="s">
        <v>2048</v>
      </c>
    </row>
    <row r="100" spans="1:36" ht="60" customHeight="1">
      <c r="A100" s="8" t="s">
        <v>2049</v>
      </c>
      <c r="B100" s="8" t="s">
        <v>768</v>
      </c>
      <c r="C100" s="8" t="s">
        <v>396</v>
      </c>
      <c r="D100" s="8" t="s">
        <v>1139</v>
      </c>
      <c r="E100" s="8" t="s">
        <v>118</v>
      </c>
      <c r="F100" s="8" t="s">
        <v>90</v>
      </c>
      <c r="G100" s="8" t="s">
        <v>1161</v>
      </c>
      <c r="H100" s="8" t="s">
        <v>182</v>
      </c>
      <c r="I100" s="8" t="s">
        <v>1141</v>
      </c>
      <c r="J100" s="8" t="s">
        <v>1141</v>
      </c>
      <c r="K100" s="8" t="s">
        <v>1141</v>
      </c>
      <c r="L100" s="8" t="s">
        <v>1141</v>
      </c>
      <c r="M100" s="8" t="s">
        <v>421</v>
      </c>
      <c r="N100" s="8"/>
      <c r="O100" s="8">
        <v>1</v>
      </c>
      <c r="P100" s="8" t="s">
        <v>205</v>
      </c>
      <c r="Q100" s="8" t="s">
        <v>228</v>
      </c>
      <c r="R100" s="8" t="s">
        <v>236</v>
      </c>
      <c r="S100" s="8" t="s">
        <v>2050</v>
      </c>
      <c r="T100" s="8" t="s">
        <v>2051</v>
      </c>
      <c r="U100" s="8" t="s">
        <v>2052</v>
      </c>
      <c r="V100" s="8" t="s">
        <v>2053</v>
      </c>
      <c r="W100" s="8" t="s">
        <v>274</v>
      </c>
      <c r="X100" s="8" t="s">
        <v>300</v>
      </c>
      <c r="Y100" s="8" t="s">
        <v>2054</v>
      </c>
      <c r="Z100" s="8" t="s">
        <v>2055</v>
      </c>
      <c r="AA100" s="8" t="s">
        <v>333</v>
      </c>
      <c r="AB100" s="8"/>
      <c r="AC100" s="8" t="s">
        <v>2056</v>
      </c>
      <c r="AD100" s="8" t="s">
        <v>1825</v>
      </c>
      <c r="AE100" s="8" t="s">
        <v>362</v>
      </c>
      <c r="AF100" s="8" t="s">
        <v>2057</v>
      </c>
      <c r="AG100" s="8"/>
      <c r="AH100" s="11" t="s">
        <v>1146</v>
      </c>
      <c r="AI100" s="11"/>
      <c r="AJ100" s="8" t="s">
        <v>2058</v>
      </c>
    </row>
    <row r="101" spans="1:36" ht="60" customHeight="1">
      <c r="A101" s="8" t="s">
        <v>2059</v>
      </c>
      <c r="B101" s="8" t="s">
        <v>772</v>
      </c>
      <c r="C101" s="8" t="s">
        <v>396</v>
      </c>
      <c r="D101" s="8" t="s">
        <v>1139</v>
      </c>
      <c r="E101" s="8" t="s">
        <v>124</v>
      </c>
      <c r="F101" s="8" t="s">
        <v>70</v>
      </c>
      <c r="G101" s="8" t="s">
        <v>1149</v>
      </c>
      <c r="H101" s="8" t="s">
        <v>182</v>
      </c>
      <c r="I101" s="8" t="s">
        <v>1141</v>
      </c>
      <c r="J101" s="8" t="s">
        <v>1141</v>
      </c>
      <c r="K101" s="8" t="s">
        <v>1141</v>
      </c>
      <c r="L101" s="8" t="s">
        <v>1141</v>
      </c>
      <c r="M101" s="8" t="s">
        <v>421</v>
      </c>
      <c r="N101" s="8"/>
      <c r="O101" s="8">
        <v>1</v>
      </c>
      <c r="P101" s="8" t="s">
        <v>205</v>
      </c>
      <c r="Q101" s="8" t="s">
        <v>228</v>
      </c>
      <c r="R101" s="8" t="s">
        <v>236</v>
      </c>
      <c r="S101" s="8" t="s">
        <v>2060</v>
      </c>
      <c r="T101" s="8" t="s">
        <v>2061</v>
      </c>
      <c r="U101" s="8" t="s">
        <v>2062</v>
      </c>
      <c r="V101" s="8" t="s">
        <v>2063</v>
      </c>
      <c r="W101" s="8" t="s">
        <v>274</v>
      </c>
      <c r="X101" s="8" t="s">
        <v>300</v>
      </c>
      <c r="Y101" s="8" t="s">
        <v>2064</v>
      </c>
      <c r="Z101" s="8" t="s">
        <v>2065</v>
      </c>
      <c r="AA101" s="8" t="s">
        <v>333</v>
      </c>
      <c r="AB101" s="8"/>
      <c r="AC101" s="8" t="s">
        <v>2066</v>
      </c>
      <c r="AD101" s="8" t="s">
        <v>1825</v>
      </c>
      <c r="AE101" s="8" t="s">
        <v>362</v>
      </c>
      <c r="AF101" s="8" t="s">
        <v>1963</v>
      </c>
      <c r="AG101" s="8"/>
      <c r="AH101" s="11" t="s">
        <v>1146</v>
      </c>
      <c r="AI101" s="11"/>
      <c r="AJ101" s="8" t="s">
        <v>2067</v>
      </c>
    </row>
    <row r="102" spans="1:36" ht="72" customHeight="1">
      <c r="A102" s="8" t="s">
        <v>2068</v>
      </c>
      <c r="B102" s="8" t="s">
        <v>776</v>
      </c>
      <c r="C102" s="8" t="s">
        <v>396</v>
      </c>
      <c r="D102" s="8" t="s">
        <v>1139</v>
      </c>
      <c r="E102" s="8" t="s">
        <v>133</v>
      </c>
      <c r="F102" s="8" t="s">
        <v>90</v>
      </c>
      <c r="G102" s="8" t="s">
        <v>1161</v>
      </c>
      <c r="H102" s="8" t="s">
        <v>182</v>
      </c>
      <c r="I102" s="8" t="s">
        <v>1141</v>
      </c>
      <c r="J102" s="8" t="s">
        <v>1141</v>
      </c>
      <c r="K102" s="8" t="s">
        <v>1141</v>
      </c>
      <c r="L102" s="8" t="s">
        <v>1141</v>
      </c>
      <c r="M102" s="8" t="s">
        <v>421</v>
      </c>
      <c r="N102" s="8"/>
      <c r="O102" s="8">
        <v>1</v>
      </c>
      <c r="P102" s="8" t="s">
        <v>199</v>
      </c>
      <c r="Q102" s="8" t="s">
        <v>228</v>
      </c>
      <c r="R102" s="8" t="s">
        <v>236</v>
      </c>
      <c r="S102" s="8" t="s">
        <v>2069</v>
      </c>
      <c r="T102" s="8" t="s">
        <v>2070</v>
      </c>
      <c r="U102" s="8" t="s">
        <v>2071</v>
      </c>
      <c r="V102" s="8" t="s">
        <v>2072</v>
      </c>
      <c r="W102" s="8" t="s">
        <v>274</v>
      </c>
      <c r="X102" s="8" t="s">
        <v>300</v>
      </c>
      <c r="Y102" s="8" t="s">
        <v>2073</v>
      </c>
      <c r="Z102" s="8" t="s">
        <v>2045</v>
      </c>
      <c r="AA102" s="8" t="s">
        <v>333</v>
      </c>
      <c r="AB102" s="8"/>
      <c r="AC102" s="8" t="s">
        <v>2074</v>
      </c>
      <c r="AD102" s="8" t="s">
        <v>1626</v>
      </c>
      <c r="AE102" s="8" t="s">
        <v>362</v>
      </c>
      <c r="AF102" s="8" t="s">
        <v>2075</v>
      </c>
      <c r="AG102" s="8"/>
      <c r="AH102" s="11" t="s">
        <v>1146</v>
      </c>
      <c r="AI102" s="11"/>
      <c r="AJ102" s="8" t="s">
        <v>2076</v>
      </c>
    </row>
    <row r="103" spans="1:36" ht="72" customHeight="1">
      <c r="A103" s="8" t="s">
        <v>2077</v>
      </c>
      <c r="B103" s="8" t="s">
        <v>780</v>
      </c>
      <c r="C103" s="8" t="s">
        <v>396</v>
      </c>
      <c r="D103" s="8" t="s">
        <v>1139</v>
      </c>
      <c r="E103" s="8" t="s">
        <v>99</v>
      </c>
      <c r="F103" s="8" t="s">
        <v>70</v>
      </c>
      <c r="G103" s="8" t="s">
        <v>1161</v>
      </c>
      <c r="H103" s="8" t="s">
        <v>182</v>
      </c>
      <c r="I103" s="8" t="s">
        <v>1141</v>
      </c>
      <c r="J103" s="8" t="s">
        <v>1141</v>
      </c>
      <c r="K103" s="8" t="s">
        <v>1141</v>
      </c>
      <c r="L103" s="8" t="s">
        <v>1141</v>
      </c>
      <c r="M103" s="8" t="s">
        <v>421</v>
      </c>
      <c r="N103" s="8"/>
      <c r="O103" s="8">
        <v>1</v>
      </c>
      <c r="P103" s="8" t="s">
        <v>205</v>
      </c>
      <c r="Q103" s="8" t="s">
        <v>228</v>
      </c>
      <c r="R103" s="8" t="s">
        <v>236</v>
      </c>
      <c r="S103" s="8" t="s">
        <v>2078</v>
      </c>
      <c r="T103" s="8" t="s">
        <v>2079</v>
      </c>
      <c r="U103" s="8" t="s">
        <v>2080</v>
      </c>
      <c r="V103" s="8" t="s">
        <v>2081</v>
      </c>
      <c r="W103" s="8" t="s">
        <v>274</v>
      </c>
      <c r="X103" s="8" t="s">
        <v>300</v>
      </c>
      <c r="Y103" s="8" t="s">
        <v>2082</v>
      </c>
      <c r="Z103" s="8" t="s">
        <v>2083</v>
      </c>
      <c r="AA103" s="8" t="s">
        <v>333</v>
      </c>
      <c r="AB103" s="8"/>
      <c r="AC103" s="8" t="s">
        <v>2084</v>
      </c>
      <c r="AD103" s="8" t="s">
        <v>1825</v>
      </c>
      <c r="AE103" s="8" t="s">
        <v>362</v>
      </c>
      <c r="AF103" s="8" t="s">
        <v>1963</v>
      </c>
      <c r="AG103" s="8"/>
      <c r="AH103" s="11" t="s">
        <v>1146</v>
      </c>
      <c r="AI103" s="11"/>
      <c r="AJ103" s="8" t="s">
        <v>2085</v>
      </c>
    </row>
    <row r="104" spans="1:36" ht="72" customHeight="1">
      <c r="A104" s="8" t="s">
        <v>2086</v>
      </c>
      <c r="B104" s="8" t="s">
        <v>784</v>
      </c>
      <c r="C104" s="8" t="s">
        <v>396</v>
      </c>
      <c r="D104" s="8" t="s">
        <v>1139</v>
      </c>
      <c r="E104" s="8" t="s">
        <v>124</v>
      </c>
      <c r="F104" s="8" t="s">
        <v>70</v>
      </c>
      <c r="G104" s="8" t="s">
        <v>1140</v>
      </c>
      <c r="H104" s="8" t="s">
        <v>163</v>
      </c>
      <c r="I104" s="8" t="s">
        <v>1141</v>
      </c>
      <c r="J104" s="8" t="s">
        <v>1141</v>
      </c>
      <c r="K104" s="8" t="s">
        <v>1141</v>
      </c>
      <c r="L104" s="8" t="s">
        <v>1141</v>
      </c>
      <c r="M104" s="8" t="s">
        <v>421</v>
      </c>
      <c r="N104" s="8"/>
      <c r="O104" s="8">
        <v>1</v>
      </c>
      <c r="P104" s="8" t="s">
        <v>205</v>
      </c>
      <c r="Q104" s="8" t="s">
        <v>228</v>
      </c>
      <c r="R104" s="8" t="s">
        <v>236</v>
      </c>
      <c r="S104" s="8" t="s">
        <v>2087</v>
      </c>
      <c r="T104" s="8" t="s">
        <v>2088</v>
      </c>
      <c r="U104" s="8" t="s">
        <v>2089</v>
      </c>
      <c r="V104" s="8" t="s">
        <v>2090</v>
      </c>
      <c r="W104" s="8" t="s">
        <v>256</v>
      </c>
      <c r="X104" s="8" t="s">
        <v>300</v>
      </c>
      <c r="Y104" s="8" t="s">
        <v>2091</v>
      </c>
      <c r="Z104" s="8" t="s">
        <v>2092</v>
      </c>
      <c r="AA104" s="8" t="s">
        <v>312</v>
      </c>
      <c r="AB104" s="8"/>
      <c r="AC104" s="8" t="s">
        <v>2093</v>
      </c>
      <c r="AD104" s="8" t="s">
        <v>2094</v>
      </c>
      <c r="AE104" s="8" t="s">
        <v>362</v>
      </c>
      <c r="AF104" s="8" t="s">
        <v>1963</v>
      </c>
      <c r="AG104" s="8"/>
      <c r="AH104" s="11" t="s">
        <v>1146</v>
      </c>
      <c r="AI104" s="11"/>
      <c r="AJ104" s="8" t="s">
        <v>2095</v>
      </c>
    </row>
    <row r="105" spans="1:36" ht="107.25" customHeight="1">
      <c r="A105" s="8" t="s">
        <v>2096</v>
      </c>
      <c r="B105" s="8" t="s">
        <v>788</v>
      </c>
      <c r="C105" s="8" t="s">
        <v>396</v>
      </c>
      <c r="D105" s="8" t="s">
        <v>1139</v>
      </c>
      <c r="E105" s="8" t="s">
        <v>106</v>
      </c>
      <c r="F105" s="8" t="s">
        <v>70</v>
      </c>
      <c r="G105" s="8" t="s">
        <v>1140</v>
      </c>
      <c r="H105" s="8" t="s">
        <v>163</v>
      </c>
      <c r="I105" s="8" t="s">
        <v>1141</v>
      </c>
      <c r="J105" s="8" t="s">
        <v>1141</v>
      </c>
      <c r="K105" s="8" t="s">
        <v>1141</v>
      </c>
      <c r="L105" s="8" t="s">
        <v>1141</v>
      </c>
      <c r="M105" s="8" t="s">
        <v>421</v>
      </c>
      <c r="N105" s="8"/>
      <c r="O105" s="8">
        <v>3</v>
      </c>
      <c r="P105" s="8" t="s">
        <v>193</v>
      </c>
      <c r="Q105" s="8" t="s">
        <v>228</v>
      </c>
      <c r="R105" s="8" t="s">
        <v>236</v>
      </c>
      <c r="S105" s="8" t="s">
        <v>2097</v>
      </c>
      <c r="T105" s="8" t="s">
        <v>2098</v>
      </c>
      <c r="U105" s="8" t="s">
        <v>2099</v>
      </c>
      <c r="V105" s="8" t="s">
        <v>2100</v>
      </c>
      <c r="W105" s="8" t="s">
        <v>274</v>
      </c>
      <c r="X105" s="8" t="s">
        <v>300</v>
      </c>
      <c r="Y105" s="8" t="s">
        <v>2101</v>
      </c>
      <c r="Z105" s="8" t="s">
        <v>2102</v>
      </c>
      <c r="AA105" s="8" t="s">
        <v>333</v>
      </c>
      <c r="AB105" s="8"/>
      <c r="AC105" s="8" t="s">
        <v>2103</v>
      </c>
      <c r="AD105" s="8" t="s">
        <v>1825</v>
      </c>
      <c r="AE105" s="8" t="s">
        <v>362</v>
      </c>
      <c r="AF105" s="8" t="s">
        <v>2104</v>
      </c>
      <c r="AG105" s="8" t="s">
        <v>2105</v>
      </c>
      <c r="AH105" s="11" t="s">
        <v>1146</v>
      </c>
      <c r="AI105" s="11"/>
      <c r="AJ105" s="8" t="s">
        <v>2106</v>
      </c>
    </row>
    <row r="106" spans="1:36" ht="84" customHeight="1">
      <c r="A106" s="8" t="s">
        <v>2107</v>
      </c>
      <c r="B106" s="8" t="s">
        <v>792</v>
      </c>
      <c r="C106" s="8" t="s">
        <v>396</v>
      </c>
      <c r="D106" s="8" t="s">
        <v>1139</v>
      </c>
      <c r="E106" s="8" t="s">
        <v>133</v>
      </c>
      <c r="F106" s="8" t="s">
        <v>85</v>
      </c>
      <c r="G106" s="8" t="s">
        <v>1140</v>
      </c>
      <c r="H106" s="8" t="s">
        <v>163</v>
      </c>
      <c r="I106" s="8" t="s">
        <v>1141</v>
      </c>
      <c r="J106" s="8" t="s">
        <v>1141</v>
      </c>
      <c r="K106" s="8" t="s">
        <v>1141</v>
      </c>
      <c r="L106" s="8" t="s">
        <v>1141</v>
      </c>
      <c r="M106" s="8" t="s">
        <v>421</v>
      </c>
      <c r="N106" s="8"/>
      <c r="O106" s="8">
        <v>2</v>
      </c>
      <c r="P106" s="8" t="s">
        <v>199</v>
      </c>
      <c r="Q106" s="8" t="s">
        <v>228</v>
      </c>
      <c r="R106" s="8" t="s">
        <v>239</v>
      </c>
      <c r="S106" s="8" t="s">
        <v>2108</v>
      </c>
      <c r="T106" s="8" t="s">
        <v>2109</v>
      </c>
      <c r="U106" s="8" t="s">
        <v>2110</v>
      </c>
      <c r="V106" s="8" t="s">
        <v>2111</v>
      </c>
      <c r="W106" s="8" t="s">
        <v>271</v>
      </c>
      <c r="X106" s="8" t="s">
        <v>300</v>
      </c>
      <c r="Y106" s="8" t="s">
        <v>2112</v>
      </c>
      <c r="Z106" s="8" t="s">
        <v>2113</v>
      </c>
      <c r="AA106" s="8" t="s">
        <v>333</v>
      </c>
      <c r="AB106" s="8" t="s">
        <v>347</v>
      </c>
      <c r="AC106" s="8" t="s">
        <v>2114</v>
      </c>
      <c r="AD106" s="8" t="s">
        <v>2115</v>
      </c>
      <c r="AE106" s="8" t="s">
        <v>380</v>
      </c>
      <c r="AF106" s="8" t="s">
        <v>2116</v>
      </c>
      <c r="AG106" s="8" t="s">
        <v>2117</v>
      </c>
      <c r="AH106" s="11" t="s">
        <v>1146</v>
      </c>
      <c r="AI106" s="11"/>
      <c r="AJ106" s="8" t="s">
        <v>2118</v>
      </c>
    </row>
    <row r="107" spans="1:36" ht="72" customHeight="1">
      <c r="A107" s="8" t="s">
        <v>2119</v>
      </c>
      <c r="B107" s="8" t="s">
        <v>795</v>
      </c>
      <c r="C107" s="8" t="s">
        <v>396</v>
      </c>
      <c r="D107" s="8" t="s">
        <v>1139</v>
      </c>
      <c r="E107" s="8" t="s">
        <v>124</v>
      </c>
      <c r="F107" s="8" t="s">
        <v>70</v>
      </c>
      <c r="G107" s="8" t="s">
        <v>1149</v>
      </c>
      <c r="H107" s="8" t="s">
        <v>182</v>
      </c>
      <c r="I107" s="8" t="s">
        <v>1141</v>
      </c>
      <c r="J107" s="8" t="s">
        <v>1141</v>
      </c>
      <c r="K107" s="8" t="s">
        <v>1141</v>
      </c>
      <c r="L107" s="8" t="s">
        <v>1141</v>
      </c>
      <c r="M107" s="8" t="s">
        <v>421</v>
      </c>
      <c r="N107" s="8"/>
      <c r="O107" s="8">
        <v>1</v>
      </c>
      <c r="P107" s="8" t="s">
        <v>199</v>
      </c>
      <c r="Q107" s="8" t="s">
        <v>228</v>
      </c>
      <c r="R107" s="8" t="s">
        <v>236</v>
      </c>
      <c r="S107" s="8" t="s">
        <v>2120</v>
      </c>
      <c r="T107" s="8" t="s">
        <v>2121</v>
      </c>
      <c r="U107" s="8" t="s">
        <v>2122</v>
      </c>
      <c r="V107" s="8" t="s">
        <v>2123</v>
      </c>
      <c r="W107" s="8" t="s">
        <v>274</v>
      </c>
      <c r="X107" s="8" t="s">
        <v>300</v>
      </c>
      <c r="Y107" s="8" t="s">
        <v>2124</v>
      </c>
      <c r="Z107" s="8" t="s">
        <v>2125</v>
      </c>
      <c r="AA107" s="8" t="s">
        <v>333</v>
      </c>
      <c r="AB107" s="8"/>
      <c r="AC107" s="8" t="s">
        <v>2126</v>
      </c>
      <c r="AD107" s="8" t="s">
        <v>1825</v>
      </c>
      <c r="AE107" s="8" t="s">
        <v>362</v>
      </c>
      <c r="AF107" s="8" t="s">
        <v>2127</v>
      </c>
      <c r="AG107" s="8" t="s">
        <v>2128</v>
      </c>
      <c r="AH107" s="11" t="s">
        <v>1146</v>
      </c>
      <c r="AI107" s="11"/>
      <c r="AJ107" s="8" t="s">
        <v>2129</v>
      </c>
    </row>
    <row r="108" spans="1:36" ht="84" customHeight="1">
      <c r="A108" s="8" t="s">
        <v>2130</v>
      </c>
      <c r="B108" s="8" t="s">
        <v>799</v>
      </c>
      <c r="C108" s="8" t="s">
        <v>396</v>
      </c>
      <c r="D108" s="8" t="s">
        <v>1139</v>
      </c>
      <c r="E108" s="8" t="s">
        <v>112</v>
      </c>
      <c r="F108" s="8" t="s">
        <v>75</v>
      </c>
      <c r="G108" s="8" t="s">
        <v>1642</v>
      </c>
      <c r="H108" s="8" t="s">
        <v>150</v>
      </c>
      <c r="I108" s="8" t="s">
        <v>1141</v>
      </c>
      <c r="J108" s="8" t="s">
        <v>1141</v>
      </c>
      <c r="K108" s="8" t="s">
        <v>1141</v>
      </c>
      <c r="L108" s="8" t="s">
        <v>1141</v>
      </c>
      <c r="M108" s="8" t="s">
        <v>421</v>
      </c>
      <c r="N108" s="8"/>
      <c r="O108" s="8">
        <v>1</v>
      </c>
      <c r="P108" s="8" t="s">
        <v>205</v>
      </c>
      <c r="Q108" s="8" t="s">
        <v>228</v>
      </c>
      <c r="R108" s="8" t="s">
        <v>239</v>
      </c>
      <c r="S108" s="8" t="s">
        <v>2131</v>
      </c>
      <c r="T108" s="8" t="s">
        <v>2132</v>
      </c>
      <c r="U108" s="8" t="s">
        <v>2133</v>
      </c>
      <c r="V108" s="8" t="s">
        <v>2134</v>
      </c>
      <c r="W108" s="8" t="s">
        <v>256</v>
      </c>
      <c r="X108" s="8" t="s">
        <v>300</v>
      </c>
      <c r="Y108" s="8" t="s">
        <v>2135</v>
      </c>
      <c r="Z108" s="8" t="s">
        <v>2136</v>
      </c>
      <c r="AA108" s="8" t="s">
        <v>333</v>
      </c>
      <c r="AB108" s="8"/>
      <c r="AC108" s="8" t="s">
        <v>2137</v>
      </c>
      <c r="AD108" s="8" t="s">
        <v>1825</v>
      </c>
      <c r="AE108" s="8" t="s">
        <v>362</v>
      </c>
      <c r="AF108" s="8" t="s">
        <v>2138</v>
      </c>
      <c r="AG108" s="8"/>
      <c r="AH108" s="11" t="s">
        <v>1146</v>
      </c>
      <c r="AI108" s="11"/>
      <c r="AJ108" s="8" t="s">
        <v>2139</v>
      </c>
    </row>
    <row r="109" spans="1:36" ht="84" customHeight="1">
      <c r="A109" s="8" t="s">
        <v>2140</v>
      </c>
      <c r="B109" s="8" t="s">
        <v>803</v>
      </c>
      <c r="C109" s="8" t="s">
        <v>396</v>
      </c>
      <c r="D109" s="8" t="s">
        <v>1139</v>
      </c>
      <c r="E109" s="8" t="s">
        <v>112</v>
      </c>
      <c r="F109" s="8" t="s">
        <v>65</v>
      </c>
      <c r="G109" s="8" t="s">
        <v>1149</v>
      </c>
      <c r="H109" s="8" t="s">
        <v>182</v>
      </c>
      <c r="I109" s="8" t="s">
        <v>1141</v>
      </c>
      <c r="J109" s="8" t="s">
        <v>1141</v>
      </c>
      <c r="K109" s="8" t="s">
        <v>1141</v>
      </c>
      <c r="L109" s="8" t="s">
        <v>1141</v>
      </c>
      <c r="M109" s="8" t="s">
        <v>421</v>
      </c>
      <c r="N109" s="8"/>
      <c r="O109" s="8">
        <v>2</v>
      </c>
      <c r="P109" s="8" t="s">
        <v>199</v>
      </c>
      <c r="Q109" s="8" t="s">
        <v>228</v>
      </c>
      <c r="R109" s="8" t="s">
        <v>236</v>
      </c>
      <c r="S109" s="8" t="s">
        <v>2141</v>
      </c>
      <c r="T109" s="8" t="s">
        <v>2142</v>
      </c>
      <c r="U109" s="8" t="s">
        <v>2143</v>
      </c>
      <c r="V109" s="8" t="s">
        <v>2144</v>
      </c>
      <c r="W109" s="8" t="s">
        <v>268</v>
      </c>
      <c r="X109" s="8" t="s">
        <v>300</v>
      </c>
      <c r="Y109" s="8" t="s">
        <v>2145</v>
      </c>
      <c r="Z109" s="8" t="s">
        <v>2146</v>
      </c>
      <c r="AA109" s="8" t="s">
        <v>312</v>
      </c>
      <c r="AB109" s="8" t="s">
        <v>347</v>
      </c>
      <c r="AC109" s="8" t="s">
        <v>2147</v>
      </c>
      <c r="AD109" s="8" t="s">
        <v>2148</v>
      </c>
      <c r="AE109" s="8" t="s">
        <v>362</v>
      </c>
      <c r="AF109" s="8" t="s">
        <v>2149</v>
      </c>
      <c r="AG109" s="8" t="s">
        <v>2150</v>
      </c>
      <c r="AH109" s="11" t="s">
        <v>1146</v>
      </c>
      <c r="AI109" s="11"/>
      <c r="AJ109" s="8" t="s">
        <v>2151</v>
      </c>
    </row>
    <row r="110" spans="1:36" ht="72" customHeight="1">
      <c r="A110" s="8" t="s">
        <v>2152</v>
      </c>
      <c r="B110" s="8" t="s">
        <v>807</v>
      </c>
      <c r="C110" s="8" t="s">
        <v>396</v>
      </c>
      <c r="D110" s="8" t="s">
        <v>1139</v>
      </c>
      <c r="E110" s="8" t="s">
        <v>124</v>
      </c>
      <c r="F110" s="8" t="s">
        <v>70</v>
      </c>
      <c r="G110" s="8" t="s">
        <v>1213</v>
      </c>
      <c r="H110" s="8" t="s">
        <v>182</v>
      </c>
      <c r="I110" s="8" t="s">
        <v>1141</v>
      </c>
      <c r="J110" s="8" t="s">
        <v>1141</v>
      </c>
      <c r="K110" s="8" t="s">
        <v>1141</v>
      </c>
      <c r="L110" s="8" t="s">
        <v>1141</v>
      </c>
      <c r="M110" s="8" t="s">
        <v>421</v>
      </c>
      <c r="N110" s="8"/>
      <c r="O110" s="8">
        <v>3</v>
      </c>
      <c r="P110" s="8" t="s">
        <v>193</v>
      </c>
      <c r="Q110" s="8" t="s">
        <v>228</v>
      </c>
      <c r="R110" s="8" t="s">
        <v>236</v>
      </c>
      <c r="S110" s="8" t="s">
        <v>2153</v>
      </c>
      <c r="T110" s="8" t="s">
        <v>2154</v>
      </c>
      <c r="U110" s="8" t="s">
        <v>2155</v>
      </c>
      <c r="V110" s="8" t="s">
        <v>2156</v>
      </c>
      <c r="W110" s="8" t="s">
        <v>250</v>
      </c>
      <c r="X110" s="8" t="s">
        <v>309</v>
      </c>
      <c r="Y110" s="8" t="s">
        <v>2157</v>
      </c>
      <c r="Z110" s="8" t="s">
        <v>2158</v>
      </c>
      <c r="AA110" s="8" t="s">
        <v>312</v>
      </c>
      <c r="AB110" s="8"/>
      <c r="AC110" s="8" t="s">
        <v>2159</v>
      </c>
      <c r="AD110" s="8" t="s">
        <v>2115</v>
      </c>
      <c r="AE110" s="8" t="s">
        <v>380</v>
      </c>
      <c r="AF110" s="8" t="s">
        <v>2160</v>
      </c>
      <c r="AG110" s="8" t="s">
        <v>2161</v>
      </c>
      <c r="AH110" s="11" t="s">
        <v>1146</v>
      </c>
      <c r="AI110" s="11"/>
      <c r="AJ110" s="8" t="s">
        <v>2162</v>
      </c>
    </row>
    <row r="111" spans="1:36" ht="60" customHeight="1">
      <c r="A111" s="8" t="s">
        <v>2163</v>
      </c>
      <c r="B111" s="8" t="s">
        <v>811</v>
      </c>
      <c r="C111" s="8" t="s">
        <v>396</v>
      </c>
      <c r="D111" s="8" t="s">
        <v>1139</v>
      </c>
      <c r="E111" s="8" t="s">
        <v>133</v>
      </c>
      <c r="F111" s="8" t="s">
        <v>90</v>
      </c>
      <c r="G111" s="8" t="s">
        <v>1161</v>
      </c>
      <c r="H111" s="8" t="s">
        <v>182</v>
      </c>
      <c r="I111" s="8" t="s">
        <v>1141</v>
      </c>
      <c r="J111" s="8" t="s">
        <v>1141</v>
      </c>
      <c r="K111" s="8" t="s">
        <v>1141</v>
      </c>
      <c r="L111" s="8" t="s">
        <v>1141</v>
      </c>
      <c r="M111" s="8" t="s">
        <v>421</v>
      </c>
      <c r="N111" s="8"/>
      <c r="O111" s="8">
        <v>1</v>
      </c>
      <c r="P111" s="8" t="s">
        <v>205</v>
      </c>
      <c r="Q111" s="8" t="s">
        <v>228</v>
      </c>
      <c r="R111" s="8" t="s">
        <v>236</v>
      </c>
      <c r="S111" s="8" t="s">
        <v>2164</v>
      </c>
      <c r="T111" s="8" t="s">
        <v>2165</v>
      </c>
      <c r="U111" s="8" t="s">
        <v>2166</v>
      </c>
      <c r="V111" s="8" t="s">
        <v>2167</v>
      </c>
      <c r="W111" s="8" t="s">
        <v>268</v>
      </c>
      <c r="X111" s="8" t="s">
        <v>300</v>
      </c>
      <c r="Y111" s="8" t="s">
        <v>2168</v>
      </c>
      <c r="Z111" s="8" t="s">
        <v>2169</v>
      </c>
      <c r="AA111" s="8" t="s">
        <v>333</v>
      </c>
      <c r="AB111" s="8"/>
      <c r="AC111" s="8" t="s">
        <v>2170</v>
      </c>
      <c r="AD111" s="8" t="s">
        <v>2171</v>
      </c>
      <c r="AE111" s="8" t="s">
        <v>383</v>
      </c>
      <c r="AF111" s="8" t="s">
        <v>1963</v>
      </c>
      <c r="AG111" s="8"/>
      <c r="AH111" s="11" t="s">
        <v>1146</v>
      </c>
      <c r="AI111" s="11"/>
      <c r="AJ111" s="8" t="s">
        <v>2172</v>
      </c>
    </row>
    <row r="112" spans="1:36" ht="84" customHeight="1">
      <c r="A112" s="8" t="s">
        <v>2173</v>
      </c>
      <c r="B112" s="8" t="s">
        <v>815</v>
      </c>
      <c r="C112" s="8" t="s">
        <v>396</v>
      </c>
      <c r="D112" s="8" t="s">
        <v>1139</v>
      </c>
      <c r="E112" s="8" t="s">
        <v>136</v>
      </c>
      <c r="F112" s="8" t="s">
        <v>75</v>
      </c>
      <c r="G112" s="8" t="s">
        <v>1213</v>
      </c>
      <c r="H112" s="8" t="s">
        <v>182</v>
      </c>
      <c r="I112" s="8" t="s">
        <v>1141</v>
      </c>
      <c r="J112" s="8" t="s">
        <v>1141</v>
      </c>
      <c r="K112" s="8" t="s">
        <v>1141</v>
      </c>
      <c r="L112" s="8" t="s">
        <v>1141</v>
      </c>
      <c r="M112" s="8" t="s">
        <v>421</v>
      </c>
      <c r="N112" s="8"/>
      <c r="O112" s="8">
        <v>1</v>
      </c>
      <c r="P112" s="8" t="s">
        <v>205</v>
      </c>
      <c r="Q112" s="8" t="s">
        <v>228</v>
      </c>
      <c r="R112" s="8" t="s">
        <v>236</v>
      </c>
      <c r="S112" s="8" t="s">
        <v>2174</v>
      </c>
      <c r="T112" s="8" t="s">
        <v>2175</v>
      </c>
      <c r="U112" s="8" t="s">
        <v>2176</v>
      </c>
      <c r="V112" s="8" t="s">
        <v>2177</v>
      </c>
      <c r="W112" s="8" t="s">
        <v>268</v>
      </c>
      <c r="X112" s="8" t="s">
        <v>300</v>
      </c>
      <c r="Y112" s="8" t="s">
        <v>2178</v>
      </c>
      <c r="Z112" s="8" t="s">
        <v>2023</v>
      </c>
      <c r="AA112" s="8" t="s">
        <v>312</v>
      </c>
      <c r="AB112" s="8"/>
      <c r="AC112" s="8" t="s">
        <v>2179</v>
      </c>
      <c r="AD112" s="8" t="s">
        <v>1251</v>
      </c>
      <c r="AE112" s="8" t="s">
        <v>362</v>
      </c>
      <c r="AF112" s="8" t="s">
        <v>1963</v>
      </c>
      <c r="AG112" s="8"/>
      <c r="AH112" s="11" t="s">
        <v>1146</v>
      </c>
      <c r="AI112" s="11"/>
      <c r="AJ112" s="8" t="s">
        <v>2180</v>
      </c>
    </row>
    <row r="113" spans="1:36" ht="60" customHeight="1">
      <c r="A113" s="8" t="s">
        <v>2181</v>
      </c>
      <c r="B113" s="8" t="s">
        <v>819</v>
      </c>
      <c r="C113" s="8" t="s">
        <v>396</v>
      </c>
      <c r="D113" s="8" t="s">
        <v>1139</v>
      </c>
      <c r="E113" s="8" t="s">
        <v>118</v>
      </c>
      <c r="F113" s="8" t="s">
        <v>90</v>
      </c>
      <c r="G113" s="8" t="s">
        <v>1161</v>
      </c>
      <c r="H113" s="8" t="s">
        <v>182</v>
      </c>
      <c r="I113" s="8" t="s">
        <v>1141</v>
      </c>
      <c r="J113" s="8" t="s">
        <v>1141</v>
      </c>
      <c r="K113" s="8" t="s">
        <v>1141</v>
      </c>
      <c r="L113" s="8" t="s">
        <v>1141</v>
      </c>
      <c r="M113" s="8" t="s">
        <v>421</v>
      </c>
      <c r="N113" s="8"/>
      <c r="O113" s="8">
        <v>1</v>
      </c>
      <c r="P113" s="8" t="s">
        <v>205</v>
      </c>
      <c r="Q113" s="8" t="s">
        <v>228</v>
      </c>
      <c r="R113" s="8" t="s">
        <v>236</v>
      </c>
      <c r="S113" s="8" t="s">
        <v>2182</v>
      </c>
      <c r="T113" s="8" t="s">
        <v>2183</v>
      </c>
      <c r="U113" s="8" t="s">
        <v>2184</v>
      </c>
      <c r="V113" s="8" t="s">
        <v>2185</v>
      </c>
      <c r="W113" s="8" t="s">
        <v>274</v>
      </c>
      <c r="X113" s="8" t="s">
        <v>300</v>
      </c>
      <c r="Y113" s="8" t="s">
        <v>2186</v>
      </c>
      <c r="Z113" s="8" t="s">
        <v>2187</v>
      </c>
      <c r="AA113" s="8" t="s">
        <v>333</v>
      </c>
      <c r="AB113" s="8"/>
      <c r="AC113" s="8" t="s">
        <v>2188</v>
      </c>
      <c r="AD113" s="8" t="s">
        <v>1825</v>
      </c>
      <c r="AE113" s="8" t="s">
        <v>362</v>
      </c>
      <c r="AF113" s="8" t="s">
        <v>2189</v>
      </c>
      <c r="AG113" s="8"/>
      <c r="AH113" s="11" t="s">
        <v>1146</v>
      </c>
      <c r="AI113" s="11"/>
      <c r="AJ113" s="8" t="s">
        <v>2190</v>
      </c>
    </row>
    <row r="114" spans="1:36" ht="72" customHeight="1">
      <c r="A114" s="8" t="s">
        <v>2191</v>
      </c>
      <c r="B114" s="8" t="s">
        <v>823</v>
      </c>
      <c r="C114" s="8" t="s">
        <v>396</v>
      </c>
      <c r="D114" s="8" t="s">
        <v>1139</v>
      </c>
      <c r="E114" s="8" t="s">
        <v>133</v>
      </c>
      <c r="F114" s="8" t="s">
        <v>85</v>
      </c>
      <c r="G114" s="8" t="s">
        <v>1330</v>
      </c>
      <c r="H114" s="8" t="s">
        <v>163</v>
      </c>
      <c r="I114" s="8" t="s">
        <v>1141</v>
      </c>
      <c r="J114" s="8" t="s">
        <v>1141</v>
      </c>
      <c r="K114" s="8" t="s">
        <v>1141</v>
      </c>
      <c r="L114" s="8" t="s">
        <v>1141</v>
      </c>
      <c r="M114" s="8" t="s">
        <v>421</v>
      </c>
      <c r="N114" s="8"/>
      <c r="O114" s="8">
        <v>1</v>
      </c>
      <c r="P114" s="8" t="s">
        <v>205</v>
      </c>
      <c r="Q114" s="8" t="s">
        <v>228</v>
      </c>
      <c r="R114" s="8" t="s">
        <v>236</v>
      </c>
      <c r="S114" s="8" t="s">
        <v>2192</v>
      </c>
      <c r="T114" s="8" t="s">
        <v>2193</v>
      </c>
      <c r="U114" s="8" t="s">
        <v>2194</v>
      </c>
      <c r="V114" s="8" t="s">
        <v>2195</v>
      </c>
      <c r="W114" s="8" t="s">
        <v>274</v>
      </c>
      <c r="X114" s="8" t="s">
        <v>300</v>
      </c>
      <c r="Y114" s="8" t="s">
        <v>2196</v>
      </c>
      <c r="Z114" s="8" t="s">
        <v>2197</v>
      </c>
      <c r="AA114" s="8" t="s">
        <v>333</v>
      </c>
      <c r="AB114" s="8"/>
      <c r="AC114" s="8" t="s">
        <v>2198</v>
      </c>
      <c r="AD114" s="8" t="s">
        <v>2199</v>
      </c>
      <c r="AE114" s="8" t="s">
        <v>386</v>
      </c>
      <c r="AF114" s="8" t="s">
        <v>2200</v>
      </c>
      <c r="AG114" s="8"/>
      <c r="AH114" s="11" t="s">
        <v>1146</v>
      </c>
      <c r="AI114" s="11"/>
      <c r="AJ114" s="8" t="s">
        <v>2201</v>
      </c>
    </row>
    <row r="115" spans="1:36" ht="72" customHeight="1">
      <c r="A115" s="8" t="s">
        <v>2202</v>
      </c>
      <c r="B115" s="8" t="s">
        <v>827</v>
      </c>
      <c r="C115" s="8" t="s">
        <v>396</v>
      </c>
      <c r="D115" s="8" t="s">
        <v>1139</v>
      </c>
      <c r="E115" s="8" t="s">
        <v>106</v>
      </c>
      <c r="F115" s="8" t="s">
        <v>70</v>
      </c>
      <c r="G115" s="8" t="s">
        <v>1330</v>
      </c>
      <c r="H115" s="8" t="s">
        <v>163</v>
      </c>
      <c r="I115" s="8" t="s">
        <v>1141</v>
      </c>
      <c r="J115" s="8" t="s">
        <v>1141</v>
      </c>
      <c r="K115" s="8" t="s">
        <v>1141</v>
      </c>
      <c r="L115" s="8" t="s">
        <v>1141</v>
      </c>
      <c r="M115" s="8" t="s">
        <v>421</v>
      </c>
      <c r="N115" s="8"/>
      <c r="O115" s="8">
        <v>3</v>
      </c>
      <c r="P115" s="8" t="s">
        <v>193</v>
      </c>
      <c r="Q115" s="8" t="s">
        <v>228</v>
      </c>
      <c r="R115" s="8" t="s">
        <v>236</v>
      </c>
      <c r="S115" s="8" t="s">
        <v>2203</v>
      </c>
      <c r="T115" s="8" t="s">
        <v>2204</v>
      </c>
      <c r="U115" s="8" t="s">
        <v>2205</v>
      </c>
      <c r="V115" s="8" t="s">
        <v>2206</v>
      </c>
      <c r="W115" s="8" t="s">
        <v>274</v>
      </c>
      <c r="X115" s="8" t="s">
        <v>300</v>
      </c>
      <c r="Y115" s="8" t="s">
        <v>2207</v>
      </c>
      <c r="Z115" s="8" t="s">
        <v>2102</v>
      </c>
      <c r="AA115" s="8" t="s">
        <v>333</v>
      </c>
      <c r="AB115" s="8"/>
      <c r="AC115" s="8" t="s">
        <v>2208</v>
      </c>
      <c r="AD115" s="8" t="s">
        <v>1825</v>
      </c>
      <c r="AE115" s="8" t="s">
        <v>362</v>
      </c>
      <c r="AF115" s="8" t="s">
        <v>2209</v>
      </c>
      <c r="AG115" s="8" t="s">
        <v>2210</v>
      </c>
      <c r="AH115" s="11" t="s">
        <v>1146</v>
      </c>
      <c r="AI115" s="11"/>
      <c r="AJ115" s="8" t="s">
        <v>2211</v>
      </c>
    </row>
    <row r="116" spans="1:36" ht="84" customHeight="1">
      <c r="A116" s="8" t="s">
        <v>2212</v>
      </c>
      <c r="B116" s="8" t="s">
        <v>831</v>
      </c>
      <c r="C116" s="8" t="s">
        <v>396</v>
      </c>
      <c r="D116" s="8" t="s">
        <v>1139</v>
      </c>
      <c r="E116" s="8" t="s">
        <v>103</v>
      </c>
      <c r="F116" s="8" t="s">
        <v>90</v>
      </c>
      <c r="G116" s="8" t="s">
        <v>1161</v>
      </c>
      <c r="H116" s="8" t="s">
        <v>182</v>
      </c>
      <c r="I116" s="8" t="s">
        <v>1141</v>
      </c>
      <c r="J116" s="8" t="s">
        <v>1141</v>
      </c>
      <c r="K116" s="8" t="s">
        <v>1141</v>
      </c>
      <c r="L116" s="8" t="s">
        <v>1141</v>
      </c>
      <c r="M116" s="8" t="s">
        <v>421</v>
      </c>
      <c r="N116" s="8"/>
      <c r="O116" s="8">
        <v>2</v>
      </c>
      <c r="P116" s="8" t="s">
        <v>199</v>
      </c>
      <c r="Q116" s="8" t="s">
        <v>228</v>
      </c>
      <c r="R116" s="8" t="s">
        <v>236</v>
      </c>
      <c r="S116" s="8" t="s">
        <v>2213</v>
      </c>
      <c r="T116" s="8" t="s">
        <v>2214</v>
      </c>
      <c r="U116" s="8" t="s">
        <v>2215</v>
      </c>
      <c r="V116" s="8" t="s">
        <v>2216</v>
      </c>
      <c r="W116" s="8" t="s">
        <v>247</v>
      </c>
      <c r="X116" s="8" t="s">
        <v>279</v>
      </c>
      <c r="Y116" s="8" t="s">
        <v>2217</v>
      </c>
      <c r="Z116" s="8" t="s">
        <v>2218</v>
      </c>
      <c r="AA116" s="8" t="s">
        <v>315</v>
      </c>
      <c r="AB116" s="8" t="s">
        <v>341</v>
      </c>
      <c r="AC116" s="8" t="s">
        <v>2219</v>
      </c>
      <c r="AD116" s="8" t="s">
        <v>2220</v>
      </c>
      <c r="AE116" s="8" t="s">
        <v>371</v>
      </c>
      <c r="AF116" s="8" t="s">
        <v>2221</v>
      </c>
      <c r="AG116" s="8" t="s">
        <v>2222</v>
      </c>
      <c r="AH116" s="11" t="s">
        <v>1146</v>
      </c>
      <c r="AI116" s="11"/>
      <c r="AJ116" s="8" t="s">
        <v>2223</v>
      </c>
    </row>
    <row r="117" spans="1:36" ht="84" customHeight="1">
      <c r="A117" s="8" t="s">
        <v>2224</v>
      </c>
      <c r="B117" s="8" t="s">
        <v>834</v>
      </c>
      <c r="C117" s="8" t="s">
        <v>396</v>
      </c>
      <c r="D117" s="8" t="s">
        <v>1139</v>
      </c>
      <c r="E117" s="8" t="s">
        <v>112</v>
      </c>
      <c r="F117" s="8" t="s">
        <v>75</v>
      </c>
      <c r="G117" s="8" t="s">
        <v>1642</v>
      </c>
      <c r="H117" s="8" t="s">
        <v>150</v>
      </c>
      <c r="I117" s="8" t="s">
        <v>1141</v>
      </c>
      <c r="J117" s="8" t="s">
        <v>1141</v>
      </c>
      <c r="K117" s="8" t="s">
        <v>1141</v>
      </c>
      <c r="L117" s="8" t="s">
        <v>1141</v>
      </c>
      <c r="M117" s="8" t="s">
        <v>421</v>
      </c>
      <c r="N117" s="8"/>
      <c r="O117" s="8">
        <v>1</v>
      </c>
      <c r="P117" s="8" t="s">
        <v>205</v>
      </c>
      <c r="Q117" s="8" t="s">
        <v>228</v>
      </c>
      <c r="R117" s="8" t="s">
        <v>239</v>
      </c>
      <c r="S117" s="8" t="s">
        <v>2225</v>
      </c>
      <c r="T117" s="8" t="s">
        <v>2226</v>
      </c>
      <c r="U117" s="8" t="s">
        <v>2227</v>
      </c>
      <c r="V117" s="8" t="s">
        <v>2228</v>
      </c>
      <c r="W117" s="8" t="s">
        <v>256</v>
      </c>
      <c r="X117" s="8" t="s">
        <v>300</v>
      </c>
      <c r="Y117" s="8" t="s">
        <v>2229</v>
      </c>
      <c r="Z117" s="8" t="s">
        <v>2230</v>
      </c>
      <c r="AA117" s="8" t="s">
        <v>333</v>
      </c>
      <c r="AB117" s="8"/>
      <c r="AC117" s="8" t="s">
        <v>2231</v>
      </c>
      <c r="AD117" s="8" t="s">
        <v>1825</v>
      </c>
      <c r="AE117" s="8" t="s">
        <v>362</v>
      </c>
      <c r="AF117" s="8" t="s">
        <v>2138</v>
      </c>
      <c r="AG117" s="8"/>
      <c r="AH117" s="11" t="s">
        <v>1146</v>
      </c>
      <c r="AI117" s="11"/>
      <c r="AJ117" s="8" t="s">
        <v>2232</v>
      </c>
    </row>
    <row r="118" spans="1:36" ht="60" customHeight="1">
      <c r="A118" s="8" t="s">
        <v>2233</v>
      </c>
      <c r="B118" s="8" t="s">
        <v>838</v>
      </c>
      <c r="C118" s="8" t="s">
        <v>396</v>
      </c>
      <c r="D118" s="8" t="s">
        <v>1139</v>
      </c>
      <c r="E118" s="8" t="s">
        <v>99</v>
      </c>
      <c r="F118" s="8" t="s">
        <v>90</v>
      </c>
      <c r="G118" s="8" t="s">
        <v>1161</v>
      </c>
      <c r="H118" s="8" t="s">
        <v>182</v>
      </c>
      <c r="I118" s="8" t="s">
        <v>1141</v>
      </c>
      <c r="J118" s="8" t="s">
        <v>1141</v>
      </c>
      <c r="K118" s="8" t="s">
        <v>1141</v>
      </c>
      <c r="L118" s="8" t="s">
        <v>1141</v>
      </c>
      <c r="M118" s="8" t="s">
        <v>421</v>
      </c>
      <c r="N118" s="8"/>
      <c r="O118" s="8">
        <v>1</v>
      </c>
      <c r="P118" s="8" t="s">
        <v>205</v>
      </c>
      <c r="Q118" s="8" t="s">
        <v>228</v>
      </c>
      <c r="R118" s="8" t="s">
        <v>236</v>
      </c>
      <c r="S118" s="8" t="s">
        <v>2234</v>
      </c>
      <c r="T118" s="8" t="s">
        <v>2235</v>
      </c>
      <c r="U118" s="8" t="s">
        <v>2236</v>
      </c>
      <c r="V118" s="8" t="s">
        <v>2237</v>
      </c>
      <c r="W118" s="8" t="s">
        <v>274</v>
      </c>
      <c r="X118" s="8" t="s">
        <v>300</v>
      </c>
      <c r="Y118" s="8" t="s">
        <v>2238</v>
      </c>
      <c r="Z118" s="8" t="s">
        <v>2239</v>
      </c>
      <c r="AA118" s="8" t="s">
        <v>333</v>
      </c>
      <c r="AB118" s="8"/>
      <c r="AC118" s="8" t="s">
        <v>2240</v>
      </c>
      <c r="AD118" s="8" t="s">
        <v>1825</v>
      </c>
      <c r="AE118" s="8" t="s">
        <v>362</v>
      </c>
      <c r="AF118" s="8" t="s">
        <v>2241</v>
      </c>
      <c r="AG118" s="8"/>
      <c r="AH118" s="11" t="s">
        <v>1146</v>
      </c>
      <c r="AI118" s="11"/>
      <c r="AJ118" s="8" t="s">
        <v>2242</v>
      </c>
    </row>
    <row r="119" spans="1:36" ht="72" customHeight="1">
      <c r="A119" s="8" t="s">
        <v>2243</v>
      </c>
      <c r="B119" s="8" t="s">
        <v>842</v>
      </c>
      <c r="C119" s="8" t="s">
        <v>396</v>
      </c>
      <c r="D119" s="8" t="s">
        <v>1139</v>
      </c>
      <c r="E119" s="8" t="s">
        <v>118</v>
      </c>
      <c r="F119" s="8" t="s">
        <v>90</v>
      </c>
      <c r="G119" s="8" t="s">
        <v>1161</v>
      </c>
      <c r="H119" s="8" t="s">
        <v>182</v>
      </c>
      <c r="I119" s="8" t="s">
        <v>1141</v>
      </c>
      <c r="J119" s="8" t="s">
        <v>1141</v>
      </c>
      <c r="K119" s="8" t="s">
        <v>1141</v>
      </c>
      <c r="L119" s="8" t="s">
        <v>1141</v>
      </c>
      <c r="M119" s="8" t="s">
        <v>421</v>
      </c>
      <c r="N119" s="8"/>
      <c r="O119" s="8">
        <v>1</v>
      </c>
      <c r="P119" s="8" t="s">
        <v>205</v>
      </c>
      <c r="Q119" s="8" t="s">
        <v>228</v>
      </c>
      <c r="R119" s="8" t="s">
        <v>236</v>
      </c>
      <c r="S119" s="8" t="s">
        <v>2244</v>
      </c>
      <c r="T119" s="8" t="s">
        <v>2245</v>
      </c>
      <c r="U119" s="8" t="s">
        <v>2246</v>
      </c>
      <c r="V119" s="8" t="s">
        <v>2247</v>
      </c>
      <c r="W119" s="8" t="s">
        <v>274</v>
      </c>
      <c r="X119" s="8" t="s">
        <v>300</v>
      </c>
      <c r="Y119" s="8" t="s">
        <v>2248</v>
      </c>
      <c r="Z119" s="8" t="s">
        <v>2249</v>
      </c>
      <c r="AA119" s="8" t="s">
        <v>333</v>
      </c>
      <c r="AB119" s="8"/>
      <c r="AC119" s="8" t="s">
        <v>2250</v>
      </c>
      <c r="AD119" s="8" t="s">
        <v>1825</v>
      </c>
      <c r="AE119" s="8" t="s">
        <v>362</v>
      </c>
      <c r="AF119" s="8" t="s">
        <v>2189</v>
      </c>
      <c r="AG119" s="8"/>
      <c r="AH119" s="11" t="s">
        <v>1146</v>
      </c>
      <c r="AI119" s="11"/>
      <c r="AJ119" s="8" t="s">
        <v>2251</v>
      </c>
    </row>
    <row r="120" spans="1:36" ht="72" customHeight="1">
      <c r="A120" s="8" t="s">
        <v>2252</v>
      </c>
      <c r="B120" s="8" t="s">
        <v>846</v>
      </c>
      <c r="C120" s="8" t="s">
        <v>396</v>
      </c>
      <c r="D120" s="8" t="s">
        <v>1139</v>
      </c>
      <c r="E120" s="8" t="s">
        <v>133</v>
      </c>
      <c r="F120" s="8" t="s">
        <v>65</v>
      </c>
      <c r="G120" s="8" t="s">
        <v>1149</v>
      </c>
      <c r="H120" s="8" t="s">
        <v>182</v>
      </c>
      <c r="I120" s="8" t="s">
        <v>1141</v>
      </c>
      <c r="J120" s="8" t="s">
        <v>1141</v>
      </c>
      <c r="K120" s="8" t="s">
        <v>1141</v>
      </c>
      <c r="L120" s="8" t="s">
        <v>1141</v>
      </c>
      <c r="M120" s="8" t="s">
        <v>421</v>
      </c>
      <c r="N120" s="8"/>
      <c r="O120" s="8">
        <v>1</v>
      </c>
      <c r="P120" s="8" t="s">
        <v>205</v>
      </c>
      <c r="Q120" s="8" t="s">
        <v>228</v>
      </c>
      <c r="R120" s="8" t="s">
        <v>236</v>
      </c>
      <c r="S120" s="8" t="s">
        <v>2253</v>
      </c>
      <c r="T120" s="8" t="s">
        <v>2254</v>
      </c>
      <c r="U120" s="8" t="s">
        <v>2255</v>
      </c>
      <c r="V120" s="8" t="s">
        <v>2256</v>
      </c>
      <c r="W120" s="8" t="s">
        <v>274</v>
      </c>
      <c r="X120" s="8" t="s">
        <v>300</v>
      </c>
      <c r="Y120" s="8" t="s">
        <v>2257</v>
      </c>
      <c r="Z120" s="8" t="s">
        <v>2258</v>
      </c>
      <c r="AA120" s="8" t="s">
        <v>333</v>
      </c>
      <c r="AB120" s="8"/>
      <c r="AC120" s="8" t="s">
        <v>2259</v>
      </c>
      <c r="AD120" s="8" t="s">
        <v>2260</v>
      </c>
      <c r="AE120" s="8" t="s">
        <v>362</v>
      </c>
      <c r="AF120" s="8" t="s">
        <v>1963</v>
      </c>
      <c r="AG120" s="8"/>
      <c r="AH120" s="11" t="s">
        <v>1146</v>
      </c>
      <c r="AI120" s="11"/>
      <c r="AJ120" s="8" t="s">
        <v>2261</v>
      </c>
    </row>
    <row r="121" spans="1:36" ht="60" customHeight="1">
      <c r="A121" s="8" t="s">
        <v>2262</v>
      </c>
      <c r="B121" s="8" t="s">
        <v>850</v>
      </c>
      <c r="C121" s="8" t="s">
        <v>396</v>
      </c>
      <c r="D121" s="8" t="s">
        <v>1139</v>
      </c>
      <c r="E121" s="8" t="s">
        <v>133</v>
      </c>
      <c r="F121" s="8" t="s">
        <v>90</v>
      </c>
      <c r="G121" s="8" t="s">
        <v>1213</v>
      </c>
      <c r="H121" s="8" t="s">
        <v>182</v>
      </c>
      <c r="I121" s="8" t="s">
        <v>1141</v>
      </c>
      <c r="J121" s="8" t="s">
        <v>1141</v>
      </c>
      <c r="K121" s="8" t="s">
        <v>1141</v>
      </c>
      <c r="L121" s="8" t="s">
        <v>1141</v>
      </c>
      <c r="M121" s="8" t="s">
        <v>421</v>
      </c>
      <c r="N121" s="8"/>
      <c r="O121" s="8">
        <v>1</v>
      </c>
      <c r="P121" s="8" t="s">
        <v>205</v>
      </c>
      <c r="Q121" s="8" t="s">
        <v>228</v>
      </c>
      <c r="R121" s="8" t="s">
        <v>236</v>
      </c>
      <c r="S121" s="8" t="s">
        <v>2263</v>
      </c>
      <c r="T121" s="8" t="s">
        <v>2264</v>
      </c>
      <c r="U121" s="8" t="s">
        <v>2265</v>
      </c>
      <c r="V121" s="8" t="s">
        <v>2266</v>
      </c>
      <c r="W121" s="8" t="s">
        <v>274</v>
      </c>
      <c r="X121" s="8" t="s">
        <v>300</v>
      </c>
      <c r="Y121" s="8" t="s">
        <v>2267</v>
      </c>
      <c r="Z121" s="8" t="s">
        <v>2268</v>
      </c>
      <c r="AA121" s="8" t="s">
        <v>333</v>
      </c>
      <c r="AB121" s="8"/>
      <c r="AC121" s="8" t="s">
        <v>2269</v>
      </c>
      <c r="AD121" s="8" t="s">
        <v>1825</v>
      </c>
      <c r="AE121" s="8" t="s">
        <v>362</v>
      </c>
      <c r="AF121" s="8" t="s">
        <v>1963</v>
      </c>
      <c r="AG121" s="8"/>
      <c r="AH121" s="11" t="s">
        <v>1146</v>
      </c>
      <c r="AI121" s="11"/>
      <c r="AJ121" s="8" t="s">
        <v>2270</v>
      </c>
    </row>
    <row r="122" spans="1:36" ht="60" customHeight="1">
      <c r="A122" s="8" t="s">
        <v>2271</v>
      </c>
      <c r="B122" s="8" t="s">
        <v>854</v>
      </c>
      <c r="C122" s="8" t="s">
        <v>396</v>
      </c>
      <c r="D122" s="8" t="s">
        <v>1139</v>
      </c>
      <c r="E122" s="8" t="s">
        <v>124</v>
      </c>
      <c r="F122" s="8" t="s">
        <v>70</v>
      </c>
      <c r="G122" s="8" t="s">
        <v>1213</v>
      </c>
      <c r="H122" s="8" t="s">
        <v>182</v>
      </c>
      <c r="I122" s="8" t="s">
        <v>1141</v>
      </c>
      <c r="J122" s="8" t="s">
        <v>1141</v>
      </c>
      <c r="K122" s="8" t="s">
        <v>1141</v>
      </c>
      <c r="L122" s="8" t="s">
        <v>1141</v>
      </c>
      <c r="M122" s="8" t="s">
        <v>421</v>
      </c>
      <c r="N122" s="8"/>
      <c r="O122" s="8">
        <v>1</v>
      </c>
      <c r="P122" s="8" t="s">
        <v>205</v>
      </c>
      <c r="Q122" s="8" t="s">
        <v>228</v>
      </c>
      <c r="R122" s="8" t="s">
        <v>236</v>
      </c>
      <c r="S122" s="8" t="s">
        <v>2272</v>
      </c>
      <c r="T122" s="8" t="s">
        <v>2273</v>
      </c>
      <c r="U122" s="8" t="s">
        <v>2274</v>
      </c>
      <c r="V122" s="8" t="s">
        <v>2275</v>
      </c>
      <c r="W122" s="8" t="s">
        <v>247</v>
      </c>
      <c r="X122" s="8" t="s">
        <v>309</v>
      </c>
      <c r="Y122" s="8" t="s">
        <v>2276</v>
      </c>
      <c r="Z122" s="8" t="s">
        <v>2277</v>
      </c>
      <c r="AA122" s="8" t="s">
        <v>312</v>
      </c>
      <c r="AB122" s="8"/>
      <c r="AC122" s="8" t="s">
        <v>2278</v>
      </c>
      <c r="AD122" s="8" t="s">
        <v>1825</v>
      </c>
      <c r="AE122" s="8" t="s">
        <v>362</v>
      </c>
      <c r="AF122" s="8" t="s">
        <v>2279</v>
      </c>
      <c r="AG122" s="8"/>
      <c r="AH122" s="11" t="s">
        <v>1146</v>
      </c>
      <c r="AI122" s="11"/>
      <c r="AJ122" s="8" t="s">
        <v>2280</v>
      </c>
    </row>
    <row r="123" spans="1:36" ht="72" customHeight="1">
      <c r="A123" s="8" t="s">
        <v>2281</v>
      </c>
      <c r="B123" s="8" t="s">
        <v>858</v>
      </c>
      <c r="C123" s="8" t="s">
        <v>396</v>
      </c>
      <c r="D123" s="8" t="s">
        <v>1139</v>
      </c>
      <c r="E123" s="8" t="s">
        <v>115</v>
      </c>
      <c r="F123" s="8" t="s">
        <v>80</v>
      </c>
      <c r="G123" s="8" t="s">
        <v>1213</v>
      </c>
      <c r="H123" s="8" t="s">
        <v>182</v>
      </c>
      <c r="I123" s="8" t="s">
        <v>1141</v>
      </c>
      <c r="J123" s="8" t="s">
        <v>1141</v>
      </c>
      <c r="K123" s="8" t="s">
        <v>1141</v>
      </c>
      <c r="L123" s="8" t="s">
        <v>1141</v>
      </c>
      <c r="M123" s="8" t="s">
        <v>421</v>
      </c>
      <c r="N123" s="8"/>
      <c r="O123" s="8">
        <v>1</v>
      </c>
      <c r="P123" s="8" t="s">
        <v>205</v>
      </c>
      <c r="Q123" s="8" t="s">
        <v>228</v>
      </c>
      <c r="R123" s="8" t="s">
        <v>236</v>
      </c>
      <c r="S123" s="8" t="s">
        <v>2282</v>
      </c>
      <c r="T123" s="8" t="s">
        <v>2283</v>
      </c>
      <c r="U123" s="8" t="s">
        <v>2284</v>
      </c>
      <c r="V123" s="8" t="s">
        <v>2285</v>
      </c>
      <c r="W123" s="8" t="s">
        <v>274</v>
      </c>
      <c r="X123" s="8" t="s">
        <v>300</v>
      </c>
      <c r="Y123" s="8" t="s">
        <v>2286</v>
      </c>
      <c r="Z123" s="8" t="s">
        <v>2287</v>
      </c>
      <c r="AA123" s="8" t="s">
        <v>333</v>
      </c>
      <c r="AB123" s="8"/>
      <c r="AC123" s="8" t="s">
        <v>2288</v>
      </c>
      <c r="AD123" s="8" t="s">
        <v>1825</v>
      </c>
      <c r="AE123" s="8" t="s">
        <v>362</v>
      </c>
      <c r="AF123" s="8" t="s">
        <v>2241</v>
      </c>
      <c r="AG123" s="8"/>
      <c r="AH123" s="11" t="s">
        <v>1146</v>
      </c>
      <c r="AI123" s="11"/>
      <c r="AJ123" s="8" t="s">
        <v>2289</v>
      </c>
    </row>
    <row r="124" spans="1:36" ht="84" customHeight="1">
      <c r="A124" s="8" t="s">
        <v>2290</v>
      </c>
      <c r="B124" s="8" t="s">
        <v>862</v>
      </c>
      <c r="C124" s="8" t="s">
        <v>396</v>
      </c>
      <c r="D124" s="8" t="s">
        <v>1139</v>
      </c>
      <c r="E124" s="8" t="s">
        <v>112</v>
      </c>
      <c r="F124" s="8" t="s">
        <v>85</v>
      </c>
      <c r="G124" s="8" t="s">
        <v>1330</v>
      </c>
      <c r="H124" s="8" t="s">
        <v>163</v>
      </c>
      <c r="I124" s="8" t="s">
        <v>1141</v>
      </c>
      <c r="J124" s="8" t="s">
        <v>1141</v>
      </c>
      <c r="K124" s="8" t="s">
        <v>1141</v>
      </c>
      <c r="L124" s="8" t="s">
        <v>1141</v>
      </c>
      <c r="M124" s="8" t="s">
        <v>421</v>
      </c>
      <c r="N124" s="8"/>
      <c r="O124" s="8">
        <v>1</v>
      </c>
      <c r="P124" s="8" t="s">
        <v>205</v>
      </c>
      <c r="Q124" s="8" t="s">
        <v>228</v>
      </c>
      <c r="R124" s="8" t="s">
        <v>236</v>
      </c>
      <c r="S124" s="8" t="s">
        <v>2291</v>
      </c>
      <c r="T124" s="8" t="s">
        <v>2292</v>
      </c>
      <c r="U124" s="8" t="s">
        <v>2293</v>
      </c>
      <c r="V124" s="8" t="s">
        <v>2294</v>
      </c>
      <c r="W124" s="8" t="s">
        <v>274</v>
      </c>
      <c r="X124" s="8" t="s">
        <v>300</v>
      </c>
      <c r="Y124" s="8" t="s">
        <v>2295</v>
      </c>
      <c r="Z124" s="8" t="s">
        <v>2296</v>
      </c>
      <c r="AA124" s="8" t="s">
        <v>333</v>
      </c>
      <c r="AB124" s="8"/>
      <c r="AC124" s="8" t="s">
        <v>2297</v>
      </c>
      <c r="AD124" s="8" t="s">
        <v>1825</v>
      </c>
      <c r="AE124" s="8" t="s">
        <v>362</v>
      </c>
      <c r="AF124" s="8" t="s">
        <v>2057</v>
      </c>
      <c r="AG124" s="8"/>
      <c r="AH124" s="11" t="s">
        <v>1146</v>
      </c>
      <c r="AI124" s="11"/>
      <c r="AJ124" s="8" t="s">
        <v>2298</v>
      </c>
    </row>
    <row r="125" spans="1:36" ht="72" customHeight="1">
      <c r="A125" s="8" t="s">
        <v>2299</v>
      </c>
      <c r="B125" s="8" t="s">
        <v>866</v>
      </c>
      <c r="C125" s="8" t="s">
        <v>396</v>
      </c>
      <c r="D125" s="8" t="s">
        <v>1139</v>
      </c>
      <c r="E125" s="8" t="s">
        <v>133</v>
      </c>
      <c r="F125" s="8" t="s">
        <v>85</v>
      </c>
      <c r="G125" s="8" t="s">
        <v>1330</v>
      </c>
      <c r="H125" s="8" t="s">
        <v>163</v>
      </c>
      <c r="I125" s="8" t="s">
        <v>1141</v>
      </c>
      <c r="J125" s="8" t="s">
        <v>1141</v>
      </c>
      <c r="K125" s="8" t="s">
        <v>1141</v>
      </c>
      <c r="L125" s="8" t="s">
        <v>1141</v>
      </c>
      <c r="M125" s="8" t="s">
        <v>421</v>
      </c>
      <c r="N125" s="8"/>
      <c r="O125" s="8">
        <v>2</v>
      </c>
      <c r="P125" s="8" t="s">
        <v>196</v>
      </c>
      <c r="Q125" s="8" t="s">
        <v>228</v>
      </c>
      <c r="R125" s="8" t="s">
        <v>236</v>
      </c>
      <c r="S125" s="8" t="s">
        <v>2300</v>
      </c>
      <c r="T125" s="8" t="s">
        <v>2301</v>
      </c>
      <c r="U125" s="8" t="s">
        <v>2302</v>
      </c>
      <c r="V125" s="8" t="s">
        <v>2303</v>
      </c>
      <c r="W125" s="8" t="s">
        <v>274</v>
      </c>
      <c r="X125" s="8" t="s">
        <v>300</v>
      </c>
      <c r="Y125" s="8" t="s">
        <v>2304</v>
      </c>
      <c r="Z125" s="8" t="s">
        <v>2305</v>
      </c>
      <c r="AA125" s="8" t="s">
        <v>333</v>
      </c>
      <c r="AB125" s="8"/>
      <c r="AC125" s="8" t="s">
        <v>2306</v>
      </c>
      <c r="AD125" s="8" t="s">
        <v>2307</v>
      </c>
      <c r="AE125" s="8" t="s">
        <v>362</v>
      </c>
      <c r="AF125" s="8" t="s">
        <v>2308</v>
      </c>
      <c r="AG125" s="8" t="s">
        <v>2309</v>
      </c>
      <c r="AH125" s="11" t="s">
        <v>1146</v>
      </c>
      <c r="AI125" s="11"/>
      <c r="AJ125" s="8" t="s">
        <v>2310</v>
      </c>
    </row>
    <row r="126" spans="1:36" ht="60" customHeight="1">
      <c r="A126" s="8" t="s">
        <v>2311</v>
      </c>
      <c r="B126" s="8" t="s">
        <v>870</v>
      </c>
      <c r="C126" s="8" t="s">
        <v>396</v>
      </c>
      <c r="D126" s="8" t="s">
        <v>1139</v>
      </c>
      <c r="E126" s="8" t="s">
        <v>124</v>
      </c>
      <c r="F126" s="8" t="s">
        <v>80</v>
      </c>
      <c r="G126" s="8" t="s">
        <v>1213</v>
      </c>
      <c r="H126" s="8" t="s">
        <v>182</v>
      </c>
      <c r="I126" s="8" t="s">
        <v>1141</v>
      </c>
      <c r="J126" s="8" t="s">
        <v>1141</v>
      </c>
      <c r="K126" s="8" t="s">
        <v>1141</v>
      </c>
      <c r="L126" s="8" t="s">
        <v>1141</v>
      </c>
      <c r="M126" s="8" t="s">
        <v>421</v>
      </c>
      <c r="N126" s="8"/>
      <c r="O126" s="8">
        <v>1</v>
      </c>
      <c r="P126" s="8" t="s">
        <v>205</v>
      </c>
      <c r="Q126" s="8" t="s">
        <v>228</v>
      </c>
      <c r="R126" s="8" t="s">
        <v>236</v>
      </c>
      <c r="S126" s="8" t="s">
        <v>2312</v>
      </c>
      <c r="T126" s="8" t="s">
        <v>2313</v>
      </c>
      <c r="U126" s="8" t="s">
        <v>2314</v>
      </c>
      <c r="V126" s="8" t="s">
        <v>2315</v>
      </c>
      <c r="W126" s="8" t="s">
        <v>274</v>
      </c>
      <c r="X126" s="8" t="s">
        <v>309</v>
      </c>
      <c r="Y126" s="8" t="s">
        <v>2316</v>
      </c>
      <c r="Z126" s="8" t="s">
        <v>2317</v>
      </c>
      <c r="AA126" s="8" t="s">
        <v>333</v>
      </c>
      <c r="AB126" s="8"/>
      <c r="AC126" s="8" t="s">
        <v>2318</v>
      </c>
      <c r="AD126" s="8" t="s">
        <v>1825</v>
      </c>
      <c r="AE126" s="8" t="s">
        <v>362</v>
      </c>
      <c r="AF126" s="8" t="s">
        <v>1963</v>
      </c>
      <c r="AG126" s="8"/>
      <c r="AH126" s="11" t="s">
        <v>1146</v>
      </c>
      <c r="AI126" s="11"/>
      <c r="AJ126" s="8" t="s">
        <v>2319</v>
      </c>
    </row>
    <row r="127" spans="1:36" ht="72" customHeight="1">
      <c r="A127" s="8" t="s">
        <v>2320</v>
      </c>
      <c r="B127" s="8" t="s">
        <v>874</v>
      </c>
      <c r="C127" s="8" t="s">
        <v>396</v>
      </c>
      <c r="D127" s="8" t="s">
        <v>1139</v>
      </c>
      <c r="E127" s="8" t="s">
        <v>109</v>
      </c>
      <c r="F127" s="8" t="s">
        <v>65</v>
      </c>
      <c r="G127" s="8" t="s">
        <v>1149</v>
      </c>
      <c r="H127" s="8" t="s">
        <v>182</v>
      </c>
      <c r="I127" s="8" t="s">
        <v>1141</v>
      </c>
      <c r="J127" s="8" t="s">
        <v>1141</v>
      </c>
      <c r="K127" s="8" t="s">
        <v>1141</v>
      </c>
      <c r="L127" s="8" t="s">
        <v>1141</v>
      </c>
      <c r="M127" s="8" t="s">
        <v>421</v>
      </c>
      <c r="N127" s="8"/>
      <c r="O127" s="8">
        <v>3</v>
      </c>
      <c r="P127" s="8" t="s">
        <v>202</v>
      </c>
      <c r="Q127" s="8" t="s">
        <v>228</v>
      </c>
      <c r="R127" s="8" t="s">
        <v>236</v>
      </c>
      <c r="S127" s="8" t="s">
        <v>2321</v>
      </c>
      <c r="T127" s="8" t="s">
        <v>2322</v>
      </c>
      <c r="U127" s="8" t="s">
        <v>2323</v>
      </c>
      <c r="V127" s="8" t="s">
        <v>2324</v>
      </c>
      <c r="W127" s="8" t="s">
        <v>250</v>
      </c>
      <c r="X127" s="8" t="s">
        <v>282</v>
      </c>
      <c r="Y127" s="8" t="s">
        <v>2325</v>
      </c>
      <c r="Z127" s="8" t="s">
        <v>2326</v>
      </c>
      <c r="AA127" s="8" t="s">
        <v>318</v>
      </c>
      <c r="AB127" s="8" t="s">
        <v>350</v>
      </c>
      <c r="AC127" s="8" t="s">
        <v>2327</v>
      </c>
      <c r="AD127" s="8" t="s">
        <v>1825</v>
      </c>
      <c r="AE127" s="8" t="s">
        <v>362</v>
      </c>
      <c r="AF127" s="8" t="s">
        <v>2328</v>
      </c>
      <c r="AG127" s="8" t="s">
        <v>2329</v>
      </c>
      <c r="AH127" s="11" t="s">
        <v>1146</v>
      </c>
      <c r="AI127" s="11"/>
      <c r="AJ127" s="8" t="s">
        <v>2330</v>
      </c>
    </row>
    <row r="128" spans="1:36" ht="72" customHeight="1">
      <c r="A128" s="8" t="s">
        <v>2331</v>
      </c>
      <c r="B128" s="8" t="s">
        <v>878</v>
      </c>
      <c r="C128" s="8" t="s">
        <v>396</v>
      </c>
      <c r="D128" s="8" t="s">
        <v>1139</v>
      </c>
      <c r="E128" s="8" t="s">
        <v>130</v>
      </c>
      <c r="F128" s="8" t="s">
        <v>65</v>
      </c>
      <c r="G128" s="8" t="s">
        <v>1642</v>
      </c>
      <c r="H128" s="8" t="s">
        <v>150</v>
      </c>
      <c r="I128" s="8" t="s">
        <v>1141</v>
      </c>
      <c r="J128" s="8" t="s">
        <v>1141</v>
      </c>
      <c r="K128" s="8" t="s">
        <v>1141</v>
      </c>
      <c r="L128" s="8" t="s">
        <v>1141</v>
      </c>
      <c r="M128" s="8" t="s">
        <v>421</v>
      </c>
      <c r="N128" s="8"/>
      <c r="O128" s="8">
        <v>3</v>
      </c>
      <c r="P128" s="8" t="s">
        <v>193</v>
      </c>
      <c r="Q128" s="8" t="s">
        <v>228</v>
      </c>
      <c r="R128" s="8" t="s">
        <v>236</v>
      </c>
      <c r="S128" s="8" t="s">
        <v>2332</v>
      </c>
      <c r="T128" s="8" t="s">
        <v>2333</v>
      </c>
      <c r="U128" s="8" t="s">
        <v>2334</v>
      </c>
      <c r="V128" s="8" t="s">
        <v>2335</v>
      </c>
      <c r="W128" s="8" t="s">
        <v>268</v>
      </c>
      <c r="X128" s="8" t="s">
        <v>300</v>
      </c>
      <c r="Y128" s="8" t="s">
        <v>2336</v>
      </c>
      <c r="Z128" s="8" t="s">
        <v>2337</v>
      </c>
      <c r="AA128" s="8" t="s">
        <v>312</v>
      </c>
      <c r="AB128" s="8"/>
      <c r="AC128" s="8" t="s">
        <v>2338</v>
      </c>
      <c r="AD128" s="8" t="s">
        <v>2339</v>
      </c>
      <c r="AE128" s="8" t="s">
        <v>362</v>
      </c>
      <c r="AF128" s="8" t="s">
        <v>2340</v>
      </c>
      <c r="AG128" s="8" t="s">
        <v>2341</v>
      </c>
      <c r="AH128" s="11" t="s">
        <v>1146</v>
      </c>
      <c r="AI128" s="11"/>
      <c r="AJ128" s="8" t="s">
        <v>2342</v>
      </c>
    </row>
    <row r="129" spans="1:36" ht="118.5" customHeight="1">
      <c r="A129" s="8" t="s">
        <v>2343</v>
      </c>
      <c r="B129" s="8" t="s">
        <v>882</v>
      </c>
      <c r="C129" s="8" t="s">
        <v>396</v>
      </c>
      <c r="D129" s="8" t="s">
        <v>1139</v>
      </c>
      <c r="E129" s="8" t="s">
        <v>133</v>
      </c>
      <c r="F129" s="8" t="s">
        <v>85</v>
      </c>
      <c r="G129" s="8" t="s">
        <v>1161</v>
      </c>
      <c r="H129" s="8" t="s">
        <v>182</v>
      </c>
      <c r="I129" s="8" t="s">
        <v>1141</v>
      </c>
      <c r="J129" s="8" t="s">
        <v>1141</v>
      </c>
      <c r="K129" s="8" t="s">
        <v>1141</v>
      </c>
      <c r="L129" s="8" t="s">
        <v>1141</v>
      </c>
      <c r="M129" s="8" t="s">
        <v>421</v>
      </c>
      <c r="N129" s="8"/>
      <c r="O129" s="8">
        <v>2</v>
      </c>
      <c r="P129" s="8" t="s">
        <v>202</v>
      </c>
      <c r="Q129" s="8" t="s">
        <v>228</v>
      </c>
      <c r="R129" s="8" t="s">
        <v>239</v>
      </c>
      <c r="S129" s="8" t="s">
        <v>2344</v>
      </c>
      <c r="T129" s="8" t="s">
        <v>2345</v>
      </c>
      <c r="U129" s="8" t="s">
        <v>2346</v>
      </c>
      <c r="V129" s="8" t="s">
        <v>2347</v>
      </c>
      <c r="W129" s="8" t="s">
        <v>274</v>
      </c>
      <c r="X129" s="8" t="s">
        <v>300</v>
      </c>
      <c r="Y129" s="8" t="s">
        <v>2348</v>
      </c>
      <c r="Z129" s="8" t="s">
        <v>2349</v>
      </c>
      <c r="AA129" s="8" t="s">
        <v>330</v>
      </c>
      <c r="AB129" s="8"/>
      <c r="AC129" s="8" t="s">
        <v>2350</v>
      </c>
      <c r="AD129" s="8" t="s">
        <v>2351</v>
      </c>
      <c r="AE129" s="8" t="s">
        <v>386</v>
      </c>
      <c r="AF129" s="8" t="s">
        <v>2352</v>
      </c>
      <c r="AG129" s="8" t="s">
        <v>2353</v>
      </c>
      <c r="AH129" s="11" t="s">
        <v>1146</v>
      </c>
      <c r="AI129" s="11"/>
      <c r="AJ129" s="8" t="s">
        <v>2354</v>
      </c>
    </row>
    <row r="130" spans="1:36" ht="60" customHeight="1">
      <c r="A130" s="8" t="s">
        <v>2355</v>
      </c>
      <c r="B130" s="8" t="s">
        <v>886</v>
      </c>
      <c r="C130" s="8" t="s">
        <v>396</v>
      </c>
      <c r="D130" s="8" t="s">
        <v>1139</v>
      </c>
      <c r="E130" s="8" t="s">
        <v>124</v>
      </c>
      <c r="F130" s="8" t="s">
        <v>70</v>
      </c>
      <c r="G130" s="8" t="s">
        <v>1213</v>
      </c>
      <c r="H130" s="8" t="s">
        <v>182</v>
      </c>
      <c r="I130" s="8" t="s">
        <v>1141</v>
      </c>
      <c r="J130" s="8" t="s">
        <v>1141</v>
      </c>
      <c r="K130" s="8" t="s">
        <v>1141</v>
      </c>
      <c r="L130" s="8" t="s">
        <v>1141</v>
      </c>
      <c r="M130" s="8" t="s">
        <v>421</v>
      </c>
      <c r="N130" s="8"/>
      <c r="O130" s="8">
        <v>2</v>
      </c>
      <c r="P130" s="8" t="s">
        <v>199</v>
      </c>
      <c r="Q130" s="8" t="s">
        <v>225</v>
      </c>
      <c r="R130" s="8" t="s">
        <v>236</v>
      </c>
      <c r="S130" s="8" t="s">
        <v>2356</v>
      </c>
      <c r="T130" s="8" t="s">
        <v>2357</v>
      </c>
      <c r="U130" s="8" t="s">
        <v>2358</v>
      </c>
      <c r="V130" s="8" t="s">
        <v>2359</v>
      </c>
      <c r="W130" s="8" t="s">
        <v>250</v>
      </c>
      <c r="X130" s="8" t="s">
        <v>282</v>
      </c>
      <c r="Y130" s="8" t="s">
        <v>2360</v>
      </c>
      <c r="Z130" s="8" t="s">
        <v>2361</v>
      </c>
      <c r="AA130" s="8" t="s">
        <v>312</v>
      </c>
      <c r="AB130" s="8"/>
      <c r="AC130" s="8" t="s">
        <v>2362</v>
      </c>
      <c r="AD130" s="8" t="s">
        <v>1825</v>
      </c>
      <c r="AE130" s="8" t="s">
        <v>362</v>
      </c>
      <c r="AF130" s="8" t="s">
        <v>2363</v>
      </c>
      <c r="AG130" s="8" t="s">
        <v>2364</v>
      </c>
      <c r="AH130" s="11" t="s">
        <v>1146</v>
      </c>
      <c r="AI130" s="11"/>
      <c r="AJ130" s="8" t="s">
        <v>2365</v>
      </c>
    </row>
    <row r="131" spans="1:36" ht="72" customHeight="1">
      <c r="A131" s="8" t="s">
        <v>2366</v>
      </c>
      <c r="B131" s="8" t="s">
        <v>889</v>
      </c>
      <c r="C131" s="8" t="s">
        <v>396</v>
      </c>
      <c r="D131" s="8" t="s">
        <v>1139</v>
      </c>
      <c r="E131" s="8" t="s">
        <v>115</v>
      </c>
      <c r="F131" s="8" t="s">
        <v>65</v>
      </c>
      <c r="G131" s="8" t="s">
        <v>1330</v>
      </c>
      <c r="H131" s="8" t="s">
        <v>163</v>
      </c>
      <c r="I131" s="8" t="s">
        <v>1141</v>
      </c>
      <c r="J131" s="8" t="s">
        <v>1141</v>
      </c>
      <c r="K131" s="8" t="s">
        <v>1141</v>
      </c>
      <c r="L131" s="8" t="s">
        <v>1141</v>
      </c>
      <c r="M131" s="8" t="s">
        <v>421</v>
      </c>
      <c r="N131" s="8"/>
      <c r="O131" s="8">
        <v>1</v>
      </c>
      <c r="P131" s="8" t="s">
        <v>205</v>
      </c>
      <c r="Q131" s="8" t="s">
        <v>228</v>
      </c>
      <c r="R131" s="8" t="s">
        <v>236</v>
      </c>
      <c r="S131" s="8" t="s">
        <v>2367</v>
      </c>
      <c r="T131" s="8" t="s">
        <v>2368</v>
      </c>
      <c r="U131" s="8" t="s">
        <v>2369</v>
      </c>
      <c r="V131" s="8" t="s">
        <v>2370</v>
      </c>
      <c r="W131" s="8" t="s">
        <v>268</v>
      </c>
      <c r="X131" s="8" t="s">
        <v>300</v>
      </c>
      <c r="Y131" s="8" t="s">
        <v>2371</v>
      </c>
      <c r="Z131" s="8" t="s">
        <v>2372</v>
      </c>
      <c r="AA131" s="8" t="s">
        <v>312</v>
      </c>
      <c r="AB131" s="8"/>
      <c r="AC131" s="8" t="s">
        <v>2373</v>
      </c>
      <c r="AD131" s="8" t="s">
        <v>1825</v>
      </c>
      <c r="AE131" s="8" t="s">
        <v>362</v>
      </c>
      <c r="AF131" s="8" t="s">
        <v>2374</v>
      </c>
      <c r="AG131" s="8"/>
      <c r="AH131" s="11" t="s">
        <v>1146</v>
      </c>
      <c r="AI131" s="11"/>
      <c r="AJ131" s="8" t="s">
        <v>2375</v>
      </c>
    </row>
    <row r="132" spans="1:36" ht="72" customHeight="1">
      <c r="A132" s="8" t="s">
        <v>2376</v>
      </c>
      <c r="B132" s="8" t="s">
        <v>893</v>
      </c>
      <c r="C132" s="8" t="s">
        <v>396</v>
      </c>
      <c r="D132" s="8" t="s">
        <v>1139</v>
      </c>
      <c r="E132" s="8" t="s">
        <v>99</v>
      </c>
      <c r="F132" s="8" t="s">
        <v>70</v>
      </c>
      <c r="G132" s="8" t="s">
        <v>1213</v>
      </c>
      <c r="H132" s="8" t="s">
        <v>182</v>
      </c>
      <c r="I132" s="8" t="s">
        <v>1141</v>
      </c>
      <c r="J132" s="8" t="s">
        <v>1141</v>
      </c>
      <c r="K132" s="8" t="s">
        <v>1141</v>
      </c>
      <c r="L132" s="8" t="s">
        <v>1141</v>
      </c>
      <c r="M132" s="8" t="s">
        <v>421</v>
      </c>
      <c r="N132" s="8"/>
      <c r="O132" s="8">
        <v>1</v>
      </c>
      <c r="P132" s="8" t="s">
        <v>205</v>
      </c>
      <c r="Q132" s="8" t="s">
        <v>228</v>
      </c>
      <c r="R132" s="8" t="s">
        <v>236</v>
      </c>
      <c r="S132" s="8" t="s">
        <v>2377</v>
      </c>
      <c r="T132" s="8" t="s">
        <v>2378</v>
      </c>
      <c r="U132" s="8" t="s">
        <v>2379</v>
      </c>
      <c r="V132" s="8" t="s">
        <v>2380</v>
      </c>
      <c r="W132" s="8" t="s">
        <v>250</v>
      </c>
      <c r="X132" s="8" t="s">
        <v>300</v>
      </c>
      <c r="Y132" s="8" t="s">
        <v>2381</v>
      </c>
      <c r="Z132" s="8" t="s">
        <v>2382</v>
      </c>
      <c r="AA132" s="8" t="s">
        <v>321</v>
      </c>
      <c r="AB132" s="8"/>
      <c r="AC132" s="8" t="s">
        <v>2383</v>
      </c>
      <c r="AD132" s="8" t="s">
        <v>1825</v>
      </c>
      <c r="AE132" s="8" t="s">
        <v>362</v>
      </c>
      <c r="AF132" s="8" t="s">
        <v>2384</v>
      </c>
      <c r="AG132" s="8"/>
      <c r="AH132" s="11" t="s">
        <v>1146</v>
      </c>
      <c r="AI132" s="11"/>
      <c r="AJ132" s="8" t="s">
        <v>2385</v>
      </c>
    </row>
    <row r="133" spans="1:36" ht="72" customHeight="1">
      <c r="A133" s="8" t="s">
        <v>2386</v>
      </c>
      <c r="B133" s="8" t="s">
        <v>897</v>
      </c>
      <c r="C133" s="8" t="s">
        <v>396</v>
      </c>
      <c r="D133" s="8" t="s">
        <v>1139</v>
      </c>
      <c r="E133" s="8" t="s">
        <v>106</v>
      </c>
      <c r="F133" s="8" t="s">
        <v>70</v>
      </c>
      <c r="G133" s="8" t="s">
        <v>1330</v>
      </c>
      <c r="H133" s="8" t="s">
        <v>163</v>
      </c>
      <c r="I133" s="8" t="s">
        <v>1141</v>
      </c>
      <c r="J133" s="8" t="s">
        <v>1141</v>
      </c>
      <c r="K133" s="8" t="s">
        <v>1141</v>
      </c>
      <c r="L133" s="8" t="s">
        <v>1141</v>
      </c>
      <c r="M133" s="8" t="s">
        <v>421</v>
      </c>
      <c r="N133" s="8"/>
      <c r="O133" s="8">
        <v>3</v>
      </c>
      <c r="P133" s="8" t="s">
        <v>193</v>
      </c>
      <c r="Q133" s="8" t="s">
        <v>228</v>
      </c>
      <c r="R133" s="8" t="s">
        <v>236</v>
      </c>
      <c r="S133" s="8" t="s">
        <v>2387</v>
      </c>
      <c r="T133" s="8" t="s">
        <v>2388</v>
      </c>
      <c r="U133" s="8" t="s">
        <v>2389</v>
      </c>
      <c r="V133" s="8" t="s">
        <v>2390</v>
      </c>
      <c r="W133" s="8" t="s">
        <v>274</v>
      </c>
      <c r="X133" s="8" t="s">
        <v>309</v>
      </c>
      <c r="Y133" s="8" t="s">
        <v>2391</v>
      </c>
      <c r="Z133" s="8" t="s">
        <v>2102</v>
      </c>
      <c r="AA133" s="8" t="s">
        <v>333</v>
      </c>
      <c r="AB133" s="8"/>
      <c r="AC133" s="8" t="s">
        <v>2392</v>
      </c>
      <c r="AD133" s="8" t="s">
        <v>2393</v>
      </c>
      <c r="AE133" s="8" t="s">
        <v>374</v>
      </c>
      <c r="AF133" s="8" t="s">
        <v>2394</v>
      </c>
      <c r="AG133" s="8" t="s">
        <v>2395</v>
      </c>
      <c r="AH133" s="11" t="s">
        <v>1146</v>
      </c>
      <c r="AI133" s="11"/>
      <c r="AJ133" s="8" t="s">
        <v>2396</v>
      </c>
    </row>
    <row r="134" spans="1:36" ht="72" customHeight="1">
      <c r="A134" s="8" t="s">
        <v>2397</v>
      </c>
      <c r="B134" s="8" t="s">
        <v>901</v>
      </c>
      <c r="C134" s="8" t="s">
        <v>396</v>
      </c>
      <c r="D134" s="8" t="s">
        <v>1139</v>
      </c>
      <c r="E134" s="8" t="s">
        <v>112</v>
      </c>
      <c r="F134" s="8" t="s">
        <v>75</v>
      </c>
      <c r="G134" s="8" t="s">
        <v>1642</v>
      </c>
      <c r="H134" s="8" t="s">
        <v>150</v>
      </c>
      <c r="I134" s="8" t="s">
        <v>1141</v>
      </c>
      <c r="J134" s="8" t="s">
        <v>1141</v>
      </c>
      <c r="K134" s="8" t="s">
        <v>1141</v>
      </c>
      <c r="L134" s="8" t="s">
        <v>1141</v>
      </c>
      <c r="M134" s="8" t="s">
        <v>421</v>
      </c>
      <c r="N134" s="8"/>
      <c r="O134" s="8">
        <v>1</v>
      </c>
      <c r="P134" s="8" t="s">
        <v>205</v>
      </c>
      <c r="Q134" s="8" t="s">
        <v>228</v>
      </c>
      <c r="R134" s="8" t="s">
        <v>239</v>
      </c>
      <c r="S134" s="8" t="s">
        <v>2398</v>
      </c>
      <c r="T134" s="8" t="s">
        <v>2399</v>
      </c>
      <c r="U134" s="8" t="s">
        <v>2400</v>
      </c>
      <c r="V134" s="8" t="s">
        <v>2401</v>
      </c>
      <c r="W134" s="8" t="s">
        <v>256</v>
      </c>
      <c r="X134" s="8" t="s">
        <v>300</v>
      </c>
      <c r="Y134" s="8" t="s">
        <v>2402</v>
      </c>
      <c r="Z134" s="8" t="s">
        <v>2403</v>
      </c>
      <c r="AA134" s="8" t="s">
        <v>333</v>
      </c>
      <c r="AB134" s="8"/>
      <c r="AC134" s="8" t="s">
        <v>2404</v>
      </c>
      <c r="AD134" s="8" t="s">
        <v>1825</v>
      </c>
      <c r="AE134" s="8" t="s">
        <v>362</v>
      </c>
      <c r="AF134" s="8" t="s">
        <v>2405</v>
      </c>
      <c r="AG134" s="8"/>
      <c r="AH134" s="11" t="s">
        <v>1146</v>
      </c>
      <c r="AI134" s="11"/>
      <c r="AJ134" s="8" t="s">
        <v>2406</v>
      </c>
    </row>
    <row r="135" spans="1:36" ht="84" customHeight="1">
      <c r="A135" s="8" t="s">
        <v>2407</v>
      </c>
      <c r="B135" s="8" t="s">
        <v>905</v>
      </c>
      <c r="C135" s="8" t="s">
        <v>396</v>
      </c>
      <c r="D135" s="8" t="s">
        <v>1139</v>
      </c>
      <c r="E135" s="8" t="s">
        <v>115</v>
      </c>
      <c r="F135" s="8" t="s">
        <v>80</v>
      </c>
      <c r="G135" s="8" t="s">
        <v>1213</v>
      </c>
      <c r="H135" s="8" t="s">
        <v>182</v>
      </c>
      <c r="I135" s="8" t="s">
        <v>1141</v>
      </c>
      <c r="J135" s="8" t="s">
        <v>1141</v>
      </c>
      <c r="K135" s="8" t="s">
        <v>1141</v>
      </c>
      <c r="L135" s="8" t="s">
        <v>1141</v>
      </c>
      <c r="M135" s="8" t="s">
        <v>421</v>
      </c>
      <c r="N135" s="8"/>
      <c r="O135" s="8">
        <v>3</v>
      </c>
      <c r="P135" s="8" t="s">
        <v>193</v>
      </c>
      <c r="Q135" s="8" t="s">
        <v>228</v>
      </c>
      <c r="R135" s="8" t="s">
        <v>236</v>
      </c>
      <c r="S135" s="8" t="s">
        <v>2408</v>
      </c>
      <c r="T135" s="8" t="s">
        <v>2409</v>
      </c>
      <c r="U135" s="8" t="s">
        <v>2410</v>
      </c>
      <c r="V135" s="8" t="s">
        <v>2411</v>
      </c>
      <c r="W135" s="8" t="s">
        <v>268</v>
      </c>
      <c r="X135" s="8" t="s">
        <v>309</v>
      </c>
      <c r="Y135" s="8" t="s">
        <v>2412</v>
      </c>
      <c r="Z135" s="8" t="s">
        <v>2372</v>
      </c>
      <c r="AA135" s="8" t="s">
        <v>312</v>
      </c>
      <c r="AB135" s="8"/>
      <c r="AC135" s="8" t="s">
        <v>2413</v>
      </c>
      <c r="AD135" s="8" t="s">
        <v>2414</v>
      </c>
      <c r="AE135" s="8" t="s">
        <v>374</v>
      </c>
      <c r="AF135" s="8" t="s">
        <v>2415</v>
      </c>
      <c r="AG135" s="8" t="s">
        <v>2416</v>
      </c>
      <c r="AH135" s="11" t="s">
        <v>1146</v>
      </c>
      <c r="AI135" s="11"/>
      <c r="AJ135" s="8" t="s">
        <v>2417</v>
      </c>
    </row>
    <row r="136" spans="1:36" ht="60" customHeight="1">
      <c r="A136" s="8" t="s">
        <v>2418</v>
      </c>
      <c r="B136" s="8" t="s">
        <v>909</v>
      </c>
      <c r="C136" s="8" t="s">
        <v>396</v>
      </c>
      <c r="D136" s="8" t="s">
        <v>1139</v>
      </c>
      <c r="E136" s="8" t="s">
        <v>115</v>
      </c>
      <c r="F136" s="8" t="s">
        <v>70</v>
      </c>
      <c r="G136" s="8" t="s">
        <v>1213</v>
      </c>
      <c r="H136" s="8" t="s">
        <v>182</v>
      </c>
      <c r="I136" s="8" t="s">
        <v>1141</v>
      </c>
      <c r="J136" s="8" t="s">
        <v>1141</v>
      </c>
      <c r="K136" s="8" t="s">
        <v>1141</v>
      </c>
      <c r="L136" s="8" t="s">
        <v>1141</v>
      </c>
      <c r="M136" s="8" t="s">
        <v>421</v>
      </c>
      <c r="N136" s="8"/>
      <c r="O136" s="8">
        <v>3</v>
      </c>
      <c r="P136" s="8" t="s">
        <v>193</v>
      </c>
      <c r="Q136" s="8" t="s">
        <v>228</v>
      </c>
      <c r="R136" s="8" t="s">
        <v>239</v>
      </c>
      <c r="S136" s="8" t="s">
        <v>2419</v>
      </c>
      <c r="T136" s="8" t="s">
        <v>2420</v>
      </c>
      <c r="U136" s="8" t="s">
        <v>2421</v>
      </c>
      <c r="V136" s="8" t="s">
        <v>2422</v>
      </c>
      <c r="W136" s="8" t="s">
        <v>250</v>
      </c>
      <c r="X136" s="8" t="s">
        <v>309</v>
      </c>
      <c r="Y136" s="8" t="s">
        <v>2423</v>
      </c>
      <c r="Z136" s="8" t="s">
        <v>2424</v>
      </c>
      <c r="AA136" s="8" t="s">
        <v>312</v>
      </c>
      <c r="AB136" s="8"/>
      <c r="AC136" s="8" t="s">
        <v>2425</v>
      </c>
      <c r="AD136" s="8" t="s">
        <v>2426</v>
      </c>
      <c r="AE136" s="8" t="s">
        <v>374</v>
      </c>
      <c r="AF136" s="8" t="s">
        <v>2427</v>
      </c>
      <c r="AG136" s="8" t="s">
        <v>2428</v>
      </c>
      <c r="AH136" s="11" t="s">
        <v>1146</v>
      </c>
      <c r="AI136" s="11"/>
      <c r="AJ136" s="8" t="s">
        <v>2429</v>
      </c>
    </row>
    <row r="137" spans="1:36" ht="84" customHeight="1">
      <c r="A137" s="8" t="s">
        <v>2430</v>
      </c>
      <c r="B137" s="8" t="s">
        <v>913</v>
      </c>
      <c r="C137" s="8" t="s">
        <v>396</v>
      </c>
      <c r="D137" s="8" t="s">
        <v>1139</v>
      </c>
      <c r="E137" s="8" t="s">
        <v>115</v>
      </c>
      <c r="F137" s="8" t="s">
        <v>65</v>
      </c>
      <c r="G137" s="8" t="s">
        <v>1330</v>
      </c>
      <c r="H137" s="8" t="s">
        <v>163</v>
      </c>
      <c r="I137" s="8" t="s">
        <v>1141</v>
      </c>
      <c r="J137" s="8" t="s">
        <v>1141</v>
      </c>
      <c r="K137" s="8" t="s">
        <v>1141</v>
      </c>
      <c r="L137" s="8" t="s">
        <v>1141</v>
      </c>
      <c r="M137" s="8" t="s">
        <v>421</v>
      </c>
      <c r="N137" s="8"/>
      <c r="O137" s="8">
        <v>3</v>
      </c>
      <c r="P137" s="8" t="s">
        <v>193</v>
      </c>
      <c r="Q137" s="8" t="s">
        <v>228</v>
      </c>
      <c r="R137" s="8" t="s">
        <v>236</v>
      </c>
      <c r="S137" s="8" t="s">
        <v>2431</v>
      </c>
      <c r="T137" s="8" t="s">
        <v>2432</v>
      </c>
      <c r="U137" s="8" t="s">
        <v>2433</v>
      </c>
      <c r="V137" s="8" t="s">
        <v>2434</v>
      </c>
      <c r="W137" s="8" t="s">
        <v>268</v>
      </c>
      <c r="X137" s="8" t="s">
        <v>300</v>
      </c>
      <c r="Y137" s="8" t="s">
        <v>2435</v>
      </c>
      <c r="Z137" s="8" t="s">
        <v>2372</v>
      </c>
      <c r="AA137" s="8" t="s">
        <v>312</v>
      </c>
      <c r="AB137" s="8"/>
      <c r="AC137" s="8" t="s">
        <v>2436</v>
      </c>
      <c r="AD137" s="8" t="s">
        <v>1825</v>
      </c>
      <c r="AE137" s="8" t="s">
        <v>362</v>
      </c>
      <c r="AF137" s="8" t="s">
        <v>2437</v>
      </c>
      <c r="AG137" s="8" t="s">
        <v>2438</v>
      </c>
      <c r="AH137" s="11" t="s">
        <v>1146</v>
      </c>
      <c r="AI137" s="11"/>
      <c r="AJ137" s="8" t="s">
        <v>2439</v>
      </c>
    </row>
    <row r="138" spans="1:36" ht="96" customHeight="1">
      <c r="A138" s="8" t="s">
        <v>2440</v>
      </c>
      <c r="B138" s="8" t="s">
        <v>917</v>
      </c>
      <c r="C138" s="8" t="s">
        <v>396</v>
      </c>
      <c r="D138" s="8" t="s">
        <v>1139</v>
      </c>
      <c r="E138" s="8" t="s">
        <v>127</v>
      </c>
      <c r="F138" s="8" t="s">
        <v>65</v>
      </c>
      <c r="G138" s="8" t="s">
        <v>1149</v>
      </c>
      <c r="H138" s="8" t="s">
        <v>182</v>
      </c>
      <c r="I138" s="8" t="s">
        <v>1141</v>
      </c>
      <c r="J138" s="8" t="s">
        <v>1141</v>
      </c>
      <c r="K138" s="8" t="s">
        <v>1141</v>
      </c>
      <c r="L138" s="8" t="s">
        <v>1141</v>
      </c>
      <c r="M138" s="8" t="s">
        <v>2441</v>
      </c>
      <c r="N138" s="8"/>
      <c r="O138" s="8">
        <v>3</v>
      </c>
      <c r="P138" s="8" t="s">
        <v>202</v>
      </c>
      <c r="Q138" s="8" t="s">
        <v>228</v>
      </c>
      <c r="R138" s="8" t="s">
        <v>236</v>
      </c>
      <c r="S138" s="8" t="s">
        <v>919</v>
      </c>
      <c r="T138" s="8" t="s">
        <v>2442</v>
      </c>
      <c r="U138" s="8" t="s">
        <v>1255</v>
      </c>
      <c r="V138" s="8" t="s">
        <v>2443</v>
      </c>
      <c r="W138" s="8" t="s">
        <v>247</v>
      </c>
      <c r="X138" s="8" t="s">
        <v>279</v>
      </c>
      <c r="Y138" s="8" t="s">
        <v>2444</v>
      </c>
      <c r="Z138" s="8" t="s">
        <v>2445</v>
      </c>
      <c r="AA138" s="8" t="s">
        <v>327</v>
      </c>
      <c r="AB138" s="8"/>
      <c r="AC138" s="8" t="s">
        <v>2446</v>
      </c>
      <c r="AD138" s="8" t="s">
        <v>1825</v>
      </c>
      <c r="AE138" s="8" t="s">
        <v>362</v>
      </c>
      <c r="AF138" s="8" t="s">
        <v>2447</v>
      </c>
      <c r="AG138" s="8" t="s">
        <v>2448</v>
      </c>
      <c r="AH138" s="11" t="s">
        <v>1146</v>
      </c>
      <c r="AI138" s="11"/>
      <c r="AJ138" s="8" t="s">
        <v>2449</v>
      </c>
    </row>
    <row r="139" spans="1:36" ht="72" customHeight="1">
      <c r="A139" s="8" t="s">
        <v>2450</v>
      </c>
      <c r="B139" s="8" t="s">
        <v>923</v>
      </c>
      <c r="C139" s="8" t="s">
        <v>396</v>
      </c>
      <c r="D139" s="8" t="s">
        <v>1139</v>
      </c>
      <c r="E139" s="8" t="s">
        <v>124</v>
      </c>
      <c r="F139" s="8" t="s">
        <v>70</v>
      </c>
      <c r="G139" s="8" t="s">
        <v>1213</v>
      </c>
      <c r="H139" s="8" t="s">
        <v>182</v>
      </c>
      <c r="I139" s="8" t="s">
        <v>1141</v>
      </c>
      <c r="J139" s="8" t="s">
        <v>1141</v>
      </c>
      <c r="K139" s="8" t="s">
        <v>1141</v>
      </c>
      <c r="L139" s="8" t="s">
        <v>1141</v>
      </c>
      <c r="M139" s="8" t="s">
        <v>421</v>
      </c>
      <c r="N139" s="8"/>
      <c r="O139" s="8">
        <v>3</v>
      </c>
      <c r="P139" s="8" t="s">
        <v>193</v>
      </c>
      <c r="Q139" s="8" t="s">
        <v>228</v>
      </c>
      <c r="R139" s="8" t="s">
        <v>236</v>
      </c>
      <c r="S139" s="8" t="s">
        <v>2451</v>
      </c>
      <c r="T139" s="8" t="s">
        <v>2452</v>
      </c>
      <c r="U139" s="8" t="s">
        <v>2453</v>
      </c>
      <c r="V139" s="8" t="s">
        <v>2454</v>
      </c>
      <c r="W139" s="8" t="s">
        <v>250</v>
      </c>
      <c r="X139" s="8" t="s">
        <v>309</v>
      </c>
      <c r="Y139" s="8" t="s">
        <v>2455</v>
      </c>
      <c r="Z139" s="8" t="s">
        <v>2456</v>
      </c>
      <c r="AA139" s="8" t="s">
        <v>312</v>
      </c>
      <c r="AB139" s="8"/>
      <c r="AC139" s="8" t="s">
        <v>2457</v>
      </c>
      <c r="AD139" s="8" t="s">
        <v>381</v>
      </c>
      <c r="AE139" s="8" t="s">
        <v>380</v>
      </c>
      <c r="AF139" s="8" t="s">
        <v>2458</v>
      </c>
      <c r="AG139" s="8" t="s">
        <v>2459</v>
      </c>
      <c r="AH139" s="11" t="s">
        <v>1146</v>
      </c>
      <c r="AI139" s="11"/>
      <c r="AJ139" s="8" t="s">
        <v>2460</v>
      </c>
    </row>
    <row r="140" spans="1:36" ht="84" customHeight="1">
      <c r="A140" s="8" t="s">
        <v>2461</v>
      </c>
      <c r="B140" s="8" t="s">
        <v>927</v>
      </c>
      <c r="C140" s="8" t="s">
        <v>396</v>
      </c>
      <c r="D140" s="8" t="s">
        <v>1139</v>
      </c>
      <c r="E140" s="8" t="s">
        <v>133</v>
      </c>
      <c r="F140" s="8" t="s">
        <v>85</v>
      </c>
      <c r="G140" s="8" t="s">
        <v>1140</v>
      </c>
      <c r="H140" s="8" t="s">
        <v>163</v>
      </c>
      <c r="I140" s="8" t="s">
        <v>1141</v>
      </c>
      <c r="J140" s="8" t="s">
        <v>1141</v>
      </c>
      <c r="K140" s="8" t="s">
        <v>1141</v>
      </c>
      <c r="L140" s="8" t="s">
        <v>1141</v>
      </c>
      <c r="M140" s="8" t="s">
        <v>2441</v>
      </c>
      <c r="N140" s="8"/>
      <c r="O140" s="8">
        <v>3</v>
      </c>
      <c r="P140" s="8" t="s">
        <v>202</v>
      </c>
      <c r="Q140" s="8" t="s">
        <v>228</v>
      </c>
      <c r="R140" s="8" t="s">
        <v>236</v>
      </c>
      <c r="S140" s="8" t="s">
        <v>2462</v>
      </c>
      <c r="T140" s="8" t="s">
        <v>2463</v>
      </c>
      <c r="U140" s="8" t="s">
        <v>2464</v>
      </c>
      <c r="V140" s="8" t="s">
        <v>2465</v>
      </c>
      <c r="W140" s="8" t="s">
        <v>250</v>
      </c>
      <c r="X140" s="8" t="s">
        <v>282</v>
      </c>
      <c r="Y140" s="8" t="s">
        <v>2466</v>
      </c>
      <c r="Z140" s="8" t="s">
        <v>2467</v>
      </c>
      <c r="AA140" s="8" t="s">
        <v>312</v>
      </c>
      <c r="AB140" s="8"/>
      <c r="AC140" s="8" t="s">
        <v>2468</v>
      </c>
      <c r="AD140" s="8" t="s">
        <v>381</v>
      </c>
      <c r="AE140" s="8" t="s">
        <v>380</v>
      </c>
      <c r="AF140" s="8" t="s">
        <v>2469</v>
      </c>
      <c r="AG140" s="8" t="s">
        <v>2470</v>
      </c>
      <c r="AH140" s="11" t="s">
        <v>1146</v>
      </c>
      <c r="AI140" s="11"/>
      <c r="AJ140" s="8" t="s">
        <v>2471</v>
      </c>
    </row>
    <row r="141" spans="1:36" ht="96" customHeight="1">
      <c r="A141" s="8" t="s">
        <v>2472</v>
      </c>
      <c r="B141" s="8" t="s">
        <v>932</v>
      </c>
      <c r="C141" s="8" t="s">
        <v>396</v>
      </c>
      <c r="D141" s="8" t="s">
        <v>1139</v>
      </c>
      <c r="E141" s="8" t="s">
        <v>136</v>
      </c>
      <c r="F141" s="8" t="s">
        <v>75</v>
      </c>
      <c r="G141" s="8" t="s">
        <v>1213</v>
      </c>
      <c r="H141" s="8" t="s">
        <v>182</v>
      </c>
      <c r="I141" s="8" t="s">
        <v>1141</v>
      </c>
      <c r="J141" s="8" t="s">
        <v>1141</v>
      </c>
      <c r="K141" s="8" t="s">
        <v>1141</v>
      </c>
      <c r="L141" s="8" t="s">
        <v>1141</v>
      </c>
      <c r="M141" s="8" t="s">
        <v>421</v>
      </c>
      <c r="N141" s="8"/>
      <c r="O141" s="8">
        <v>3</v>
      </c>
      <c r="P141" s="8" t="s">
        <v>193</v>
      </c>
      <c r="Q141" s="8" t="s">
        <v>228</v>
      </c>
      <c r="R141" s="8" t="s">
        <v>236</v>
      </c>
      <c r="S141" s="8" t="s">
        <v>2473</v>
      </c>
      <c r="T141" s="8" t="s">
        <v>2474</v>
      </c>
      <c r="U141" s="8" t="s">
        <v>2475</v>
      </c>
      <c r="V141" s="8" t="s">
        <v>2476</v>
      </c>
      <c r="W141" s="8" t="s">
        <v>268</v>
      </c>
      <c r="X141" s="8" t="s">
        <v>300</v>
      </c>
      <c r="Y141" s="8" t="s">
        <v>2477</v>
      </c>
      <c r="Z141" s="8" t="s">
        <v>2372</v>
      </c>
      <c r="AA141" s="8" t="s">
        <v>312</v>
      </c>
      <c r="AB141" s="8"/>
      <c r="AC141" s="8" t="s">
        <v>2478</v>
      </c>
      <c r="AD141" s="8" t="s">
        <v>1825</v>
      </c>
      <c r="AE141" s="8" t="s">
        <v>362</v>
      </c>
      <c r="AF141" s="8" t="s">
        <v>2479</v>
      </c>
      <c r="AG141" s="8" t="s">
        <v>2480</v>
      </c>
      <c r="AH141" s="11" t="s">
        <v>1146</v>
      </c>
      <c r="AI141" s="11"/>
      <c r="AJ141" s="8" t="s">
        <v>2481</v>
      </c>
    </row>
    <row r="142" spans="1:36" ht="72" customHeight="1">
      <c r="A142" s="8" t="s">
        <v>2482</v>
      </c>
      <c r="B142" s="8" t="s">
        <v>936</v>
      </c>
      <c r="C142" s="8" t="s">
        <v>396</v>
      </c>
      <c r="D142" s="8" t="s">
        <v>1139</v>
      </c>
      <c r="E142" s="8" t="s">
        <v>124</v>
      </c>
      <c r="F142" s="8" t="s">
        <v>70</v>
      </c>
      <c r="G142" s="8" t="s">
        <v>1213</v>
      </c>
      <c r="H142" s="8" t="s">
        <v>182</v>
      </c>
      <c r="I142" s="8" t="s">
        <v>1141</v>
      </c>
      <c r="J142" s="8" t="s">
        <v>1141</v>
      </c>
      <c r="K142" s="8" t="s">
        <v>1141</v>
      </c>
      <c r="L142" s="8" t="s">
        <v>1141</v>
      </c>
      <c r="M142" s="8" t="s">
        <v>421</v>
      </c>
      <c r="N142" s="8"/>
      <c r="O142" s="8">
        <v>3</v>
      </c>
      <c r="P142" s="8" t="s">
        <v>193</v>
      </c>
      <c r="Q142" s="8" t="s">
        <v>228</v>
      </c>
      <c r="R142" s="8" t="s">
        <v>236</v>
      </c>
      <c r="S142" s="8" t="s">
        <v>2483</v>
      </c>
      <c r="T142" s="8" t="s">
        <v>2484</v>
      </c>
      <c r="U142" s="8" t="s">
        <v>2485</v>
      </c>
      <c r="V142" s="8" t="s">
        <v>2486</v>
      </c>
      <c r="W142" s="8" t="s">
        <v>250</v>
      </c>
      <c r="X142" s="8" t="s">
        <v>282</v>
      </c>
      <c r="Y142" s="8" t="s">
        <v>2487</v>
      </c>
      <c r="Z142" s="8" t="s">
        <v>2361</v>
      </c>
      <c r="AA142" s="8" t="s">
        <v>312</v>
      </c>
      <c r="AB142" s="8"/>
      <c r="AC142" s="8" t="s">
        <v>2488</v>
      </c>
      <c r="AD142" s="8" t="s">
        <v>1825</v>
      </c>
      <c r="AE142" s="8" t="s">
        <v>362</v>
      </c>
      <c r="AF142" s="8" t="s">
        <v>2489</v>
      </c>
      <c r="AG142" s="8" t="s">
        <v>2490</v>
      </c>
      <c r="AH142" s="11" t="s">
        <v>1146</v>
      </c>
      <c r="AI142" s="11"/>
      <c r="AJ142" s="8" t="s">
        <v>2491</v>
      </c>
    </row>
    <row r="143" spans="1:36" ht="72" customHeight="1">
      <c r="A143" s="8" t="s">
        <v>2492</v>
      </c>
      <c r="B143" s="8" t="s">
        <v>940</v>
      </c>
      <c r="C143" s="8" t="s">
        <v>396</v>
      </c>
      <c r="D143" s="8" t="s">
        <v>1139</v>
      </c>
      <c r="E143" s="8" t="s">
        <v>118</v>
      </c>
      <c r="F143" s="8" t="s">
        <v>90</v>
      </c>
      <c r="G143" s="8" t="s">
        <v>1161</v>
      </c>
      <c r="H143" s="8" t="s">
        <v>182</v>
      </c>
      <c r="I143" s="8" t="s">
        <v>1141</v>
      </c>
      <c r="J143" s="8" t="s">
        <v>1141</v>
      </c>
      <c r="K143" s="8" t="s">
        <v>1141</v>
      </c>
      <c r="L143" s="8" t="s">
        <v>1141</v>
      </c>
      <c r="M143" s="8" t="s">
        <v>421</v>
      </c>
      <c r="N143" s="8"/>
      <c r="O143" s="8">
        <v>3</v>
      </c>
      <c r="P143" s="8" t="s">
        <v>202</v>
      </c>
      <c r="Q143" s="8" t="s">
        <v>228</v>
      </c>
      <c r="R143" s="8" t="s">
        <v>236</v>
      </c>
      <c r="S143" s="8" t="s">
        <v>2493</v>
      </c>
      <c r="T143" s="8" t="s">
        <v>2494</v>
      </c>
      <c r="U143" s="8" t="s">
        <v>2495</v>
      </c>
      <c r="V143" s="8" t="s">
        <v>2496</v>
      </c>
      <c r="W143" s="8" t="s">
        <v>247</v>
      </c>
      <c r="X143" s="8" t="s">
        <v>279</v>
      </c>
      <c r="Y143" s="8" t="s">
        <v>2497</v>
      </c>
      <c r="Z143" s="8" t="s">
        <v>2498</v>
      </c>
      <c r="AA143" s="8" t="s">
        <v>327</v>
      </c>
      <c r="AB143" s="8"/>
      <c r="AC143" s="8" t="s">
        <v>2499</v>
      </c>
      <c r="AD143" s="8" t="s">
        <v>1825</v>
      </c>
      <c r="AE143" s="8" t="s">
        <v>362</v>
      </c>
      <c r="AF143" s="8" t="s">
        <v>2500</v>
      </c>
      <c r="AG143" s="8" t="s">
        <v>2501</v>
      </c>
      <c r="AH143" s="11" t="s">
        <v>1146</v>
      </c>
      <c r="AI143" s="11"/>
      <c r="AJ143" s="8" t="s">
        <v>2502</v>
      </c>
    </row>
    <row r="144" spans="1:36" ht="72" customHeight="1">
      <c r="A144" s="8" t="s">
        <v>2503</v>
      </c>
      <c r="B144" s="8" t="s">
        <v>944</v>
      </c>
      <c r="C144" s="8" t="s">
        <v>396</v>
      </c>
      <c r="D144" s="8" t="s">
        <v>1139</v>
      </c>
      <c r="E144" s="8" t="s">
        <v>115</v>
      </c>
      <c r="F144" s="8" t="s">
        <v>70</v>
      </c>
      <c r="G144" s="8" t="s">
        <v>1213</v>
      </c>
      <c r="H144" s="8" t="s">
        <v>182</v>
      </c>
      <c r="I144" s="8" t="s">
        <v>1141</v>
      </c>
      <c r="J144" s="8" t="s">
        <v>1141</v>
      </c>
      <c r="K144" s="8" t="s">
        <v>1141</v>
      </c>
      <c r="L144" s="8" t="s">
        <v>1141</v>
      </c>
      <c r="M144" s="8" t="s">
        <v>421</v>
      </c>
      <c r="N144" s="8"/>
      <c r="O144" s="8">
        <v>3</v>
      </c>
      <c r="P144" s="8" t="s">
        <v>193</v>
      </c>
      <c r="Q144" s="8" t="s">
        <v>228</v>
      </c>
      <c r="R144" s="8" t="s">
        <v>236</v>
      </c>
      <c r="S144" s="8" t="s">
        <v>2504</v>
      </c>
      <c r="T144" s="8" t="s">
        <v>2505</v>
      </c>
      <c r="U144" s="8" t="s">
        <v>2506</v>
      </c>
      <c r="V144" s="8" t="s">
        <v>2507</v>
      </c>
      <c r="W144" s="8" t="s">
        <v>268</v>
      </c>
      <c r="X144" s="8" t="s">
        <v>309</v>
      </c>
      <c r="Y144" s="8" t="s">
        <v>2508</v>
      </c>
      <c r="Z144" s="8" t="s">
        <v>2372</v>
      </c>
      <c r="AA144" s="8" t="s">
        <v>312</v>
      </c>
      <c r="AB144" s="8"/>
      <c r="AC144" s="8" t="s">
        <v>2509</v>
      </c>
      <c r="AD144" s="8" t="s">
        <v>1825</v>
      </c>
      <c r="AE144" s="8" t="s">
        <v>362</v>
      </c>
      <c r="AF144" s="8" t="s">
        <v>2510</v>
      </c>
      <c r="AG144" s="8" t="s">
        <v>2511</v>
      </c>
      <c r="AH144" s="11" t="s">
        <v>1146</v>
      </c>
      <c r="AI144" s="11"/>
      <c r="AJ144" s="8" t="s">
        <v>2512</v>
      </c>
    </row>
    <row r="145" spans="1:36" ht="96" customHeight="1">
      <c r="A145" s="8" t="s">
        <v>2513</v>
      </c>
      <c r="B145" s="8" t="s">
        <v>948</v>
      </c>
      <c r="C145" s="8" t="s">
        <v>396</v>
      </c>
      <c r="D145" s="8" t="s">
        <v>1139</v>
      </c>
      <c r="E145" s="8" t="s">
        <v>106</v>
      </c>
      <c r="F145" s="8" t="s">
        <v>80</v>
      </c>
      <c r="G145" s="8" t="s">
        <v>1213</v>
      </c>
      <c r="H145" s="8" t="s">
        <v>182</v>
      </c>
      <c r="I145" s="8" t="s">
        <v>1141</v>
      </c>
      <c r="J145" s="8" t="s">
        <v>1141</v>
      </c>
      <c r="K145" s="8" t="s">
        <v>1141</v>
      </c>
      <c r="L145" s="8" t="s">
        <v>1141</v>
      </c>
      <c r="M145" s="8" t="s">
        <v>421</v>
      </c>
      <c r="N145" s="8"/>
      <c r="O145" s="8">
        <v>3</v>
      </c>
      <c r="P145" s="8" t="s">
        <v>193</v>
      </c>
      <c r="Q145" s="8" t="s">
        <v>228</v>
      </c>
      <c r="R145" s="8" t="s">
        <v>236</v>
      </c>
      <c r="S145" s="8" t="s">
        <v>2514</v>
      </c>
      <c r="T145" s="8" t="s">
        <v>2515</v>
      </c>
      <c r="U145" s="8" t="s">
        <v>2516</v>
      </c>
      <c r="V145" s="8" t="s">
        <v>2517</v>
      </c>
      <c r="W145" s="8" t="s">
        <v>268</v>
      </c>
      <c r="X145" s="8" t="s">
        <v>309</v>
      </c>
      <c r="Y145" s="8" t="s">
        <v>2518</v>
      </c>
      <c r="Z145" s="8" t="s">
        <v>2519</v>
      </c>
      <c r="AA145" s="8" t="s">
        <v>321</v>
      </c>
      <c r="AB145" s="8"/>
      <c r="AC145" s="8" t="s">
        <v>2520</v>
      </c>
      <c r="AD145" s="8" t="s">
        <v>2521</v>
      </c>
      <c r="AE145" s="8" t="s">
        <v>374</v>
      </c>
      <c r="AF145" s="8" t="s">
        <v>2522</v>
      </c>
      <c r="AG145" s="8" t="s">
        <v>2523</v>
      </c>
      <c r="AH145" s="11" t="s">
        <v>1146</v>
      </c>
      <c r="AI145" s="11"/>
      <c r="AJ145" s="8" t="s">
        <v>2524</v>
      </c>
    </row>
    <row r="146" spans="1:36" ht="107.25" customHeight="1">
      <c r="A146" s="8" t="s">
        <v>2525</v>
      </c>
      <c r="B146" s="8" t="s">
        <v>952</v>
      </c>
      <c r="C146" s="8" t="s">
        <v>396</v>
      </c>
      <c r="D146" s="8" t="s">
        <v>1139</v>
      </c>
      <c r="E146" s="8" t="s">
        <v>106</v>
      </c>
      <c r="F146" s="8" t="s">
        <v>65</v>
      </c>
      <c r="G146" s="8" t="s">
        <v>1140</v>
      </c>
      <c r="H146" s="8" t="s">
        <v>163</v>
      </c>
      <c r="I146" s="8" t="s">
        <v>1141</v>
      </c>
      <c r="J146" s="8" t="s">
        <v>1141</v>
      </c>
      <c r="K146" s="8" t="s">
        <v>1141</v>
      </c>
      <c r="L146" s="8" t="s">
        <v>1141</v>
      </c>
      <c r="M146" s="8" t="s">
        <v>421</v>
      </c>
      <c r="N146" s="8"/>
      <c r="O146" s="8">
        <v>3</v>
      </c>
      <c r="P146" s="8" t="s">
        <v>193</v>
      </c>
      <c r="Q146" s="8" t="s">
        <v>228</v>
      </c>
      <c r="R146" s="8" t="s">
        <v>236</v>
      </c>
      <c r="S146" s="8" t="s">
        <v>2526</v>
      </c>
      <c r="T146" s="8" t="s">
        <v>2527</v>
      </c>
      <c r="U146" s="8" t="s">
        <v>2389</v>
      </c>
      <c r="V146" s="8" t="s">
        <v>2528</v>
      </c>
      <c r="W146" s="8" t="s">
        <v>274</v>
      </c>
      <c r="X146" s="8" t="s">
        <v>309</v>
      </c>
      <c r="Y146" s="8" t="s">
        <v>2529</v>
      </c>
      <c r="Z146" s="8" t="s">
        <v>2530</v>
      </c>
      <c r="AA146" s="8" t="s">
        <v>333</v>
      </c>
      <c r="AB146" s="8"/>
      <c r="AC146" s="8" t="s">
        <v>2531</v>
      </c>
      <c r="AD146" s="8" t="s">
        <v>1825</v>
      </c>
      <c r="AE146" s="8" t="s">
        <v>362</v>
      </c>
      <c r="AF146" s="8" t="s">
        <v>2510</v>
      </c>
      <c r="AG146" s="8" t="s">
        <v>2532</v>
      </c>
      <c r="AH146" s="11" t="s">
        <v>1146</v>
      </c>
      <c r="AI146" s="11"/>
      <c r="AJ146" s="8" t="s">
        <v>2533</v>
      </c>
    </row>
    <row r="147" spans="1:36" ht="72" customHeight="1">
      <c r="A147" s="8" t="s">
        <v>2534</v>
      </c>
      <c r="B147" s="8" t="s">
        <v>956</v>
      </c>
      <c r="C147" s="8" t="s">
        <v>396</v>
      </c>
      <c r="D147" s="8" t="s">
        <v>1139</v>
      </c>
      <c r="E147" s="8" t="s">
        <v>124</v>
      </c>
      <c r="F147" s="8" t="s">
        <v>70</v>
      </c>
      <c r="G147" s="8" t="s">
        <v>1213</v>
      </c>
      <c r="H147" s="8" t="s">
        <v>182</v>
      </c>
      <c r="I147" s="8" t="s">
        <v>1141</v>
      </c>
      <c r="J147" s="8" t="s">
        <v>1141</v>
      </c>
      <c r="K147" s="8" t="s">
        <v>1141</v>
      </c>
      <c r="L147" s="8" t="s">
        <v>1141</v>
      </c>
      <c r="M147" s="8" t="s">
        <v>421</v>
      </c>
      <c r="N147" s="8"/>
      <c r="O147" s="8">
        <v>2</v>
      </c>
      <c r="P147" s="8" t="s">
        <v>199</v>
      </c>
      <c r="Q147" s="8" t="s">
        <v>225</v>
      </c>
      <c r="R147" s="8" t="s">
        <v>236</v>
      </c>
      <c r="S147" s="8" t="s">
        <v>2535</v>
      </c>
      <c r="T147" s="8" t="s">
        <v>2536</v>
      </c>
      <c r="U147" s="8" t="s">
        <v>2537</v>
      </c>
      <c r="V147" s="8" t="s">
        <v>2538</v>
      </c>
      <c r="W147" s="8" t="s">
        <v>250</v>
      </c>
      <c r="X147" s="8" t="s">
        <v>309</v>
      </c>
      <c r="Y147" s="8" t="s">
        <v>2539</v>
      </c>
      <c r="Z147" s="8" t="s">
        <v>2540</v>
      </c>
      <c r="AA147" s="8" t="s">
        <v>312</v>
      </c>
      <c r="AB147" s="8"/>
      <c r="AC147" s="8" t="s">
        <v>2541</v>
      </c>
      <c r="AD147" s="8" t="s">
        <v>381</v>
      </c>
      <c r="AE147" s="8" t="s">
        <v>380</v>
      </c>
      <c r="AF147" s="8" t="s">
        <v>2542</v>
      </c>
      <c r="AG147" s="8" t="s">
        <v>2543</v>
      </c>
      <c r="AH147" s="11" t="s">
        <v>1146</v>
      </c>
      <c r="AI147" s="11"/>
      <c r="AJ147" s="8" t="s">
        <v>2544</v>
      </c>
    </row>
    <row r="148" spans="1:36" ht="72" customHeight="1">
      <c r="A148" s="8" t="s">
        <v>2545</v>
      </c>
      <c r="B148" s="8" t="s">
        <v>960</v>
      </c>
      <c r="C148" s="8" t="s">
        <v>396</v>
      </c>
      <c r="D148" s="8" t="s">
        <v>1139</v>
      </c>
      <c r="E148" s="8" t="s">
        <v>124</v>
      </c>
      <c r="F148" s="8" t="s">
        <v>70</v>
      </c>
      <c r="G148" s="8" t="s">
        <v>1213</v>
      </c>
      <c r="H148" s="8" t="s">
        <v>182</v>
      </c>
      <c r="I148" s="8" t="s">
        <v>1141</v>
      </c>
      <c r="J148" s="8" t="s">
        <v>1141</v>
      </c>
      <c r="K148" s="8" t="s">
        <v>1141</v>
      </c>
      <c r="L148" s="8" t="s">
        <v>1141</v>
      </c>
      <c r="M148" s="8" t="s">
        <v>421</v>
      </c>
      <c r="N148" s="8"/>
      <c r="O148" s="8">
        <v>2</v>
      </c>
      <c r="P148" s="8" t="s">
        <v>199</v>
      </c>
      <c r="Q148" s="8" t="s">
        <v>225</v>
      </c>
      <c r="R148" s="8" t="s">
        <v>236</v>
      </c>
      <c r="S148" s="8" t="s">
        <v>2546</v>
      </c>
      <c r="T148" s="8" t="s">
        <v>2547</v>
      </c>
      <c r="U148" s="8" t="s">
        <v>2548</v>
      </c>
      <c r="V148" s="8" t="s">
        <v>2549</v>
      </c>
      <c r="W148" s="8" t="s">
        <v>250</v>
      </c>
      <c r="X148" s="8" t="s">
        <v>309</v>
      </c>
      <c r="Y148" s="8" t="s">
        <v>2550</v>
      </c>
      <c r="Z148" s="8" t="s">
        <v>2551</v>
      </c>
      <c r="AA148" s="8" t="s">
        <v>312</v>
      </c>
      <c r="AB148" s="8"/>
      <c r="AC148" s="8" t="s">
        <v>2552</v>
      </c>
      <c r="AD148" s="8" t="s">
        <v>2553</v>
      </c>
      <c r="AE148" s="8" t="s">
        <v>365</v>
      </c>
      <c r="AF148" s="8" t="s">
        <v>2554</v>
      </c>
      <c r="AG148" s="8" t="s">
        <v>2555</v>
      </c>
      <c r="AH148" s="11" t="s">
        <v>1146</v>
      </c>
      <c r="AI148" s="11"/>
      <c r="AJ148" s="8" t="s">
        <v>2556</v>
      </c>
    </row>
    <row r="149" spans="1:36" ht="130.5" customHeight="1">
      <c r="A149" s="8" t="s">
        <v>2557</v>
      </c>
      <c r="B149" s="8" t="s">
        <v>972</v>
      </c>
      <c r="C149" s="8" t="s">
        <v>396</v>
      </c>
      <c r="D149" s="8" t="s">
        <v>1139</v>
      </c>
      <c r="E149" s="8" t="s">
        <v>136</v>
      </c>
      <c r="F149" s="8" t="s">
        <v>75</v>
      </c>
      <c r="G149" s="8" t="s">
        <v>1213</v>
      </c>
      <c r="H149" s="8" t="s">
        <v>182</v>
      </c>
      <c r="I149" s="8" t="s">
        <v>1141</v>
      </c>
      <c r="J149" s="8" t="s">
        <v>1141</v>
      </c>
      <c r="K149" s="8" t="s">
        <v>1141</v>
      </c>
      <c r="L149" s="8" t="s">
        <v>1141</v>
      </c>
      <c r="M149" s="8" t="s">
        <v>421</v>
      </c>
      <c r="N149" s="8"/>
      <c r="O149" s="8">
        <v>1</v>
      </c>
      <c r="P149" s="8" t="s">
        <v>205</v>
      </c>
      <c r="Q149" s="8" t="s">
        <v>228</v>
      </c>
      <c r="R149" s="8" t="s">
        <v>236</v>
      </c>
      <c r="S149" s="8" t="s">
        <v>2558</v>
      </c>
      <c r="T149" s="8" t="s">
        <v>2559</v>
      </c>
      <c r="U149" s="8" t="s">
        <v>2560</v>
      </c>
      <c r="V149" s="8" t="s">
        <v>2561</v>
      </c>
      <c r="W149" s="8" t="s">
        <v>268</v>
      </c>
      <c r="X149" s="8" t="s">
        <v>309</v>
      </c>
      <c r="Y149" s="8" t="s">
        <v>2562</v>
      </c>
      <c r="Z149" s="8" t="s">
        <v>2563</v>
      </c>
      <c r="AA149" s="8" t="s">
        <v>312</v>
      </c>
      <c r="AB149" s="8"/>
      <c r="AC149" s="8" t="s">
        <v>2564</v>
      </c>
      <c r="AD149" s="8" t="s">
        <v>1825</v>
      </c>
      <c r="AE149" s="8" t="s">
        <v>362</v>
      </c>
      <c r="AF149" s="8" t="s">
        <v>2565</v>
      </c>
      <c r="AG149" s="8" t="s">
        <v>2566</v>
      </c>
      <c r="AH149" s="11" t="s">
        <v>1146</v>
      </c>
      <c r="AI149" s="11"/>
      <c r="AJ149" s="8" t="s">
        <v>2567</v>
      </c>
    </row>
    <row r="150" spans="1:36" ht="130.5" customHeight="1">
      <c r="A150" s="8" t="s">
        <v>2568</v>
      </c>
      <c r="B150" s="8" t="s">
        <v>976</v>
      </c>
      <c r="C150" s="8" t="s">
        <v>396</v>
      </c>
      <c r="D150" s="8" t="s">
        <v>1139</v>
      </c>
      <c r="E150" s="8" t="s">
        <v>133</v>
      </c>
      <c r="F150" s="8" t="s">
        <v>90</v>
      </c>
      <c r="G150" s="8" t="s">
        <v>1161</v>
      </c>
      <c r="H150" s="8" t="s">
        <v>182</v>
      </c>
      <c r="I150" s="8" t="s">
        <v>1141</v>
      </c>
      <c r="J150" s="8" t="s">
        <v>1141</v>
      </c>
      <c r="K150" s="8" t="s">
        <v>1141</v>
      </c>
      <c r="L150" s="8" t="s">
        <v>1141</v>
      </c>
      <c r="M150" s="8" t="s">
        <v>421</v>
      </c>
      <c r="N150" s="8"/>
      <c r="O150" s="8">
        <v>2</v>
      </c>
      <c r="P150" s="8" t="s">
        <v>196</v>
      </c>
      <c r="Q150" s="8" t="s">
        <v>228</v>
      </c>
      <c r="R150" s="8" t="s">
        <v>239</v>
      </c>
      <c r="S150" s="8" t="s">
        <v>2569</v>
      </c>
      <c r="T150" s="8" t="s">
        <v>2570</v>
      </c>
      <c r="U150" s="8" t="s">
        <v>2571</v>
      </c>
      <c r="V150" s="8" t="s">
        <v>2572</v>
      </c>
      <c r="W150" s="8" t="s">
        <v>274</v>
      </c>
      <c r="X150" s="8" t="s">
        <v>303</v>
      </c>
      <c r="Y150" s="8" t="s">
        <v>2573</v>
      </c>
      <c r="Z150" s="8" t="s">
        <v>2574</v>
      </c>
      <c r="AA150" s="8" t="s">
        <v>330</v>
      </c>
      <c r="AB150" s="8"/>
      <c r="AC150" s="8" t="s">
        <v>2575</v>
      </c>
      <c r="AD150" s="8" t="s">
        <v>2576</v>
      </c>
      <c r="AE150" s="8" t="s">
        <v>386</v>
      </c>
      <c r="AF150" s="8" t="s">
        <v>2577</v>
      </c>
      <c r="AG150" s="8" t="s">
        <v>2578</v>
      </c>
      <c r="AH150" s="11" t="s">
        <v>1146</v>
      </c>
      <c r="AI150" s="11"/>
      <c r="AJ150" s="8" t="s">
        <v>2579</v>
      </c>
    </row>
    <row r="151" spans="1:36" ht="107.25" customHeight="1">
      <c r="A151" s="8" t="s">
        <v>2580</v>
      </c>
      <c r="B151" s="8" t="s">
        <v>980</v>
      </c>
      <c r="C151" s="8" t="s">
        <v>396</v>
      </c>
      <c r="D151" s="8" t="s">
        <v>1139</v>
      </c>
      <c r="E151" s="8" t="s">
        <v>136</v>
      </c>
      <c r="F151" s="8" t="s">
        <v>75</v>
      </c>
      <c r="G151" s="8" t="s">
        <v>1213</v>
      </c>
      <c r="H151" s="8" t="s">
        <v>182</v>
      </c>
      <c r="I151" s="8" t="s">
        <v>1141</v>
      </c>
      <c r="J151" s="8" t="s">
        <v>1141</v>
      </c>
      <c r="K151" s="8" t="s">
        <v>1141</v>
      </c>
      <c r="L151" s="8" t="s">
        <v>1141</v>
      </c>
      <c r="M151" s="8" t="s">
        <v>421</v>
      </c>
      <c r="N151" s="8"/>
      <c r="O151" s="8">
        <v>2</v>
      </c>
      <c r="P151" s="8" t="s">
        <v>196</v>
      </c>
      <c r="Q151" s="8" t="s">
        <v>228</v>
      </c>
      <c r="R151" s="8" t="s">
        <v>239</v>
      </c>
      <c r="S151" s="8" t="s">
        <v>2581</v>
      </c>
      <c r="T151" s="8" t="s">
        <v>2582</v>
      </c>
      <c r="U151" s="8" t="s">
        <v>2583</v>
      </c>
      <c r="V151" s="8" t="s">
        <v>2584</v>
      </c>
      <c r="W151" s="8" t="s">
        <v>274</v>
      </c>
      <c r="X151" s="8" t="s">
        <v>309</v>
      </c>
      <c r="Y151" s="8" t="s">
        <v>2585</v>
      </c>
      <c r="Z151" s="8" t="s">
        <v>2586</v>
      </c>
      <c r="AA151" s="8" t="s">
        <v>312</v>
      </c>
      <c r="AB151" s="8"/>
      <c r="AC151" s="8" t="s">
        <v>2587</v>
      </c>
      <c r="AD151" s="8" t="s">
        <v>2588</v>
      </c>
      <c r="AE151" s="8" t="s">
        <v>362</v>
      </c>
      <c r="AF151" s="8" t="s">
        <v>2589</v>
      </c>
      <c r="AG151" s="8" t="s">
        <v>2590</v>
      </c>
      <c r="AH151" s="11" t="s">
        <v>1146</v>
      </c>
      <c r="AI151" s="11"/>
      <c r="AJ151" s="8" t="s">
        <v>2591</v>
      </c>
    </row>
    <row r="152" spans="1:36" ht="118.5" customHeight="1">
      <c r="A152" s="8" t="s">
        <v>2592</v>
      </c>
      <c r="B152" s="8" t="s">
        <v>984</v>
      </c>
      <c r="C152" s="8" t="s">
        <v>396</v>
      </c>
      <c r="D152" s="8" t="s">
        <v>1139</v>
      </c>
      <c r="E152" s="8" t="s">
        <v>136</v>
      </c>
      <c r="F152" s="8" t="s">
        <v>80</v>
      </c>
      <c r="G152" s="8" t="s">
        <v>1213</v>
      </c>
      <c r="H152" s="8" t="s">
        <v>182</v>
      </c>
      <c r="I152" s="8" t="s">
        <v>1141</v>
      </c>
      <c r="J152" s="8" t="s">
        <v>1141</v>
      </c>
      <c r="K152" s="8" t="s">
        <v>1141</v>
      </c>
      <c r="L152" s="8" t="s">
        <v>1141</v>
      </c>
      <c r="M152" s="8" t="s">
        <v>421</v>
      </c>
      <c r="N152" s="8"/>
      <c r="O152" s="8">
        <v>1</v>
      </c>
      <c r="P152" s="8" t="s">
        <v>205</v>
      </c>
      <c r="Q152" s="8" t="s">
        <v>228</v>
      </c>
      <c r="R152" s="8" t="s">
        <v>239</v>
      </c>
      <c r="S152" s="8" t="s">
        <v>2593</v>
      </c>
      <c r="T152" s="8" t="s">
        <v>2594</v>
      </c>
      <c r="U152" s="8" t="s">
        <v>2595</v>
      </c>
      <c r="V152" s="8" t="s">
        <v>2596</v>
      </c>
      <c r="W152" s="8" t="s">
        <v>274</v>
      </c>
      <c r="X152" s="8" t="s">
        <v>309</v>
      </c>
      <c r="Y152" s="8" t="s">
        <v>2597</v>
      </c>
      <c r="Z152" s="8" t="s">
        <v>2598</v>
      </c>
      <c r="AA152" s="8" t="s">
        <v>312</v>
      </c>
      <c r="AB152" s="8"/>
      <c r="AC152" s="8" t="s">
        <v>2599</v>
      </c>
      <c r="AD152" s="8" t="s">
        <v>2600</v>
      </c>
      <c r="AE152" s="8" t="s">
        <v>362</v>
      </c>
      <c r="AF152" s="8" t="s">
        <v>2601</v>
      </c>
      <c r="AG152" s="8" t="s">
        <v>2602</v>
      </c>
      <c r="AH152" s="11" t="s">
        <v>1146</v>
      </c>
      <c r="AI152" s="11"/>
      <c r="AJ152" s="8" t="s">
        <v>2603</v>
      </c>
    </row>
    <row r="153" spans="1:36" ht="84" customHeight="1">
      <c r="A153" s="8" t="s">
        <v>2604</v>
      </c>
      <c r="B153" s="8" t="s">
        <v>988</v>
      </c>
      <c r="C153" s="8" t="s">
        <v>396</v>
      </c>
      <c r="D153" s="8" t="s">
        <v>1139</v>
      </c>
      <c r="E153" s="8" t="s">
        <v>136</v>
      </c>
      <c r="F153" s="8" t="s">
        <v>75</v>
      </c>
      <c r="G153" s="8" t="s">
        <v>1213</v>
      </c>
      <c r="H153" s="8" t="s">
        <v>182</v>
      </c>
      <c r="I153" s="8" t="s">
        <v>1141</v>
      </c>
      <c r="J153" s="8" t="s">
        <v>1141</v>
      </c>
      <c r="K153" s="8" t="s">
        <v>1141</v>
      </c>
      <c r="L153" s="8" t="s">
        <v>1141</v>
      </c>
      <c r="M153" s="8" t="s">
        <v>421</v>
      </c>
      <c r="N153" s="8"/>
      <c r="O153" s="8">
        <v>1</v>
      </c>
      <c r="P153" s="8" t="s">
        <v>205</v>
      </c>
      <c r="Q153" s="8" t="s">
        <v>228</v>
      </c>
      <c r="R153" s="8" t="s">
        <v>239</v>
      </c>
      <c r="S153" s="8" t="s">
        <v>2605</v>
      </c>
      <c r="T153" s="8" t="s">
        <v>2606</v>
      </c>
      <c r="U153" s="8" t="s">
        <v>2607</v>
      </c>
      <c r="V153" s="8" t="s">
        <v>2608</v>
      </c>
      <c r="W153" s="8" t="s">
        <v>268</v>
      </c>
      <c r="X153" s="8" t="s">
        <v>309</v>
      </c>
      <c r="Y153" s="8" t="s">
        <v>2609</v>
      </c>
      <c r="Z153" s="8" t="s">
        <v>2610</v>
      </c>
      <c r="AA153" s="8" t="s">
        <v>321</v>
      </c>
      <c r="AB153" s="8"/>
      <c r="AC153" s="8" t="s">
        <v>2611</v>
      </c>
      <c r="AD153" s="8" t="s">
        <v>1825</v>
      </c>
      <c r="AE153" s="8" t="s">
        <v>362</v>
      </c>
      <c r="AF153" s="8" t="s">
        <v>2601</v>
      </c>
      <c r="AG153" s="8" t="s">
        <v>2612</v>
      </c>
      <c r="AH153" s="11" t="s">
        <v>1146</v>
      </c>
      <c r="AI153" s="11"/>
      <c r="AJ153" s="8" t="s">
        <v>2613</v>
      </c>
    </row>
    <row r="154" spans="1:36" ht="72" customHeight="1">
      <c r="A154" s="8" t="s">
        <v>2614</v>
      </c>
      <c r="B154" s="8" t="s">
        <v>992</v>
      </c>
      <c r="C154" s="8" t="s">
        <v>396</v>
      </c>
      <c r="D154" s="8" t="s">
        <v>1139</v>
      </c>
      <c r="E154" s="8" t="s">
        <v>99</v>
      </c>
      <c r="F154" s="8" t="s">
        <v>65</v>
      </c>
      <c r="G154" s="8" t="s">
        <v>1149</v>
      </c>
      <c r="H154" s="8" t="s">
        <v>182</v>
      </c>
      <c r="I154" s="8" t="s">
        <v>1141</v>
      </c>
      <c r="J154" s="8" t="s">
        <v>1141</v>
      </c>
      <c r="K154" s="8" t="s">
        <v>1141</v>
      </c>
      <c r="L154" s="8" t="s">
        <v>1141</v>
      </c>
      <c r="M154" s="8" t="s">
        <v>421</v>
      </c>
      <c r="N154" s="8"/>
      <c r="O154" s="8">
        <v>3</v>
      </c>
      <c r="P154" s="8" t="s">
        <v>202</v>
      </c>
      <c r="Q154" s="8" t="s">
        <v>228</v>
      </c>
      <c r="R154" s="8" t="s">
        <v>236</v>
      </c>
      <c r="S154" s="8" t="s">
        <v>2615</v>
      </c>
      <c r="T154" s="8" t="s">
        <v>2616</v>
      </c>
      <c r="U154" s="8" t="s">
        <v>2617</v>
      </c>
      <c r="V154" s="8" t="s">
        <v>2618</v>
      </c>
      <c r="W154" s="8" t="s">
        <v>250</v>
      </c>
      <c r="X154" s="8" t="s">
        <v>285</v>
      </c>
      <c r="Y154" s="8" t="s">
        <v>2619</v>
      </c>
      <c r="Z154" s="8" t="s">
        <v>2620</v>
      </c>
      <c r="AA154" s="8" t="s">
        <v>312</v>
      </c>
      <c r="AB154" s="8"/>
      <c r="AC154" s="8" t="s">
        <v>2621</v>
      </c>
      <c r="AD154" s="8" t="s">
        <v>2622</v>
      </c>
      <c r="AE154" s="8" t="s">
        <v>362</v>
      </c>
      <c r="AF154" s="8" t="s">
        <v>2601</v>
      </c>
      <c r="AG154" s="8" t="s">
        <v>2623</v>
      </c>
      <c r="AH154" s="11" t="s">
        <v>1146</v>
      </c>
      <c r="AI154" s="11"/>
      <c r="AJ154" s="8" t="s">
        <v>2624</v>
      </c>
    </row>
    <row r="155" spans="1:36" ht="96" customHeight="1">
      <c r="A155" s="8" t="s">
        <v>2625</v>
      </c>
      <c r="B155" s="8" t="s">
        <v>996</v>
      </c>
      <c r="C155" s="8" t="s">
        <v>396</v>
      </c>
      <c r="D155" s="8" t="s">
        <v>1139</v>
      </c>
      <c r="E155" s="8" t="s">
        <v>118</v>
      </c>
      <c r="F155" s="8" t="s">
        <v>90</v>
      </c>
      <c r="G155" s="8" t="s">
        <v>1161</v>
      </c>
      <c r="H155" s="8" t="s">
        <v>182</v>
      </c>
      <c r="I155" s="8" t="s">
        <v>1141</v>
      </c>
      <c r="J155" s="8" t="s">
        <v>1141</v>
      </c>
      <c r="K155" s="8" t="s">
        <v>1141</v>
      </c>
      <c r="L155" s="8" t="s">
        <v>1141</v>
      </c>
      <c r="M155" s="8" t="s">
        <v>421</v>
      </c>
      <c r="N155" s="8"/>
      <c r="O155" s="8">
        <v>2</v>
      </c>
      <c r="P155" s="8" t="s">
        <v>199</v>
      </c>
      <c r="Q155" s="8" t="s">
        <v>225</v>
      </c>
      <c r="R155" s="8" t="s">
        <v>236</v>
      </c>
      <c r="S155" s="8" t="s">
        <v>2626</v>
      </c>
      <c r="T155" s="8" t="s">
        <v>2627</v>
      </c>
      <c r="U155" s="8" t="s">
        <v>2628</v>
      </c>
      <c r="V155" s="8" t="s">
        <v>2629</v>
      </c>
      <c r="W155" s="8" t="s">
        <v>274</v>
      </c>
      <c r="X155" s="8" t="s">
        <v>306</v>
      </c>
      <c r="Y155" s="8" t="s">
        <v>2630</v>
      </c>
      <c r="Z155" s="8" t="s">
        <v>2631</v>
      </c>
      <c r="AA155" s="8" t="s">
        <v>333</v>
      </c>
      <c r="AB155" s="8" t="s">
        <v>356</v>
      </c>
      <c r="AC155" s="8" t="s">
        <v>2632</v>
      </c>
      <c r="AD155" s="8" t="s">
        <v>2633</v>
      </c>
      <c r="AE155" s="8" t="s">
        <v>362</v>
      </c>
      <c r="AF155" s="8" t="s">
        <v>2634</v>
      </c>
      <c r="AG155" s="8" t="s">
        <v>2635</v>
      </c>
      <c r="AH155" s="11" t="s">
        <v>1146</v>
      </c>
      <c r="AI155" s="11"/>
      <c r="AJ155" s="8" t="s">
        <v>2636</v>
      </c>
    </row>
    <row r="156" spans="1:36" ht="60" customHeight="1">
      <c r="A156" s="8" t="s">
        <v>2637</v>
      </c>
      <c r="B156" s="8" t="s">
        <v>1000</v>
      </c>
      <c r="C156" s="8" t="s">
        <v>396</v>
      </c>
      <c r="D156" s="8" t="s">
        <v>1139</v>
      </c>
      <c r="E156" s="8" t="s">
        <v>118</v>
      </c>
      <c r="F156" s="8" t="s">
        <v>90</v>
      </c>
      <c r="G156" s="8" t="s">
        <v>1161</v>
      </c>
      <c r="H156" s="8" t="s">
        <v>182</v>
      </c>
      <c r="I156" s="8" t="s">
        <v>1141</v>
      </c>
      <c r="J156" s="8" t="s">
        <v>1141</v>
      </c>
      <c r="K156" s="8" t="s">
        <v>1141</v>
      </c>
      <c r="L156" s="8" t="s">
        <v>1141</v>
      </c>
      <c r="M156" s="8" t="s">
        <v>421</v>
      </c>
      <c r="N156" s="8"/>
      <c r="O156" s="8">
        <v>1</v>
      </c>
      <c r="P156" s="8" t="s">
        <v>205</v>
      </c>
      <c r="Q156" s="8" t="s">
        <v>228</v>
      </c>
      <c r="R156" s="8" t="s">
        <v>236</v>
      </c>
      <c r="S156" s="8" t="s">
        <v>2638</v>
      </c>
      <c r="T156" s="8" t="s">
        <v>2639</v>
      </c>
      <c r="U156" s="8" t="s">
        <v>2640</v>
      </c>
      <c r="V156" s="8" t="s">
        <v>2641</v>
      </c>
      <c r="W156" s="8" t="s">
        <v>274</v>
      </c>
      <c r="X156" s="8" t="s">
        <v>309</v>
      </c>
      <c r="Y156" s="8" t="s">
        <v>2642</v>
      </c>
      <c r="Z156" s="8" t="s">
        <v>2643</v>
      </c>
      <c r="AA156" s="8" t="s">
        <v>333</v>
      </c>
      <c r="AB156" s="8" t="s">
        <v>356</v>
      </c>
      <c r="AC156" s="8" t="s">
        <v>2644</v>
      </c>
      <c r="AD156" s="8" t="s">
        <v>1825</v>
      </c>
      <c r="AE156" s="8" t="s">
        <v>362</v>
      </c>
      <c r="AF156" s="8" t="s">
        <v>2645</v>
      </c>
      <c r="AG156" s="8" t="s">
        <v>2646</v>
      </c>
      <c r="AH156" s="11" t="s">
        <v>1146</v>
      </c>
      <c r="AI156" s="11"/>
      <c r="AJ156" s="8" t="s">
        <v>2647</v>
      </c>
    </row>
    <row r="157" spans="1:36" ht="84" customHeight="1">
      <c r="A157" s="8" t="s">
        <v>2648</v>
      </c>
      <c r="B157" s="8" t="s">
        <v>1004</v>
      </c>
      <c r="C157" s="8" t="s">
        <v>396</v>
      </c>
      <c r="D157" s="8" t="s">
        <v>1139</v>
      </c>
      <c r="E157" s="8" t="s">
        <v>99</v>
      </c>
      <c r="F157" s="8" t="s">
        <v>90</v>
      </c>
      <c r="G157" s="8" t="s">
        <v>1642</v>
      </c>
      <c r="H157" s="8" t="s">
        <v>150</v>
      </c>
      <c r="I157" s="8" t="s">
        <v>1141</v>
      </c>
      <c r="J157" s="8" t="s">
        <v>1141</v>
      </c>
      <c r="K157" s="8" t="s">
        <v>1141</v>
      </c>
      <c r="L157" s="8" t="s">
        <v>1141</v>
      </c>
      <c r="M157" s="8" t="s">
        <v>421</v>
      </c>
      <c r="N157" s="8"/>
      <c r="O157" s="8">
        <v>3</v>
      </c>
      <c r="P157" s="8" t="s">
        <v>202</v>
      </c>
      <c r="Q157" s="8" t="s">
        <v>228</v>
      </c>
      <c r="R157" s="8" t="s">
        <v>236</v>
      </c>
      <c r="S157" s="8" t="s">
        <v>2649</v>
      </c>
      <c r="T157" s="8" t="s">
        <v>2650</v>
      </c>
      <c r="U157" s="8" t="s">
        <v>2651</v>
      </c>
      <c r="V157" s="8" t="s">
        <v>2652</v>
      </c>
      <c r="W157" s="8" t="s">
        <v>274</v>
      </c>
      <c r="X157" s="8" t="s">
        <v>309</v>
      </c>
      <c r="Y157" s="8" t="s">
        <v>2653</v>
      </c>
      <c r="Z157" s="8" t="s">
        <v>2654</v>
      </c>
      <c r="AA157" s="8" t="s">
        <v>333</v>
      </c>
      <c r="AB157" s="8" t="s">
        <v>356</v>
      </c>
      <c r="AC157" s="8" t="s">
        <v>2655</v>
      </c>
      <c r="AD157" s="8" t="s">
        <v>2656</v>
      </c>
      <c r="AE157" s="8" t="s">
        <v>362</v>
      </c>
      <c r="AF157" s="8" t="s">
        <v>2657</v>
      </c>
      <c r="AG157" s="8" t="s">
        <v>2658</v>
      </c>
      <c r="AH157" s="11" t="s">
        <v>1146</v>
      </c>
      <c r="AI157" s="11"/>
      <c r="AJ157" s="8" t="s">
        <v>2659</v>
      </c>
    </row>
    <row r="158" spans="1:36" ht="84">
      <c r="A158" s="8" t="s">
        <v>2660</v>
      </c>
      <c r="B158" s="8" t="s">
        <v>1008</v>
      </c>
      <c r="C158" s="8" t="s">
        <v>2661</v>
      </c>
      <c r="D158" s="8" t="s">
        <v>1139</v>
      </c>
      <c r="E158" s="8" t="s">
        <v>118</v>
      </c>
      <c r="F158" s="8" t="s">
        <v>90</v>
      </c>
      <c r="G158" s="8" t="s">
        <v>1161</v>
      </c>
      <c r="H158" s="8" t="s">
        <v>182</v>
      </c>
      <c r="I158" s="8" t="s">
        <v>1141</v>
      </c>
      <c r="J158" s="8" t="s">
        <v>1141</v>
      </c>
      <c r="K158" s="8" t="s">
        <v>1141</v>
      </c>
      <c r="L158" s="8" t="s">
        <v>1141</v>
      </c>
      <c r="M158" s="8" t="s">
        <v>421</v>
      </c>
      <c r="N158" s="8"/>
      <c r="O158" s="8">
        <v>2</v>
      </c>
      <c r="P158" s="8" t="s">
        <v>199</v>
      </c>
      <c r="Q158" s="8" t="s">
        <v>228</v>
      </c>
      <c r="R158" s="8" t="s">
        <v>236</v>
      </c>
      <c r="S158" s="8" t="s">
        <v>2662</v>
      </c>
      <c r="T158" s="8" t="s">
        <v>2663</v>
      </c>
      <c r="U158" s="8" t="s">
        <v>2664</v>
      </c>
      <c r="V158" s="8" t="s">
        <v>2665</v>
      </c>
      <c r="W158" s="8" t="s">
        <v>247</v>
      </c>
      <c r="X158" s="8" t="s">
        <v>291</v>
      </c>
      <c r="Y158" s="8" t="s">
        <v>2666</v>
      </c>
      <c r="Z158" s="8" t="s">
        <v>2667</v>
      </c>
      <c r="AA158" s="8" t="s">
        <v>321</v>
      </c>
      <c r="AB158" s="8" t="s">
        <v>347</v>
      </c>
      <c r="AC158" s="8" t="s">
        <v>2668</v>
      </c>
      <c r="AD158" s="8" t="s">
        <v>2669</v>
      </c>
      <c r="AE158" s="8" t="s">
        <v>377</v>
      </c>
      <c r="AF158" s="8" t="s">
        <v>2670</v>
      </c>
      <c r="AG158" s="8" t="s">
        <v>2671</v>
      </c>
      <c r="AH158" s="11" t="s">
        <v>1146</v>
      </c>
      <c r="AI158" s="11"/>
      <c r="AJ158" s="8" t="s">
        <v>2672</v>
      </c>
    </row>
    <row r="159" spans="1:36" ht="72">
      <c r="A159" s="8" t="s">
        <v>2673</v>
      </c>
      <c r="B159" s="8" t="s">
        <v>1011</v>
      </c>
      <c r="C159" s="8" t="s">
        <v>2661</v>
      </c>
      <c r="D159" s="8" t="s">
        <v>1139</v>
      </c>
      <c r="E159" s="8" t="s">
        <v>118</v>
      </c>
      <c r="F159" s="8" t="s">
        <v>90</v>
      </c>
      <c r="G159" s="8" t="s">
        <v>1161</v>
      </c>
      <c r="H159" s="8" t="s">
        <v>182</v>
      </c>
      <c r="I159" s="8" t="s">
        <v>1141</v>
      </c>
      <c r="J159" s="8" t="s">
        <v>1141</v>
      </c>
      <c r="K159" s="8" t="s">
        <v>1141</v>
      </c>
      <c r="L159" s="8" t="s">
        <v>1141</v>
      </c>
      <c r="M159" s="8" t="s">
        <v>421</v>
      </c>
      <c r="N159" s="8"/>
      <c r="O159" s="8">
        <v>1</v>
      </c>
      <c r="P159" s="8" t="s">
        <v>205</v>
      </c>
      <c r="Q159" s="8" t="s">
        <v>228</v>
      </c>
      <c r="R159" s="8" t="s">
        <v>239</v>
      </c>
      <c r="S159" s="8" t="s">
        <v>2674</v>
      </c>
      <c r="T159" s="8" t="s">
        <v>2675</v>
      </c>
      <c r="U159" s="8" t="s">
        <v>2676</v>
      </c>
      <c r="V159" s="8" t="s">
        <v>2677</v>
      </c>
      <c r="W159" s="8" t="s">
        <v>274</v>
      </c>
      <c r="X159" s="8" t="s">
        <v>300</v>
      </c>
      <c r="Y159" s="8" t="s">
        <v>2678</v>
      </c>
      <c r="Z159" s="8" t="s">
        <v>2679</v>
      </c>
      <c r="AA159" s="8" t="s">
        <v>333</v>
      </c>
      <c r="AB159" s="8"/>
      <c r="AC159" s="8" t="s">
        <v>2680</v>
      </c>
      <c r="AD159" s="8" t="s">
        <v>2681</v>
      </c>
      <c r="AE159" s="8" t="s">
        <v>362</v>
      </c>
      <c r="AF159" s="8" t="s">
        <v>2682</v>
      </c>
      <c r="AG159" s="8" t="s">
        <v>2683</v>
      </c>
      <c r="AH159" s="11" t="s">
        <v>1146</v>
      </c>
      <c r="AI159" s="11"/>
      <c r="AJ159" s="8" t="s">
        <v>2684</v>
      </c>
    </row>
    <row r="160" spans="1:36" ht="72">
      <c r="A160" s="8" t="s">
        <v>2685</v>
      </c>
      <c r="B160" s="8" t="s">
        <v>1015</v>
      </c>
      <c r="C160" s="8" t="s">
        <v>2661</v>
      </c>
      <c r="D160" s="8" t="s">
        <v>1139</v>
      </c>
      <c r="E160" s="8" t="s">
        <v>99</v>
      </c>
      <c r="F160" s="8" t="s">
        <v>90</v>
      </c>
      <c r="G160" s="8" t="s">
        <v>1161</v>
      </c>
      <c r="H160" s="8" t="s">
        <v>182</v>
      </c>
      <c r="I160" s="8" t="s">
        <v>1141</v>
      </c>
      <c r="J160" s="8" t="s">
        <v>1141</v>
      </c>
      <c r="K160" s="8" t="s">
        <v>1141</v>
      </c>
      <c r="L160" s="8" t="s">
        <v>1141</v>
      </c>
      <c r="M160" s="8" t="s">
        <v>421</v>
      </c>
      <c r="N160" s="8"/>
      <c r="O160" s="8">
        <v>2</v>
      </c>
      <c r="P160" s="8" t="s">
        <v>199</v>
      </c>
      <c r="Q160" s="8" t="s">
        <v>228</v>
      </c>
      <c r="R160" s="8" t="s">
        <v>236</v>
      </c>
      <c r="S160" s="8" t="s">
        <v>2686</v>
      </c>
      <c r="T160" s="8" t="s">
        <v>2687</v>
      </c>
      <c r="U160" s="8" t="s">
        <v>2688</v>
      </c>
      <c r="V160" s="8" t="s">
        <v>2689</v>
      </c>
      <c r="W160" s="8" t="s">
        <v>274</v>
      </c>
      <c r="X160" s="8" t="s">
        <v>291</v>
      </c>
      <c r="Y160" s="8" t="s">
        <v>2690</v>
      </c>
      <c r="Z160" s="8" t="s">
        <v>2691</v>
      </c>
      <c r="AA160" s="8" t="s">
        <v>333</v>
      </c>
      <c r="AB160" s="8" t="s">
        <v>356</v>
      </c>
      <c r="AC160" s="8" t="s">
        <v>2692</v>
      </c>
      <c r="AD160" s="8" t="s">
        <v>2693</v>
      </c>
      <c r="AE160" s="8" t="s">
        <v>386</v>
      </c>
      <c r="AF160" s="8" t="s">
        <v>2694</v>
      </c>
      <c r="AG160" s="8" t="s">
        <v>2695</v>
      </c>
      <c r="AH160" s="11" t="s">
        <v>1146</v>
      </c>
      <c r="AI160" s="11"/>
      <c r="AJ160" s="8" t="s">
        <v>2696</v>
      </c>
    </row>
    <row r="161" spans="1:36" ht="60">
      <c r="A161" s="8" t="s">
        <v>2697</v>
      </c>
      <c r="B161" s="8" t="s">
        <v>1019</v>
      </c>
      <c r="C161" s="8" t="s">
        <v>2661</v>
      </c>
      <c r="D161" s="8" t="s">
        <v>1139</v>
      </c>
      <c r="E161" s="8" t="s">
        <v>115</v>
      </c>
      <c r="F161" s="8" t="s">
        <v>65</v>
      </c>
      <c r="G161" s="8" t="s">
        <v>1330</v>
      </c>
      <c r="H161" s="8" t="s">
        <v>163</v>
      </c>
      <c r="I161" s="8" t="s">
        <v>1141</v>
      </c>
      <c r="J161" s="8" t="s">
        <v>1141</v>
      </c>
      <c r="K161" s="8" t="s">
        <v>1141</v>
      </c>
      <c r="L161" s="8" t="s">
        <v>1141</v>
      </c>
      <c r="M161" s="8" t="s">
        <v>421</v>
      </c>
      <c r="N161" s="8"/>
      <c r="O161" s="8">
        <v>3</v>
      </c>
      <c r="P161" s="8" t="s">
        <v>202</v>
      </c>
      <c r="Q161" s="8" t="s">
        <v>228</v>
      </c>
      <c r="R161" s="8" t="s">
        <v>239</v>
      </c>
      <c r="S161" s="8" t="s">
        <v>2698</v>
      </c>
      <c r="T161" s="8" t="s">
        <v>2699</v>
      </c>
      <c r="U161" s="8" t="s">
        <v>2700</v>
      </c>
      <c r="V161" s="8" t="s">
        <v>2701</v>
      </c>
      <c r="W161" s="8" t="s">
        <v>268</v>
      </c>
      <c r="X161" s="8" t="s">
        <v>309</v>
      </c>
      <c r="Y161" s="8" t="s">
        <v>2702</v>
      </c>
      <c r="Z161" s="8" t="s">
        <v>2372</v>
      </c>
      <c r="AA161" s="8" t="s">
        <v>312</v>
      </c>
      <c r="AB161" s="8"/>
      <c r="AC161" s="8" t="s">
        <v>2703</v>
      </c>
      <c r="AD161" s="8" t="s">
        <v>1825</v>
      </c>
      <c r="AE161" s="8" t="s">
        <v>362</v>
      </c>
      <c r="AF161" s="8" t="s">
        <v>2601</v>
      </c>
      <c r="AG161" s="8" t="s">
        <v>2704</v>
      </c>
      <c r="AH161" s="11" t="s">
        <v>1146</v>
      </c>
      <c r="AI161" s="11"/>
      <c r="AJ161" s="8" t="s">
        <v>2705</v>
      </c>
    </row>
    <row r="162" spans="1:36" ht="72">
      <c r="A162" s="8" t="s">
        <v>2706</v>
      </c>
      <c r="B162" s="8" t="s">
        <v>1023</v>
      </c>
      <c r="C162" s="8" t="s">
        <v>2661</v>
      </c>
      <c r="D162" s="8" t="s">
        <v>1139</v>
      </c>
      <c r="E162" s="8" t="s">
        <v>127</v>
      </c>
      <c r="F162" s="8" t="s">
        <v>90</v>
      </c>
      <c r="G162" s="8" t="s">
        <v>1161</v>
      </c>
      <c r="H162" s="8" t="s">
        <v>182</v>
      </c>
      <c r="I162" s="8" t="s">
        <v>1141</v>
      </c>
      <c r="J162" s="8" t="s">
        <v>1141</v>
      </c>
      <c r="K162" s="8" t="s">
        <v>1141</v>
      </c>
      <c r="L162" s="8" t="s">
        <v>1141</v>
      </c>
      <c r="M162" s="8" t="s">
        <v>421</v>
      </c>
      <c r="N162" s="8"/>
      <c r="O162" s="8">
        <v>2</v>
      </c>
      <c r="P162" s="8" t="s">
        <v>202</v>
      </c>
      <c r="Q162" s="8" t="s">
        <v>228</v>
      </c>
      <c r="R162" s="8" t="s">
        <v>236</v>
      </c>
      <c r="S162" s="8" t="s">
        <v>2707</v>
      </c>
      <c r="T162" s="8" t="s">
        <v>2708</v>
      </c>
      <c r="U162" s="8" t="s">
        <v>2709</v>
      </c>
      <c r="V162" s="8" t="s">
        <v>2710</v>
      </c>
      <c r="W162" s="8" t="s">
        <v>259</v>
      </c>
      <c r="X162" s="8" t="s">
        <v>288</v>
      </c>
      <c r="Y162" s="8" t="s">
        <v>2711</v>
      </c>
      <c r="Z162" s="8" t="s">
        <v>2712</v>
      </c>
      <c r="AA162" s="8" t="s">
        <v>330</v>
      </c>
      <c r="AB162" s="8"/>
      <c r="AC162" s="8" t="s">
        <v>2713</v>
      </c>
      <c r="AD162" s="8" t="s">
        <v>2714</v>
      </c>
      <c r="AE162" s="8" t="s">
        <v>374</v>
      </c>
      <c r="AF162" s="8" t="s">
        <v>2715</v>
      </c>
      <c r="AG162" s="8" t="s">
        <v>2716</v>
      </c>
      <c r="AH162" s="11" t="s">
        <v>1146</v>
      </c>
      <c r="AI162" s="11"/>
      <c r="AJ162" s="8" t="s">
        <v>2717</v>
      </c>
    </row>
    <row r="163" spans="1:36" ht="121.5" customHeight="1">
      <c r="A163" s="8" t="s">
        <v>2718</v>
      </c>
      <c r="B163" s="8" t="s">
        <v>1027</v>
      </c>
      <c r="C163" s="8" t="s">
        <v>2661</v>
      </c>
      <c r="D163" s="8" t="s">
        <v>1139</v>
      </c>
      <c r="E163" s="8" t="s">
        <v>133</v>
      </c>
      <c r="F163" s="8" t="s">
        <v>90</v>
      </c>
      <c r="G163" s="8" t="s">
        <v>1161</v>
      </c>
      <c r="H163" s="8" t="s">
        <v>182</v>
      </c>
      <c r="I163" s="8" t="s">
        <v>1141</v>
      </c>
      <c r="J163" s="8" t="s">
        <v>1141</v>
      </c>
      <c r="K163" s="8" t="s">
        <v>1141</v>
      </c>
      <c r="L163" s="8" t="s">
        <v>1141</v>
      </c>
      <c r="M163" s="8" t="s">
        <v>421</v>
      </c>
      <c r="N163" s="8"/>
      <c r="O163" s="8">
        <v>2</v>
      </c>
      <c r="P163" s="8" t="s">
        <v>211</v>
      </c>
      <c r="Q163" s="8" t="s">
        <v>228</v>
      </c>
      <c r="R163" s="8" t="s">
        <v>236</v>
      </c>
      <c r="S163" s="8" t="s">
        <v>2719</v>
      </c>
      <c r="T163" s="8" t="s">
        <v>2720</v>
      </c>
      <c r="U163" s="8" t="s">
        <v>2721</v>
      </c>
      <c r="V163" s="8" t="s">
        <v>2722</v>
      </c>
      <c r="W163" s="8" t="s">
        <v>274</v>
      </c>
      <c r="X163" s="8" t="s">
        <v>300</v>
      </c>
      <c r="Y163" s="8" t="s">
        <v>2723</v>
      </c>
      <c r="Z163" s="8" t="s">
        <v>2724</v>
      </c>
      <c r="AA163" s="8" t="s">
        <v>330</v>
      </c>
      <c r="AB163" s="8"/>
      <c r="AC163" s="8" t="s">
        <v>2725</v>
      </c>
      <c r="AD163" s="8" t="s">
        <v>2726</v>
      </c>
      <c r="AE163" s="8" t="s">
        <v>371</v>
      </c>
      <c r="AF163" s="8" t="s">
        <v>2727</v>
      </c>
      <c r="AG163" s="8" t="s">
        <v>2728</v>
      </c>
      <c r="AH163" s="11" t="s">
        <v>1146</v>
      </c>
      <c r="AI163" s="11"/>
      <c r="AJ163" s="8" t="s">
        <v>2729</v>
      </c>
    </row>
    <row r="164" spans="1:36" ht="137.25" customHeight="1">
      <c r="A164" s="8" t="s">
        <v>2730</v>
      </c>
      <c r="B164" s="8" t="s">
        <v>1031</v>
      </c>
      <c r="C164" s="8" t="s">
        <v>2661</v>
      </c>
      <c r="D164" s="8" t="s">
        <v>1139</v>
      </c>
      <c r="E164" s="8" t="s">
        <v>133</v>
      </c>
      <c r="F164" s="8" t="s">
        <v>85</v>
      </c>
      <c r="G164" s="8" t="s">
        <v>1230</v>
      </c>
      <c r="H164" s="8" t="s">
        <v>150</v>
      </c>
      <c r="I164" s="8" t="s">
        <v>1141</v>
      </c>
      <c r="J164" s="8" t="s">
        <v>1141</v>
      </c>
      <c r="K164" s="8" t="s">
        <v>1141</v>
      </c>
      <c r="L164" s="8" t="s">
        <v>1141</v>
      </c>
      <c r="M164" s="8" t="s">
        <v>421</v>
      </c>
      <c r="N164" s="8"/>
      <c r="O164" s="8">
        <v>2</v>
      </c>
      <c r="P164" s="8" t="s">
        <v>211</v>
      </c>
      <c r="Q164" s="8" t="s">
        <v>228</v>
      </c>
      <c r="R164" s="8" t="s">
        <v>236</v>
      </c>
      <c r="S164" s="8" t="s">
        <v>2731</v>
      </c>
      <c r="T164" s="8" t="s">
        <v>2732</v>
      </c>
      <c r="U164" s="8" t="s">
        <v>2733</v>
      </c>
      <c r="V164" s="8" t="s">
        <v>2734</v>
      </c>
      <c r="W164" s="8" t="s">
        <v>274</v>
      </c>
      <c r="X164" s="8" t="s">
        <v>300</v>
      </c>
      <c r="Y164" s="8" t="s">
        <v>2735</v>
      </c>
      <c r="Z164" s="8" t="s">
        <v>2724</v>
      </c>
      <c r="AA164" s="8" t="s">
        <v>330</v>
      </c>
      <c r="AB164" s="8"/>
      <c r="AC164" s="8" t="s">
        <v>2736</v>
      </c>
      <c r="AD164" s="8" t="s">
        <v>2737</v>
      </c>
      <c r="AE164" s="8" t="s">
        <v>371</v>
      </c>
      <c r="AF164" s="8" t="s">
        <v>2738</v>
      </c>
      <c r="AG164" s="8" t="s">
        <v>2739</v>
      </c>
      <c r="AH164" s="11" t="s">
        <v>1146</v>
      </c>
      <c r="AI164" s="11"/>
      <c r="AJ164" s="8" t="s">
        <v>2740</v>
      </c>
    </row>
    <row r="165" spans="1:36" ht="72">
      <c r="A165" s="8" t="s">
        <v>2741</v>
      </c>
      <c r="B165" s="8" t="s">
        <v>1035</v>
      </c>
      <c r="C165" s="8" t="s">
        <v>2661</v>
      </c>
      <c r="D165" s="8" t="s">
        <v>1139</v>
      </c>
      <c r="E165" s="8" t="s">
        <v>112</v>
      </c>
      <c r="F165" s="8" t="s">
        <v>90</v>
      </c>
      <c r="G165" s="8" t="s">
        <v>1161</v>
      </c>
      <c r="H165" s="8" t="s">
        <v>182</v>
      </c>
      <c r="I165" s="8" t="s">
        <v>1141</v>
      </c>
      <c r="J165" s="8" t="s">
        <v>1141</v>
      </c>
      <c r="K165" s="8" t="s">
        <v>1141</v>
      </c>
      <c r="L165" s="8" t="s">
        <v>1141</v>
      </c>
      <c r="M165" s="8" t="s">
        <v>421</v>
      </c>
      <c r="N165" s="8"/>
      <c r="O165" s="8">
        <v>3</v>
      </c>
      <c r="P165" s="8" t="s">
        <v>202</v>
      </c>
      <c r="Q165" s="8" t="s">
        <v>228</v>
      </c>
      <c r="R165" s="8" t="s">
        <v>236</v>
      </c>
      <c r="S165" s="8" t="s">
        <v>2742</v>
      </c>
      <c r="T165" s="8" t="s">
        <v>2743</v>
      </c>
      <c r="U165" s="8" t="s">
        <v>2744</v>
      </c>
      <c r="V165" s="8" t="s">
        <v>2745</v>
      </c>
      <c r="W165" s="8" t="s">
        <v>259</v>
      </c>
      <c r="X165" s="8" t="s">
        <v>303</v>
      </c>
      <c r="Y165" s="8" t="s">
        <v>2746</v>
      </c>
      <c r="Z165" s="8" t="s">
        <v>2747</v>
      </c>
      <c r="AA165" s="8" t="s">
        <v>312</v>
      </c>
      <c r="AB165" s="8"/>
      <c r="AC165" s="8" t="s">
        <v>2748</v>
      </c>
      <c r="AD165" s="8" t="s">
        <v>2749</v>
      </c>
      <c r="AE165" s="8" t="s">
        <v>386</v>
      </c>
      <c r="AF165" s="8" t="s">
        <v>2577</v>
      </c>
      <c r="AG165" s="8" t="s">
        <v>2750</v>
      </c>
      <c r="AH165" s="11" t="s">
        <v>1146</v>
      </c>
      <c r="AI165" s="11"/>
      <c r="AJ165" s="8" t="s">
        <v>2751</v>
      </c>
    </row>
    <row r="166" spans="1:36" ht="84">
      <c r="A166" s="8" t="s">
        <v>2752</v>
      </c>
      <c r="B166" s="8" t="s">
        <v>1059</v>
      </c>
      <c r="C166" s="8" t="s">
        <v>2661</v>
      </c>
      <c r="D166" s="8" t="s">
        <v>1139</v>
      </c>
      <c r="E166" s="8" t="s">
        <v>112</v>
      </c>
      <c r="F166" s="8" t="s">
        <v>90</v>
      </c>
      <c r="G166" s="8" t="s">
        <v>1161</v>
      </c>
      <c r="H166" s="8" t="s">
        <v>182</v>
      </c>
      <c r="I166" s="8" t="s">
        <v>1141</v>
      </c>
      <c r="J166" s="8" t="s">
        <v>1141</v>
      </c>
      <c r="K166" s="8" t="s">
        <v>1141</v>
      </c>
      <c r="L166" s="8" t="s">
        <v>1141</v>
      </c>
      <c r="M166" s="8" t="s">
        <v>421</v>
      </c>
      <c r="N166" s="8"/>
      <c r="O166" s="8">
        <v>2</v>
      </c>
      <c r="P166" s="8" t="s">
        <v>193</v>
      </c>
      <c r="Q166" s="8" t="s">
        <v>228</v>
      </c>
      <c r="R166" s="8" t="s">
        <v>239</v>
      </c>
      <c r="S166" s="8" t="s">
        <v>2753</v>
      </c>
      <c r="T166" s="8" t="s">
        <v>2754</v>
      </c>
      <c r="U166" s="8" t="s">
        <v>725</v>
      </c>
      <c r="V166" s="8" t="s">
        <v>2755</v>
      </c>
      <c r="W166" s="8" t="s">
        <v>274</v>
      </c>
      <c r="X166" s="8" t="s">
        <v>300</v>
      </c>
      <c r="Y166" s="8" t="s">
        <v>2756</v>
      </c>
      <c r="Z166" s="8" t="s">
        <v>2757</v>
      </c>
      <c r="AA166" s="8" t="s">
        <v>333</v>
      </c>
      <c r="AB166" s="8"/>
      <c r="AC166" s="8" t="s">
        <v>2758</v>
      </c>
      <c r="AD166" s="8" t="s">
        <v>2681</v>
      </c>
      <c r="AE166" s="8" t="s">
        <v>362</v>
      </c>
      <c r="AF166" s="8" t="s">
        <v>2759</v>
      </c>
      <c r="AG166" s="8" t="s">
        <v>2760</v>
      </c>
      <c r="AH166" s="11" t="s">
        <v>1146</v>
      </c>
      <c r="AI166" s="11"/>
      <c r="AJ166" s="8" t="s">
        <v>2761</v>
      </c>
    </row>
    <row r="167" spans="1:36" ht="96">
      <c r="A167" s="8" t="s">
        <v>2762</v>
      </c>
      <c r="B167" s="8" t="s">
        <v>1068</v>
      </c>
      <c r="C167" s="8" t="s">
        <v>2661</v>
      </c>
      <c r="D167" s="8" t="s">
        <v>1139</v>
      </c>
      <c r="E167" s="8" t="s">
        <v>133</v>
      </c>
      <c r="F167" s="8" t="s">
        <v>85</v>
      </c>
      <c r="G167" s="8" t="s">
        <v>1330</v>
      </c>
      <c r="H167" s="8" t="s">
        <v>163</v>
      </c>
      <c r="I167" s="8" t="s">
        <v>1141</v>
      </c>
      <c r="J167" s="8" t="s">
        <v>1141</v>
      </c>
      <c r="K167" s="8" t="s">
        <v>1141</v>
      </c>
      <c r="L167" s="8" t="s">
        <v>1141</v>
      </c>
      <c r="M167" s="8" t="s">
        <v>421</v>
      </c>
      <c r="N167" s="8"/>
      <c r="O167" s="8">
        <v>2</v>
      </c>
      <c r="P167" s="8" t="s">
        <v>205</v>
      </c>
      <c r="Q167" s="8" t="s">
        <v>228</v>
      </c>
      <c r="R167" s="8" t="s">
        <v>236</v>
      </c>
      <c r="S167" s="8" t="s">
        <v>2763</v>
      </c>
      <c r="T167" s="8" t="s">
        <v>2764</v>
      </c>
      <c r="U167" s="8" t="s">
        <v>2765</v>
      </c>
      <c r="V167" s="8" t="s">
        <v>2766</v>
      </c>
      <c r="W167" s="8" t="s">
        <v>274</v>
      </c>
      <c r="X167" s="8" t="s">
        <v>300</v>
      </c>
      <c r="Y167" s="8" t="s">
        <v>2767</v>
      </c>
      <c r="Z167" s="8" t="s">
        <v>2768</v>
      </c>
      <c r="AA167" s="8" t="s">
        <v>330</v>
      </c>
      <c r="AB167" s="8"/>
      <c r="AC167" s="8" t="s">
        <v>2769</v>
      </c>
      <c r="AD167" s="8" t="s">
        <v>2770</v>
      </c>
      <c r="AE167" s="8" t="s">
        <v>386</v>
      </c>
      <c r="AF167" s="8" t="s">
        <v>2771</v>
      </c>
      <c r="AG167" s="8" t="s">
        <v>2772</v>
      </c>
      <c r="AH167" s="11" t="s">
        <v>1146</v>
      </c>
      <c r="AI167" s="11"/>
      <c r="AJ167" s="8" t="s">
        <v>2773</v>
      </c>
    </row>
    <row r="168" spans="1:36" ht="96">
      <c r="A168" s="8" t="s">
        <v>2774</v>
      </c>
      <c r="B168" s="8" t="s">
        <v>1072</v>
      </c>
      <c r="C168" s="8" t="s">
        <v>2661</v>
      </c>
      <c r="D168" s="8" t="s">
        <v>1139</v>
      </c>
      <c r="E168" s="8" t="s">
        <v>118</v>
      </c>
      <c r="F168" s="8" t="s">
        <v>90</v>
      </c>
      <c r="G168" s="8" t="s">
        <v>1161</v>
      </c>
      <c r="H168" s="8" t="s">
        <v>182</v>
      </c>
      <c r="I168" s="8" t="s">
        <v>1141</v>
      </c>
      <c r="J168" s="8" t="s">
        <v>1141</v>
      </c>
      <c r="K168" s="8" t="s">
        <v>1141</v>
      </c>
      <c r="L168" s="8" t="s">
        <v>1141</v>
      </c>
      <c r="M168" s="8" t="s">
        <v>421</v>
      </c>
      <c r="N168" s="8"/>
      <c r="O168" s="8">
        <v>3</v>
      </c>
      <c r="P168" s="8" t="s">
        <v>196</v>
      </c>
      <c r="Q168" s="8" t="s">
        <v>228</v>
      </c>
      <c r="R168" s="8" t="s">
        <v>236</v>
      </c>
      <c r="S168" s="8" t="s">
        <v>2775</v>
      </c>
      <c r="T168" s="8" t="s">
        <v>2776</v>
      </c>
      <c r="U168" s="8" t="s">
        <v>2777</v>
      </c>
      <c r="V168" s="8" t="s">
        <v>2778</v>
      </c>
      <c r="W168" s="8" t="s">
        <v>274</v>
      </c>
      <c r="X168" s="8" t="s">
        <v>300</v>
      </c>
      <c r="Y168" s="8" t="s">
        <v>2779</v>
      </c>
      <c r="Z168" s="8" t="s">
        <v>2780</v>
      </c>
      <c r="AA168" s="8" t="s">
        <v>330</v>
      </c>
      <c r="AB168" s="8"/>
      <c r="AC168" s="8" t="s">
        <v>2781</v>
      </c>
      <c r="AD168" s="8" t="s">
        <v>2782</v>
      </c>
      <c r="AE168" s="8" t="s">
        <v>386</v>
      </c>
      <c r="AF168" s="8" t="s">
        <v>2783</v>
      </c>
      <c r="AG168" s="8" t="s">
        <v>2784</v>
      </c>
      <c r="AH168" s="11" t="s">
        <v>1146</v>
      </c>
      <c r="AI168" s="11"/>
      <c r="AJ168" s="8" t="s">
        <v>2785</v>
      </c>
    </row>
    <row r="169" spans="1:36" ht="84">
      <c r="A169" s="8" t="s">
        <v>2786</v>
      </c>
      <c r="B169" s="8" t="s">
        <v>1076</v>
      </c>
      <c r="C169" s="8" t="s">
        <v>2661</v>
      </c>
      <c r="D169" s="8" t="s">
        <v>1139</v>
      </c>
      <c r="E169" s="8" t="s">
        <v>133</v>
      </c>
      <c r="F169" s="8" t="s">
        <v>90</v>
      </c>
      <c r="G169" s="8" t="s">
        <v>1330</v>
      </c>
      <c r="H169" s="8" t="s">
        <v>163</v>
      </c>
      <c r="I169" s="8" t="s">
        <v>1141</v>
      </c>
      <c r="J169" s="8" t="s">
        <v>1141</v>
      </c>
      <c r="K169" s="8" t="s">
        <v>1141</v>
      </c>
      <c r="L169" s="8" t="s">
        <v>1141</v>
      </c>
      <c r="M169" s="8" t="s">
        <v>421</v>
      </c>
      <c r="N169" s="8"/>
      <c r="O169" s="8">
        <v>3</v>
      </c>
      <c r="P169" s="8" t="s">
        <v>193</v>
      </c>
      <c r="Q169" s="8" t="s">
        <v>228</v>
      </c>
      <c r="R169" s="8" t="s">
        <v>236</v>
      </c>
      <c r="S169" s="8" t="s">
        <v>2787</v>
      </c>
      <c r="T169" s="8" t="s">
        <v>2788</v>
      </c>
      <c r="U169" s="8" t="s">
        <v>2789</v>
      </c>
      <c r="V169" s="8" t="s">
        <v>2790</v>
      </c>
      <c r="W169" s="8" t="s">
        <v>274</v>
      </c>
      <c r="X169" s="8" t="s">
        <v>300</v>
      </c>
      <c r="Y169" s="8" t="s">
        <v>2791</v>
      </c>
      <c r="Z169" s="8" t="s">
        <v>2780</v>
      </c>
      <c r="AA169" s="8" t="s">
        <v>330</v>
      </c>
      <c r="AB169" s="8"/>
      <c r="AC169" s="8" t="s">
        <v>2792</v>
      </c>
      <c r="AD169" s="8" t="s">
        <v>2793</v>
      </c>
      <c r="AE169" s="8" t="s">
        <v>386</v>
      </c>
      <c r="AF169" s="8" t="s">
        <v>2794</v>
      </c>
      <c r="AG169" s="8" t="s">
        <v>2795</v>
      </c>
      <c r="AH169" s="11" t="s">
        <v>1146</v>
      </c>
      <c r="AI169" s="11"/>
      <c r="AJ169" s="8" t="s">
        <v>2796</v>
      </c>
    </row>
    <row r="170" spans="1:36" ht="96">
      <c r="A170" s="8" t="s">
        <v>2797</v>
      </c>
      <c r="B170" s="8" t="s">
        <v>1080</v>
      </c>
      <c r="C170" s="8" t="s">
        <v>2661</v>
      </c>
      <c r="D170" s="8" t="s">
        <v>1139</v>
      </c>
      <c r="E170" s="8" t="s">
        <v>112</v>
      </c>
      <c r="F170" s="8" t="s">
        <v>85</v>
      </c>
      <c r="G170" s="8" t="s">
        <v>1230</v>
      </c>
      <c r="H170" s="8" t="s">
        <v>150</v>
      </c>
      <c r="I170" s="8" t="s">
        <v>1141</v>
      </c>
      <c r="J170" s="8" t="s">
        <v>1141</v>
      </c>
      <c r="K170" s="8" t="s">
        <v>1141</v>
      </c>
      <c r="L170" s="8" t="s">
        <v>1141</v>
      </c>
      <c r="M170" s="8" t="s">
        <v>421</v>
      </c>
      <c r="N170" s="8"/>
      <c r="O170" s="8">
        <v>2</v>
      </c>
      <c r="P170" s="8" t="s">
        <v>199</v>
      </c>
      <c r="Q170" s="8" t="s">
        <v>225</v>
      </c>
      <c r="R170" s="8" t="s">
        <v>239</v>
      </c>
      <c r="S170" s="8" t="s">
        <v>2798</v>
      </c>
      <c r="T170" s="8" t="s">
        <v>2799</v>
      </c>
      <c r="U170" s="8" t="s">
        <v>2800</v>
      </c>
      <c r="V170" s="8" t="s">
        <v>2801</v>
      </c>
      <c r="W170" s="8" t="s">
        <v>250</v>
      </c>
      <c r="X170" s="8" t="s">
        <v>300</v>
      </c>
      <c r="Y170" s="8" t="s">
        <v>2802</v>
      </c>
      <c r="Z170" s="8" t="s">
        <v>2803</v>
      </c>
      <c r="AA170" s="8" t="s">
        <v>312</v>
      </c>
      <c r="AB170" s="8"/>
      <c r="AC170" s="8" t="s">
        <v>2804</v>
      </c>
      <c r="AD170" s="8" t="s">
        <v>2805</v>
      </c>
      <c r="AE170" s="8" t="s">
        <v>362</v>
      </c>
      <c r="AF170" s="8" t="s">
        <v>2806</v>
      </c>
      <c r="AG170" s="8" t="s">
        <v>2807</v>
      </c>
      <c r="AH170" s="11" t="s">
        <v>1146</v>
      </c>
      <c r="AI170" s="11"/>
      <c r="AJ170" s="8" t="s">
        <v>2808</v>
      </c>
    </row>
    <row r="171" spans="1:36" ht="111" customHeight="1">
      <c r="A171" s="8" t="s">
        <v>2809</v>
      </c>
      <c r="B171" s="8" t="s">
        <v>1084</v>
      </c>
      <c r="C171" s="8" t="s">
        <v>2661</v>
      </c>
      <c r="D171" s="8" t="s">
        <v>1139</v>
      </c>
      <c r="E171" s="8" t="s">
        <v>127</v>
      </c>
      <c r="F171" s="8" t="s">
        <v>80</v>
      </c>
      <c r="G171" s="8" t="s">
        <v>1230</v>
      </c>
      <c r="H171" s="8" t="s">
        <v>150</v>
      </c>
      <c r="I171" s="8" t="s">
        <v>1141</v>
      </c>
      <c r="J171" s="8" t="s">
        <v>1141</v>
      </c>
      <c r="K171" s="8" t="s">
        <v>1141</v>
      </c>
      <c r="L171" s="8" t="s">
        <v>1141</v>
      </c>
      <c r="M171" s="8" t="s">
        <v>421</v>
      </c>
      <c r="N171" s="8"/>
      <c r="O171" s="8">
        <v>2</v>
      </c>
      <c r="P171" s="8" t="s">
        <v>193</v>
      </c>
      <c r="Q171" s="8" t="s">
        <v>228</v>
      </c>
      <c r="R171" s="8" t="s">
        <v>239</v>
      </c>
      <c r="S171" s="8" t="s">
        <v>2810</v>
      </c>
      <c r="T171" s="8" t="s">
        <v>2811</v>
      </c>
      <c r="U171" s="8" t="s">
        <v>2812</v>
      </c>
      <c r="V171" s="8" t="s">
        <v>2813</v>
      </c>
      <c r="W171" s="8" t="s">
        <v>274</v>
      </c>
      <c r="X171" s="8" t="s">
        <v>288</v>
      </c>
      <c r="Y171" s="8" t="s">
        <v>2814</v>
      </c>
      <c r="Z171" s="8"/>
      <c r="AA171" s="8"/>
      <c r="AB171" s="8"/>
      <c r="AC171" s="8" t="s">
        <v>2815</v>
      </c>
      <c r="AD171" s="8" t="s">
        <v>1511</v>
      </c>
      <c r="AE171" s="8" t="s">
        <v>362</v>
      </c>
      <c r="AF171" s="8" t="s">
        <v>2816</v>
      </c>
      <c r="AG171" s="8" t="s">
        <v>2817</v>
      </c>
      <c r="AH171" s="11" t="s">
        <v>1146</v>
      </c>
      <c r="AI171" s="11"/>
      <c r="AJ171" s="8" t="s">
        <v>2818</v>
      </c>
    </row>
    <row r="172" spans="1:36" ht="107.25">
      <c r="A172" s="8" t="s">
        <v>2819</v>
      </c>
      <c r="B172" s="8" t="s">
        <v>1088</v>
      </c>
      <c r="C172" s="8" t="s">
        <v>2661</v>
      </c>
      <c r="D172" s="8" t="s">
        <v>1139</v>
      </c>
      <c r="E172" s="8" t="s">
        <v>99</v>
      </c>
      <c r="F172" s="8" t="s">
        <v>90</v>
      </c>
      <c r="G172" s="8" t="s">
        <v>1161</v>
      </c>
      <c r="H172" s="8" t="s">
        <v>182</v>
      </c>
      <c r="I172" s="8" t="s">
        <v>1141</v>
      </c>
      <c r="J172" s="8" t="s">
        <v>1141</v>
      </c>
      <c r="K172" s="8" t="s">
        <v>1141</v>
      </c>
      <c r="L172" s="8" t="s">
        <v>1141</v>
      </c>
      <c r="M172" s="8" t="s">
        <v>421</v>
      </c>
      <c r="N172" s="8"/>
      <c r="O172" s="8">
        <v>2</v>
      </c>
      <c r="P172" s="8" t="s">
        <v>211</v>
      </c>
      <c r="Q172" s="8" t="s">
        <v>225</v>
      </c>
      <c r="R172" s="8" t="s">
        <v>236</v>
      </c>
      <c r="S172" s="8" t="s">
        <v>2820</v>
      </c>
      <c r="T172" s="8" t="s">
        <v>2821</v>
      </c>
      <c r="U172" s="8" t="s">
        <v>2822</v>
      </c>
      <c r="V172" s="8" t="s">
        <v>1797</v>
      </c>
      <c r="W172" s="8" t="s">
        <v>262</v>
      </c>
      <c r="X172" s="8" t="s">
        <v>300</v>
      </c>
      <c r="Y172" s="8" t="s">
        <v>2823</v>
      </c>
      <c r="Z172" s="8" t="s">
        <v>1799</v>
      </c>
      <c r="AA172" s="8" t="s">
        <v>330</v>
      </c>
      <c r="AB172" s="8"/>
      <c r="AC172" s="8" t="s">
        <v>2824</v>
      </c>
      <c r="AD172" s="8" t="s">
        <v>1801</v>
      </c>
      <c r="AE172" s="8" t="s">
        <v>362</v>
      </c>
      <c r="AF172" s="8" t="s">
        <v>2825</v>
      </c>
      <c r="AG172" s="8" t="s">
        <v>2826</v>
      </c>
      <c r="AH172" s="11" t="s">
        <v>1146</v>
      </c>
      <c r="AI172" s="11"/>
      <c r="AJ172" s="8" t="s">
        <v>2827</v>
      </c>
    </row>
    <row r="173" spans="1:36" ht="96">
      <c r="A173" s="8" t="s">
        <v>2828</v>
      </c>
      <c r="B173" s="8" t="s">
        <v>1092</v>
      </c>
      <c r="C173" s="8" t="s">
        <v>2661</v>
      </c>
      <c r="D173" s="8" t="s">
        <v>1139</v>
      </c>
      <c r="E173" s="8" t="s">
        <v>124</v>
      </c>
      <c r="F173" s="8" t="s">
        <v>70</v>
      </c>
      <c r="G173" s="8" t="s">
        <v>1213</v>
      </c>
      <c r="H173" s="8" t="s">
        <v>182</v>
      </c>
      <c r="I173" s="8" t="s">
        <v>1141</v>
      </c>
      <c r="J173" s="8" t="s">
        <v>1141</v>
      </c>
      <c r="K173" s="8" t="s">
        <v>1141</v>
      </c>
      <c r="L173" s="8" t="s">
        <v>1141</v>
      </c>
      <c r="M173" s="8" t="s">
        <v>421</v>
      </c>
      <c r="N173" s="8"/>
      <c r="O173" s="8">
        <v>2</v>
      </c>
      <c r="P173" s="8" t="s">
        <v>193</v>
      </c>
      <c r="Q173" s="8" t="s">
        <v>228</v>
      </c>
      <c r="R173" s="8" t="s">
        <v>236</v>
      </c>
      <c r="S173" s="8" t="s">
        <v>2829</v>
      </c>
      <c r="T173" s="8" t="s">
        <v>2830</v>
      </c>
      <c r="U173" s="8" t="s">
        <v>2831</v>
      </c>
      <c r="V173" s="8" t="s">
        <v>2832</v>
      </c>
      <c r="W173" s="8" t="s">
        <v>247</v>
      </c>
      <c r="X173" s="8" t="s">
        <v>309</v>
      </c>
      <c r="Y173" s="8" t="s">
        <v>2833</v>
      </c>
      <c r="Z173" s="8" t="s">
        <v>2834</v>
      </c>
      <c r="AA173" s="8" t="s">
        <v>312</v>
      </c>
      <c r="AB173" s="8"/>
      <c r="AC173" s="8" t="s">
        <v>2835</v>
      </c>
      <c r="AD173" s="8" t="s">
        <v>2836</v>
      </c>
      <c r="AE173" s="8" t="s">
        <v>365</v>
      </c>
      <c r="AF173" s="8" t="s">
        <v>2837</v>
      </c>
      <c r="AG173" s="8" t="s">
        <v>2838</v>
      </c>
      <c r="AH173" s="11" t="s">
        <v>1146</v>
      </c>
      <c r="AI173" s="11"/>
      <c r="AJ173" s="8" t="s">
        <v>2839</v>
      </c>
    </row>
    <row r="174" spans="1:36" ht="96">
      <c r="A174" s="8" t="s">
        <v>2840</v>
      </c>
      <c r="B174" s="8" t="s">
        <v>1096</v>
      </c>
      <c r="C174" s="8" t="s">
        <v>2661</v>
      </c>
      <c r="D174" s="8" t="s">
        <v>1139</v>
      </c>
      <c r="E174" s="8" t="s">
        <v>106</v>
      </c>
      <c r="F174" s="8" t="s">
        <v>70</v>
      </c>
      <c r="G174" s="8" t="s">
        <v>1140</v>
      </c>
      <c r="H174" s="8" t="s">
        <v>163</v>
      </c>
      <c r="I174" s="8" t="s">
        <v>1141</v>
      </c>
      <c r="J174" s="8" t="s">
        <v>1141</v>
      </c>
      <c r="K174" s="8" t="s">
        <v>1141</v>
      </c>
      <c r="L174" s="8" t="s">
        <v>1141</v>
      </c>
      <c r="M174" s="8" t="s">
        <v>421</v>
      </c>
      <c r="N174" s="8"/>
      <c r="O174" s="8">
        <v>2</v>
      </c>
      <c r="P174" s="8" t="s">
        <v>196</v>
      </c>
      <c r="Q174" s="8" t="s">
        <v>228</v>
      </c>
      <c r="R174" s="8" t="s">
        <v>239</v>
      </c>
      <c r="S174" s="8" t="s">
        <v>2841</v>
      </c>
      <c r="T174" s="8" t="s">
        <v>2842</v>
      </c>
      <c r="U174" s="8" t="s">
        <v>2843</v>
      </c>
      <c r="V174" s="8" t="s">
        <v>2844</v>
      </c>
      <c r="W174" s="8" t="s">
        <v>268</v>
      </c>
      <c r="X174" s="8" t="s">
        <v>300</v>
      </c>
      <c r="Y174" s="8" t="s">
        <v>2845</v>
      </c>
      <c r="Z174" s="8" t="s">
        <v>2846</v>
      </c>
      <c r="AA174" s="8" t="s">
        <v>321</v>
      </c>
      <c r="AB174" s="8"/>
      <c r="AC174" s="8" t="s">
        <v>2847</v>
      </c>
      <c r="AD174" s="8" t="s">
        <v>2848</v>
      </c>
      <c r="AE174" s="8" t="s">
        <v>377</v>
      </c>
      <c r="AF174" s="8" t="s">
        <v>2849</v>
      </c>
      <c r="AG174" s="8" t="s">
        <v>2850</v>
      </c>
      <c r="AH174" s="11" t="s">
        <v>1146</v>
      </c>
      <c r="AI174" s="11"/>
      <c r="AJ174" s="8" t="s">
        <v>2851</v>
      </c>
    </row>
    <row r="175" spans="1:36" ht="15" customHeight="1">
      <c r="A175" s="7"/>
      <c r="B175" s="7"/>
      <c r="C175" s="7"/>
      <c r="D175" s="7"/>
      <c r="E175" s="7"/>
      <c r="F175" s="7"/>
      <c r="G175" s="7"/>
      <c r="H175" s="7"/>
      <c r="I175" s="7"/>
      <c r="J175" s="7"/>
      <c r="K175" s="7"/>
      <c r="L175" s="7"/>
      <c r="M175" s="7" t="str">
        <f t="shared" ref="M175:M404" si="0">IF(COUNTA(I175,J175,K175,L175)&lt;4,"",IF(AND(UPPER(I175)="Y",UPPER(J175)="Y",UPPER(K175)="Y",UPPER(L175)="Y"),"include","exclude"))</f>
        <v/>
      </c>
      <c r="N175" s="7"/>
      <c r="O175" s="7"/>
      <c r="P175" s="7"/>
      <c r="Q175" s="7"/>
      <c r="R175" s="7"/>
      <c r="S175" s="7"/>
      <c r="T175" s="7"/>
      <c r="U175" s="7"/>
      <c r="V175" s="7"/>
      <c r="W175" s="7"/>
      <c r="X175" s="7"/>
      <c r="Y175" s="7"/>
      <c r="Z175" s="7"/>
      <c r="AA175" s="7"/>
      <c r="AB175" s="7"/>
      <c r="AC175" s="7"/>
      <c r="AD175" s="7"/>
      <c r="AE175" s="7"/>
      <c r="AF175" s="7"/>
      <c r="AG175" s="7"/>
      <c r="AH175" s="7"/>
      <c r="AI175" s="7"/>
      <c r="AJ175" s="7"/>
    </row>
    <row r="176" spans="1:36" ht="15" customHeight="1">
      <c r="A176" s="7"/>
      <c r="B176" s="7"/>
      <c r="C176" s="7"/>
      <c r="D176" s="7"/>
      <c r="E176" s="7"/>
      <c r="F176" s="7"/>
      <c r="G176" s="7"/>
      <c r="H176" s="7"/>
      <c r="I176" s="7"/>
      <c r="J176" s="7"/>
      <c r="K176" s="7"/>
      <c r="L176" s="7"/>
      <c r="M176" s="7" t="str">
        <f t="shared" si="0"/>
        <v/>
      </c>
      <c r="N176" s="7"/>
      <c r="O176" s="7"/>
      <c r="P176" s="7"/>
      <c r="Q176" s="7"/>
      <c r="R176" s="7"/>
      <c r="S176" s="7"/>
      <c r="T176" s="7"/>
      <c r="U176" s="7"/>
      <c r="V176" s="7"/>
      <c r="W176" s="7"/>
      <c r="X176" s="7"/>
      <c r="Y176" s="7"/>
      <c r="Z176" s="7"/>
      <c r="AA176" s="7"/>
      <c r="AB176" s="7"/>
      <c r="AC176" s="7"/>
      <c r="AD176" s="7"/>
      <c r="AE176" s="7"/>
      <c r="AF176" s="7"/>
      <c r="AG176" s="7"/>
      <c r="AH176" s="7"/>
      <c r="AI176" s="7"/>
      <c r="AJ176" s="7"/>
    </row>
    <row r="177" spans="1:36" ht="15" customHeight="1">
      <c r="A177" s="7"/>
      <c r="B177" s="7"/>
      <c r="C177" s="7"/>
      <c r="D177" s="7"/>
      <c r="E177" s="7"/>
      <c r="F177" s="7"/>
      <c r="G177" s="7"/>
      <c r="H177" s="7"/>
      <c r="I177" s="7"/>
      <c r="J177" s="7"/>
      <c r="K177" s="7"/>
      <c r="L177" s="7"/>
      <c r="M177" s="7" t="str">
        <f t="shared" si="0"/>
        <v/>
      </c>
      <c r="N177" s="7"/>
      <c r="O177" s="7"/>
      <c r="P177" s="7"/>
      <c r="Q177" s="7"/>
      <c r="R177" s="7"/>
      <c r="S177" s="7"/>
      <c r="T177" s="7"/>
      <c r="U177" s="7"/>
      <c r="V177" s="7"/>
      <c r="W177" s="7"/>
      <c r="X177" s="7"/>
      <c r="Y177" s="7"/>
      <c r="Z177" s="7"/>
      <c r="AA177" s="7"/>
      <c r="AB177" s="7"/>
      <c r="AC177" s="7"/>
      <c r="AD177" s="7"/>
      <c r="AE177" s="7"/>
      <c r="AF177" s="7"/>
      <c r="AG177" s="7"/>
      <c r="AH177" s="7"/>
      <c r="AI177" s="7"/>
      <c r="AJ177" s="7"/>
    </row>
    <row r="178" spans="1:36" ht="15" customHeight="1">
      <c r="A178" s="7"/>
      <c r="B178" s="7"/>
      <c r="C178" s="7"/>
      <c r="D178" s="7"/>
      <c r="E178" s="7"/>
      <c r="F178" s="7"/>
      <c r="G178" s="7"/>
      <c r="H178" s="7"/>
      <c r="I178" s="7"/>
      <c r="J178" s="7"/>
      <c r="K178" s="7"/>
      <c r="L178" s="7"/>
      <c r="M178" s="7" t="str">
        <f t="shared" si="0"/>
        <v/>
      </c>
      <c r="N178" s="7"/>
      <c r="O178" s="7"/>
      <c r="P178" s="7"/>
      <c r="Q178" s="7"/>
      <c r="R178" s="7"/>
      <c r="S178" s="7"/>
      <c r="T178" s="7"/>
      <c r="U178" s="7"/>
      <c r="V178" s="7"/>
      <c r="W178" s="7"/>
      <c r="X178" s="7"/>
      <c r="Y178" s="7"/>
      <c r="Z178" s="7"/>
      <c r="AA178" s="7"/>
      <c r="AB178" s="7"/>
      <c r="AC178" s="7"/>
      <c r="AD178" s="7"/>
      <c r="AE178" s="7"/>
      <c r="AF178" s="7"/>
      <c r="AG178" s="7"/>
      <c r="AH178" s="7"/>
      <c r="AI178" s="7"/>
      <c r="AJ178" s="7"/>
    </row>
    <row r="179" spans="1:36" ht="15" customHeight="1">
      <c r="A179" s="7"/>
      <c r="B179" s="7"/>
      <c r="C179" s="7"/>
      <c r="D179" s="7"/>
      <c r="E179" s="7"/>
      <c r="F179" s="7"/>
      <c r="G179" s="7"/>
      <c r="H179" s="7"/>
      <c r="I179" s="7"/>
      <c r="J179" s="7"/>
      <c r="K179" s="7"/>
      <c r="L179" s="7"/>
      <c r="M179" s="7" t="str">
        <f t="shared" si="0"/>
        <v/>
      </c>
      <c r="N179" s="7"/>
      <c r="O179" s="7"/>
      <c r="P179" s="7"/>
      <c r="Q179" s="7"/>
      <c r="R179" s="7"/>
      <c r="S179" s="7"/>
      <c r="T179" s="7"/>
      <c r="U179" s="7"/>
      <c r="V179" s="7"/>
      <c r="W179" s="7"/>
      <c r="X179" s="7"/>
      <c r="Y179" s="7"/>
      <c r="Z179" s="7"/>
      <c r="AA179" s="7"/>
      <c r="AB179" s="7"/>
      <c r="AC179" s="7"/>
      <c r="AD179" s="7"/>
      <c r="AE179" s="7"/>
      <c r="AF179" s="7"/>
      <c r="AG179" s="7"/>
      <c r="AH179" s="7"/>
      <c r="AI179" s="7"/>
      <c r="AJ179" s="7"/>
    </row>
    <row r="180" spans="1:36" ht="15" customHeight="1">
      <c r="A180" s="7"/>
      <c r="B180" s="7"/>
      <c r="C180" s="7"/>
      <c r="D180" s="7"/>
      <c r="E180" s="7"/>
      <c r="F180" s="7"/>
      <c r="G180" s="7"/>
      <c r="H180" s="7"/>
      <c r="I180" s="7"/>
      <c r="J180" s="7"/>
      <c r="K180" s="7"/>
      <c r="L180" s="7"/>
      <c r="M180" s="7" t="str">
        <f t="shared" si="0"/>
        <v/>
      </c>
      <c r="N180" s="7"/>
      <c r="O180" s="7"/>
      <c r="P180" s="7"/>
      <c r="Q180" s="7"/>
      <c r="R180" s="7"/>
      <c r="S180" s="7"/>
      <c r="T180" s="7"/>
      <c r="U180" s="7"/>
      <c r="V180" s="7"/>
      <c r="W180" s="7"/>
      <c r="X180" s="7"/>
      <c r="Y180" s="7"/>
      <c r="Z180" s="7"/>
      <c r="AA180" s="7"/>
      <c r="AB180" s="7"/>
      <c r="AC180" s="7"/>
      <c r="AD180" s="7"/>
      <c r="AE180" s="7"/>
      <c r="AF180" s="7"/>
      <c r="AG180" s="7"/>
      <c r="AH180" s="7"/>
      <c r="AI180" s="7"/>
      <c r="AJ180" s="7"/>
    </row>
    <row r="181" spans="1:36" ht="15" customHeight="1">
      <c r="A181" s="7"/>
      <c r="B181" s="7"/>
      <c r="C181" s="7"/>
      <c r="D181" s="7"/>
      <c r="E181" s="7"/>
      <c r="F181" s="7"/>
      <c r="G181" s="7"/>
      <c r="H181" s="7"/>
      <c r="I181" s="7"/>
      <c r="J181" s="7"/>
      <c r="K181" s="7"/>
      <c r="L181" s="7"/>
      <c r="M181" s="7" t="str">
        <f t="shared" si="0"/>
        <v/>
      </c>
      <c r="N181" s="7"/>
      <c r="O181" s="7"/>
      <c r="P181" s="7"/>
      <c r="Q181" s="7"/>
      <c r="R181" s="7"/>
      <c r="S181" s="7"/>
      <c r="T181" s="7"/>
      <c r="U181" s="7"/>
      <c r="V181" s="7"/>
      <c r="W181" s="7"/>
      <c r="X181" s="7"/>
      <c r="Y181" s="7"/>
      <c r="Z181" s="7"/>
      <c r="AA181" s="7"/>
      <c r="AB181" s="7"/>
      <c r="AC181" s="7"/>
      <c r="AD181" s="7"/>
      <c r="AE181" s="7"/>
      <c r="AF181" s="7"/>
      <c r="AG181" s="7"/>
      <c r="AH181" s="7"/>
      <c r="AI181" s="7"/>
      <c r="AJ181" s="7"/>
    </row>
    <row r="182" spans="1:36" ht="15" customHeight="1">
      <c r="A182" s="7"/>
      <c r="B182" s="7"/>
      <c r="C182" s="7"/>
      <c r="D182" s="7"/>
      <c r="E182" s="7"/>
      <c r="F182" s="7"/>
      <c r="G182" s="7"/>
      <c r="H182" s="7"/>
      <c r="I182" s="7"/>
      <c r="J182" s="7"/>
      <c r="K182" s="7"/>
      <c r="L182" s="7"/>
      <c r="M182" s="7" t="str">
        <f t="shared" si="0"/>
        <v/>
      </c>
      <c r="N182" s="7"/>
      <c r="O182" s="7"/>
      <c r="P182" s="7"/>
      <c r="Q182" s="7"/>
      <c r="R182" s="7"/>
      <c r="S182" s="7"/>
      <c r="T182" s="7"/>
      <c r="U182" s="7"/>
      <c r="V182" s="7"/>
      <c r="W182" s="7"/>
      <c r="X182" s="7"/>
      <c r="Y182" s="7"/>
      <c r="Z182" s="7"/>
      <c r="AA182" s="7"/>
      <c r="AB182" s="7"/>
      <c r="AC182" s="7"/>
      <c r="AD182" s="7"/>
      <c r="AE182" s="7"/>
      <c r="AF182" s="7"/>
      <c r="AG182" s="7"/>
      <c r="AH182" s="7"/>
      <c r="AI182" s="7"/>
      <c r="AJ182" s="7"/>
    </row>
    <row r="183" spans="1:36" ht="15" customHeight="1">
      <c r="A183" s="7"/>
      <c r="B183" s="7"/>
      <c r="C183" s="7"/>
      <c r="D183" s="7"/>
      <c r="E183" s="7"/>
      <c r="F183" s="7"/>
      <c r="G183" s="7"/>
      <c r="H183" s="7"/>
      <c r="I183" s="7"/>
      <c r="J183" s="7"/>
      <c r="K183" s="7"/>
      <c r="L183" s="7"/>
      <c r="M183" s="7" t="str">
        <f t="shared" si="0"/>
        <v/>
      </c>
      <c r="N183" s="7"/>
      <c r="O183" s="7"/>
      <c r="P183" s="7"/>
      <c r="Q183" s="7"/>
      <c r="R183" s="7"/>
      <c r="S183" s="7"/>
      <c r="T183" s="7"/>
      <c r="U183" s="7"/>
      <c r="V183" s="7"/>
      <c r="W183" s="7"/>
      <c r="X183" s="7"/>
      <c r="Y183" s="7"/>
      <c r="Z183" s="7"/>
      <c r="AA183" s="7"/>
      <c r="AB183" s="7"/>
      <c r="AC183" s="7"/>
      <c r="AD183" s="7"/>
      <c r="AE183" s="7"/>
      <c r="AF183" s="7"/>
      <c r="AG183" s="7"/>
      <c r="AH183" s="7"/>
      <c r="AI183" s="7"/>
      <c r="AJ183" s="7"/>
    </row>
    <row r="184" spans="1:36" ht="15" customHeight="1">
      <c r="A184" s="7"/>
      <c r="B184" s="7"/>
      <c r="C184" s="7"/>
      <c r="D184" s="7"/>
      <c r="E184" s="7"/>
      <c r="F184" s="7"/>
      <c r="G184" s="7"/>
      <c r="H184" s="7"/>
      <c r="I184" s="7"/>
      <c r="J184" s="7"/>
      <c r="K184" s="7"/>
      <c r="L184" s="7"/>
      <c r="M184" s="7" t="str">
        <f t="shared" si="0"/>
        <v/>
      </c>
      <c r="N184" s="7"/>
      <c r="O184" s="7"/>
      <c r="P184" s="7"/>
      <c r="Q184" s="7"/>
      <c r="R184" s="7"/>
      <c r="S184" s="7"/>
      <c r="T184" s="7"/>
      <c r="U184" s="7"/>
      <c r="V184" s="7"/>
      <c r="W184" s="7"/>
      <c r="X184" s="7"/>
      <c r="Y184" s="7"/>
      <c r="Z184" s="7"/>
      <c r="AA184" s="7"/>
      <c r="AB184" s="7"/>
      <c r="AC184" s="7"/>
      <c r="AD184" s="7"/>
      <c r="AE184" s="7"/>
      <c r="AF184" s="7"/>
      <c r="AG184" s="7"/>
      <c r="AH184" s="7"/>
      <c r="AI184" s="7"/>
      <c r="AJ184" s="7"/>
    </row>
    <row r="185" spans="1:36" ht="15" customHeight="1">
      <c r="A185" s="7"/>
      <c r="B185" s="7"/>
      <c r="C185" s="7"/>
      <c r="D185" s="7"/>
      <c r="E185" s="7"/>
      <c r="F185" s="7"/>
      <c r="G185" s="7"/>
      <c r="H185" s="7"/>
      <c r="I185" s="7"/>
      <c r="J185" s="7"/>
      <c r="K185" s="7"/>
      <c r="L185" s="7"/>
      <c r="M185" s="7" t="str">
        <f t="shared" si="0"/>
        <v/>
      </c>
      <c r="N185" s="7"/>
      <c r="O185" s="7"/>
      <c r="P185" s="7"/>
      <c r="Q185" s="7"/>
      <c r="R185" s="7"/>
      <c r="S185" s="7"/>
      <c r="T185" s="7"/>
      <c r="U185" s="7"/>
      <c r="V185" s="7"/>
      <c r="W185" s="7"/>
      <c r="X185" s="7"/>
      <c r="Y185" s="7"/>
      <c r="Z185" s="7"/>
      <c r="AA185" s="7"/>
      <c r="AB185" s="7"/>
      <c r="AC185" s="7"/>
      <c r="AD185" s="7"/>
      <c r="AE185" s="7"/>
      <c r="AF185" s="7"/>
      <c r="AG185" s="7"/>
      <c r="AH185" s="7"/>
      <c r="AI185" s="7"/>
      <c r="AJ185" s="7"/>
    </row>
    <row r="186" spans="1:36" ht="15" customHeight="1">
      <c r="A186" s="7"/>
      <c r="B186" s="7"/>
      <c r="C186" s="7"/>
      <c r="D186" s="7"/>
      <c r="E186" s="7"/>
      <c r="F186" s="7"/>
      <c r="G186" s="7"/>
      <c r="H186" s="7"/>
      <c r="I186" s="7"/>
      <c r="J186" s="7"/>
      <c r="K186" s="7"/>
      <c r="L186" s="7"/>
      <c r="M186" s="7" t="str">
        <f t="shared" si="0"/>
        <v/>
      </c>
      <c r="N186" s="7"/>
      <c r="O186" s="7"/>
      <c r="P186" s="7"/>
      <c r="Q186" s="7"/>
      <c r="R186" s="7"/>
      <c r="S186" s="7"/>
      <c r="T186" s="7"/>
      <c r="U186" s="7"/>
      <c r="V186" s="7"/>
      <c r="W186" s="7"/>
      <c r="X186" s="7"/>
      <c r="Y186" s="7"/>
      <c r="Z186" s="7"/>
      <c r="AA186" s="7"/>
      <c r="AB186" s="7"/>
      <c r="AC186" s="7"/>
      <c r="AD186" s="7"/>
      <c r="AE186" s="7"/>
      <c r="AF186" s="7"/>
      <c r="AG186" s="7"/>
      <c r="AH186" s="7"/>
      <c r="AI186" s="7"/>
      <c r="AJ186" s="7"/>
    </row>
    <row r="187" spans="1:36" ht="15" customHeight="1">
      <c r="A187" s="7"/>
      <c r="B187" s="7"/>
      <c r="C187" s="7"/>
      <c r="D187" s="7"/>
      <c r="E187" s="7"/>
      <c r="F187" s="7"/>
      <c r="G187" s="7"/>
      <c r="H187" s="7"/>
      <c r="I187" s="7"/>
      <c r="J187" s="7"/>
      <c r="K187" s="7"/>
      <c r="L187" s="7"/>
      <c r="M187" s="7" t="str">
        <f t="shared" si="0"/>
        <v/>
      </c>
      <c r="N187" s="7"/>
      <c r="O187" s="7"/>
      <c r="P187" s="7"/>
      <c r="Q187" s="7"/>
      <c r="R187" s="7"/>
      <c r="S187" s="7"/>
      <c r="T187" s="7"/>
      <c r="U187" s="7"/>
      <c r="V187" s="7"/>
      <c r="W187" s="7"/>
      <c r="X187" s="7"/>
      <c r="Y187" s="7"/>
      <c r="Z187" s="7"/>
      <c r="AA187" s="7"/>
      <c r="AB187" s="7"/>
      <c r="AC187" s="7"/>
      <c r="AD187" s="7"/>
      <c r="AE187" s="7"/>
      <c r="AF187" s="7"/>
      <c r="AG187" s="7"/>
      <c r="AH187" s="7"/>
      <c r="AI187" s="7"/>
      <c r="AJ187" s="7"/>
    </row>
    <row r="188" spans="1:36" ht="15" customHeight="1">
      <c r="A188" s="7"/>
      <c r="B188" s="7"/>
      <c r="C188" s="7"/>
      <c r="D188" s="7"/>
      <c r="E188" s="7"/>
      <c r="F188" s="7"/>
      <c r="G188" s="7"/>
      <c r="H188" s="7"/>
      <c r="I188" s="7"/>
      <c r="J188" s="7"/>
      <c r="K188" s="7"/>
      <c r="L188" s="7"/>
      <c r="M188" s="7" t="str">
        <f t="shared" si="0"/>
        <v/>
      </c>
      <c r="N188" s="7"/>
      <c r="O188" s="7"/>
      <c r="P188" s="7"/>
      <c r="Q188" s="7"/>
      <c r="R188" s="7"/>
      <c r="S188" s="7"/>
      <c r="T188" s="7"/>
      <c r="U188" s="7"/>
      <c r="V188" s="7"/>
      <c r="W188" s="7"/>
      <c r="X188" s="7"/>
      <c r="Y188" s="7"/>
      <c r="Z188" s="7"/>
      <c r="AA188" s="7"/>
      <c r="AB188" s="7"/>
      <c r="AC188" s="7"/>
      <c r="AD188" s="7"/>
      <c r="AE188" s="7"/>
      <c r="AF188" s="7"/>
      <c r="AG188" s="7"/>
      <c r="AH188" s="7"/>
      <c r="AI188" s="7"/>
      <c r="AJ188" s="7"/>
    </row>
    <row r="189" spans="1:36" ht="15" customHeight="1">
      <c r="A189" s="7"/>
      <c r="B189" s="7"/>
      <c r="C189" s="7"/>
      <c r="D189" s="7"/>
      <c r="E189" s="7"/>
      <c r="F189" s="7"/>
      <c r="G189" s="7"/>
      <c r="H189" s="7"/>
      <c r="I189" s="7"/>
      <c r="J189" s="7"/>
      <c r="K189" s="7"/>
      <c r="L189" s="7"/>
      <c r="M189" s="7" t="str">
        <f t="shared" si="0"/>
        <v/>
      </c>
      <c r="N189" s="7"/>
      <c r="O189" s="7"/>
      <c r="P189" s="7"/>
      <c r="Q189" s="7"/>
      <c r="R189" s="7"/>
      <c r="S189" s="7"/>
      <c r="T189" s="7"/>
      <c r="U189" s="7"/>
      <c r="V189" s="7"/>
      <c r="W189" s="7"/>
      <c r="X189" s="7"/>
      <c r="Y189" s="7"/>
      <c r="Z189" s="7"/>
      <c r="AA189" s="7"/>
      <c r="AB189" s="7"/>
      <c r="AC189" s="7"/>
      <c r="AD189" s="7"/>
      <c r="AE189" s="7"/>
      <c r="AF189" s="7"/>
      <c r="AG189" s="7"/>
      <c r="AH189" s="7"/>
      <c r="AI189" s="7"/>
      <c r="AJ189" s="7"/>
    </row>
    <row r="190" spans="1:36" ht="15" customHeight="1">
      <c r="A190" s="7"/>
      <c r="B190" s="7"/>
      <c r="C190" s="7"/>
      <c r="D190" s="7"/>
      <c r="E190" s="7"/>
      <c r="F190" s="7"/>
      <c r="G190" s="7"/>
      <c r="H190" s="7"/>
      <c r="I190" s="7"/>
      <c r="J190" s="7"/>
      <c r="K190" s="7"/>
      <c r="L190" s="7"/>
      <c r="M190" s="7" t="str">
        <f t="shared" si="0"/>
        <v/>
      </c>
      <c r="N190" s="7"/>
      <c r="O190" s="7"/>
      <c r="P190" s="7"/>
      <c r="Q190" s="7"/>
      <c r="R190" s="7"/>
      <c r="S190" s="7"/>
      <c r="T190" s="7"/>
      <c r="U190" s="7"/>
      <c r="V190" s="7"/>
      <c r="W190" s="7"/>
      <c r="X190" s="7"/>
      <c r="Y190" s="7"/>
      <c r="Z190" s="7"/>
      <c r="AA190" s="7"/>
      <c r="AB190" s="7"/>
      <c r="AC190" s="7"/>
      <c r="AD190" s="7"/>
      <c r="AE190" s="7"/>
      <c r="AF190" s="7"/>
      <c r="AG190" s="7"/>
      <c r="AH190" s="7"/>
      <c r="AI190" s="7"/>
      <c r="AJ190" s="7"/>
    </row>
    <row r="191" spans="1:36" ht="15" customHeight="1">
      <c r="A191" s="7"/>
      <c r="B191" s="7"/>
      <c r="C191" s="7"/>
      <c r="D191" s="7"/>
      <c r="E191" s="7"/>
      <c r="F191" s="7"/>
      <c r="G191" s="7"/>
      <c r="H191" s="7"/>
      <c r="I191" s="7"/>
      <c r="J191" s="7"/>
      <c r="K191" s="7"/>
      <c r="L191" s="7"/>
      <c r="M191" s="7" t="str">
        <f t="shared" si="0"/>
        <v/>
      </c>
      <c r="N191" s="7"/>
      <c r="O191" s="7"/>
      <c r="P191" s="7"/>
      <c r="Q191" s="7"/>
      <c r="R191" s="7"/>
      <c r="S191" s="7"/>
      <c r="T191" s="7"/>
      <c r="U191" s="7"/>
      <c r="V191" s="7"/>
      <c r="W191" s="7"/>
      <c r="X191" s="7"/>
      <c r="Y191" s="7"/>
      <c r="Z191" s="7"/>
      <c r="AA191" s="7"/>
      <c r="AB191" s="7"/>
      <c r="AC191" s="7"/>
      <c r="AD191" s="7"/>
      <c r="AE191" s="7"/>
      <c r="AF191" s="7"/>
      <c r="AG191" s="7"/>
      <c r="AH191" s="7"/>
      <c r="AI191" s="7"/>
      <c r="AJ191" s="7"/>
    </row>
    <row r="192" spans="1:36" ht="15" customHeight="1">
      <c r="A192" s="7"/>
      <c r="B192" s="7"/>
      <c r="C192" s="7"/>
      <c r="D192" s="7"/>
      <c r="E192" s="7"/>
      <c r="F192" s="7"/>
      <c r="G192" s="7"/>
      <c r="H192" s="7"/>
      <c r="I192" s="7"/>
      <c r="J192" s="7"/>
      <c r="K192" s="7"/>
      <c r="L192" s="7"/>
      <c r="M192" s="7" t="str">
        <f t="shared" si="0"/>
        <v/>
      </c>
      <c r="N192" s="7"/>
      <c r="O192" s="7"/>
      <c r="P192" s="7"/>
      <c r="Q192" s="7"/>
      <c r="R192" s="7"/>
      <c r="S192" s="7"/>
      <c r="T192" s="7"/>
      <c r="U192" s="7"/>
      <c r="V192" s="7"/>
      <c r="W192" s="7"/>
      <c r="X192" s="7"/>
      <c r="Y192" s="7"/>
      <c r="Z192" s="7"/>
      <c r="AA192" s="7"/>
      <c r="AB192" s="7"/>
      <c r="AC192" s="7"/>
      <c r="AD192" s="7"/>
      <c r="AE192" s="7"/>
      <c r="AF192" s="7"/>
      <c r="AG192" s="7"/>
      <c r="AH192" s="7"/>
      <c r="AI192" s="7"/>
      <c r="AJ192" s="7"/>
    </row>
    <row r="193" spans="1:36" ht="15" customHeight="1">
      <c r="A193" s="7"/>
      <c r="B193" s="7"/>
      <c r="C193" s="7"/>
      <c r="D193" s="7"/>
      <c r="E193" s="7"/>
      <c r="F193" s="7"/>
      <c r="G193" s="7"/>
      <c r="H193" s="7"/>
      <c r="I193" s="7"/>
      <c r="J193" s="7"/>
      <c r="K193" s="7"/>
      <c r="L193" s="7"/>
      <c r="M193" s="7" t="str">
        <f t="shared" si="0"/>
        <v/>
      </c>
      <c r="N193" s="7"/>
      <c r="O193" s="7"/>
      <c r="P193" s="7"/>
      <c r="Q193" s="7"/>
      <c r="R193" s="7"/>
      <c r="S193" s="7"/>
      <c r="T193" s="7"/>
      <c r="U193" s="7"/>
      <c r="V193" s="7"/>
      <c r="W193" s="7"/>
      <c r="X193" s="7"/>
      <c r="Y193" s="7"/>
      <c r="Z193" s="7"/>
      <c r="AA193" s="7"/>
      <c r="AB193" s="7"/>
      <c r="AC193" s="7"/>
      <c r="AD193" s="7"/>
      <c r="AE193" s="7"/>
      <c r="AF193" s="7"/>
      <c r="AG193" s="7"/>
      <c r="AH193" s="7"/>
      <c r="AI193" s="7"/>
      <c r="AJ193" s="7"/>
    </row>
    <row r="194" spans="1:36" ht="15" customHeight="1">
      <c r="A194" s="7"/>
      <c r="B194" s="7"/>
      <c r="C194" s="7"/>
      <c r="D194" s="7"/>
      <c r="E194" s="7"/>
      <c r="F194" s="7"/>
      <c r="G194" s="7"/>
      <c r="H194" s="7"/>
      <c r="I194" s="7"/>
      <c r="J194" s="7"/>
      <c r="K194" s="7"/>
      <c r="L194" s="7"/>
      <c r="M194" s="7" t="str">
        <f t="shared" si="0"/>
        <v/>
      </c>
      <c r="N194" s="7"/>
      <c r="O194" s="7"/>
      <c r="P194" s="7"/>
      <c r="Q194" s="7"/>
      <c r="R194" s="7"/>
      <c r="S194" s="7"/>
      <c r="T194" s="7"/>
      <c r="U194" s="7"/>
      <c r="V194" s="7"/>
      <c r="W194" s="7"/>
      <c r="X194" s="7"/>
      <c r="Y194" s="7"/>
      <c r="Z194" s="7"/>
      <c r="AA194" s="7"/>
      <c r="AB194" s="7"/>
      <c r="AC194" s="7"/>
      <c r="AD194" s="7"/>
      <c r="AE194" s="7"/>
      <c r="AF194" s="7"/>
      <c r="AG194" s="7"/>
      <c r="AH194" s="7"/>
      <c r="AI194" s="7"/>
      <c r="AJ194" s="7"/>
    </row>
    <row r="195" spans="1:36" ht="15" customHeight="1">
      <c r="A195" s="7"/>
      <c r="B195" s="7"/>
      <c r="C195" s="7"/>
      <c r="D195" s="7"/>
      <c r="E195" s="7"/>
      <c r="F195" s="7"/>
      <c r="G195" s="7"/>
      <c r="H195" s="7"/>
      <c r="I195" s="7"/>
      <c r="J195" s="7"/>
      <c r="K195" s="7"/>
      <c r="L195" s="7"/>
      <c r="M195" s="7" t="str">
        <f t="shared" si="0"/>
        <v/>
      </c>
      <c r="N195" s="7"/>
      <c r="O195" s="7"/>
      <c r="P195" s="7"/>
      <c r="Q195" s="7"/>
      <c r="R195" s="7"/>
      <c r="S195" s="7"/>
      <c r="T195" s="7"/>
      <c r="U195" s="7"/>
      <c r="V195" s="7"/>
      <c r="W195" s="7"/>
      <c r="X195" s="7"/>
      <c r="Y195" s="7"/>
      <c r="Z195" s="7"/>
      <c r="AA195" s="7"/>
      <c r="AB195" s="7"/>
      <c r="AC195" s="7"/>
      <c r="AD195" s="7"/>
      <c r="AE195" s="7"/>
      <c r="AF195" s="7"/>
      <c r="AG195" s="7"/>
      <c r="AH195" s="7"/>
      <c r="AI195" s="7"/>
      <c r="AJ195" s="7"/>
    </row>
    <row r="196" spans="1:36" ht="15" customHeight="1">
      <c r="A196" s="7"/>
      <c r="B196" s="7"/>
      <c r="C196" s="7"/>
      <c r="D196" s="7"/>
      <c r="E196" s="7"/>
      <c r="F196" s="7"/>
      <c r="G196" s="7"/>
      <c r="H196" s="7"/>
      <c r="I196" s="7"/>
      <c r="J196" s="7"/>
      <c r="K196" s="7"/>
      <c r="L196" s="7"/>
      <c r="M196" s="7" t="str">
        <f t="shared" si="0"/>
        <v/>
      </c>
      <c r="N196" s="7"/>
      <c r="O196" s="7"/>
      <c r="P196" s="7"/>
      <c r="Q196" s="7"/>
      <c r="R196" s="7"/>
      <c r="S196" s="7"/>
      <c r="T196" s="7"/>
      <c r="U196" s="7"/>
      <c r="V196" s="7"/>
      <c r="W196" s="7"/>
      <c r="X196" s="7"/>
      <c r="Y196" s="7"/>
      <c r="Z196" s="7"/>
      <c r="AA196" s="7"/>
      <c r="AB196" s="7"/>
      <c r="AC196" s="7"/>
      <c r="AD196" s="7"/>
      <c r="AE196" s="7"/>
      <c r="AF196" s="7"/>
      <c r="AG196" s="7"/>
      <c r="AH196" s="7"/>
      <c r="AI196" s="7"/>
      <c r="AJ196" s="7"/>
    </row>
    <row r="197" spans="1:36" ht="15" customHeight="1">
      <c r="A197" s="7"/>
      <c r="B197" s="7"/>
      <c r="C197" s="7"/>
      <c r="D197" s="7"/>
      <c r="E197" s="7"/>
      <c r="F197" s="7"/>
      <c r="G197" s="7"/>
      <c r="H197" s="7"/>
      <c r="I197" s="7"/>
      <c r="J197" s="7"/>
      <c r="K197" s="7"/>
      <c r="L197" s="7"/>
      <c r="M197" s="7" t="str">
        <f t="shared" si="0"/>
        <v/>
      </c>
      <c r="N197" s="7"/>
      <c r="O197" s="7"/>
      <c r="P197" s="7"/>
      <c r="Q197" s="7"/>
      <c r="R197" s="7"/>
      <c r="S197" s="7"/>
      <c r="T197" s="7"/>
      <c r="U197" s="7"/>
      <c r="V197" s="7"/>
      <c r="W197" s="7"/>
      <c r="X197" s="7"/>
      <c r="Y197" s="7"/>
      <c r="Z197" s="7"/>
      <c r="AA197" s="7"/>
      <c r="AB197" s="7"/>
      <c r="AC197" s="7"/>
      <c r="AD197" s="7"/>
      <c r="AE197" s="7"/>
      <c r="AF197" s="7"/>
      <c r="AG197" s="7"/>
      <c r="AH197" s="7"/>
      <c r="AI197" s="7"/>
      <c r="AJ197" s="7"/>
    </row>
    <row r="198" spans="1:36" ht="15" customHeight="1">
      <c r="A198" s="7"/>
      <c r="B198" s="7"/>
      <c r="C198" s="7"/>
      <c r="D198" s="7"/>
      <c r="E198" s="7"/>
      <c r="F198" s="7"/>
      <c r="G198" s="7"/>
      <c r="H198" s="7"/>
      <c r="I198" s="7"/>
      <c r="J198" s="7"/>
      <c r="K198" s="7"/>
      <c r="L198" s="7"/>
      <c r="M198" s="7" t="str">
        <f t="shared" si="0"/>
        <v/>
      </c>
      <c r="N198" s="7"/>
      <c r="O198" s="7"/>
      <c r="P198" s="7"/>
      <c r="Q198" s="7"/>
      <c r="R198" s="7"/>
      <c r="S198" s="7"/>
      <c r="T198" s="7"/>
      <c r="U198" s="7"/>
      <c r="V198" s="7"/>
      <c r="W198" s="7"/>
      <c r="X198" s="7"/>
      <c r="Y198" s="7"/>
      <c r="Z198" s="7"/>
      <c r="AA198" s="7"/>
      <c r="AB198" s="7"/>
      <c r="AC198" s="7"/>
      <c r="AD198" s="7"/>
      <c r="AE198" s="7"/>
      <c r="AF198" s="7"/>
      <c r="AG198" s="7"/>
      <c r="AH198" s="7"/>
      <c r="AI198" s="7"/>
      <c r="AJ198" s="7"/>
    </row>
    <row r="199" spans="1:36" ht="15" customHeight="1">
      <c r="A199" s="7"/>
      <c r="B199" s="7"/>
      <c r="C199" s="7"/>
      <c r="D199" s="7"/>
      <c r="E199" s="7"/>
      <c r="F199" s="7"/>
      <c r="G199" s="7"/>
      <c r="H199" s="7"/>
      <c r="I199" s="7"/>
      <c r="J199" s="7"/>
      <c r="K199" s="7"/>
      <c r="L199" s="7"/>
      <c r="M199" s="7" t="str">
        <f t="shared" si="0"/>
        <v/>
      </c>
      <c r="N199" s="7"/>
      <c r="O199" s="7"/>
      <c r="P199" s="7"/>
      <c r="Q199" s="7"/>
      <c r="R199" s="7"/>
      <c r="S199" s="7"/>
      <c r="T199" s="7"/>
      <c r="U199" s="7"/>
      <c r="V199" s="7"/>
      <c r="W199" s="7"/>
      <c r="X199" s="7"/>
      <c r="Y199" s="7"/>
      <c r="Z199" s="7"/>
      <c r="AA199" s="7"/>
      <c r="AB199" s="7"/>
      <c r="AC199" s="7"/>
      <c r="AD199" s="7"/>
      <c r="AE199" s="7"/>
      <c r="AF199" s="7"/>
      <c r="AG199" s="7"/>
      <c r="AH199" s="7"/>
      <c r="AI199" s="7"/>
      <c r="AJ199" s="7"/>
    </row>
    <row r="200" spans="1:36" ht="15" customHeight="1">
      <c r="A200" s="7"/>
      <c r="B200" s="7"/>
      <c r="C200" s="7"/>
      <c r="D200" s="7"/>
      <c r="E200" s="7"/>
      <c r="F200" s="7"/>
      <c r="G200" s="7"/>
      <c r="H200" s="7"/>
      <c r="I200" s="7"/>
      <c r="J200" s="7"/>
      <c r="K200" s="7"/>
      <c r="L200" s="7"/>
      <c r="M200" s="7" t="str">
        <f t="shared" si="0"/>
        <v/>
      </c>
      <c r="N200" s="7"/>
      <c r="O200" s="7"/>
      <c r="P200" s="7"/>
      <c r="Q200" s="7"/>
      <c r="R200" s="7"/>
      <c r="S200" s="7"/>
      <c r="T200" s="7"/>
      <c r="U200" s="7"/>
      <c r="V200" s="7"/>
      <c r="W200" s="7"/>
      <c r="X200" s="7"/>
      <c r="Y200" s="7"/>
      <c r="Z200" s="7"/>
      <c r="AA200" s="7"/>
      <c r="AB200" s="7"/>
      <c r="AC200" s="7"/>
      <c r="AD200" s="7"/>
      <c r="AE200" s="7"/>
      <c r="AF200" s="7"/>
      <c r="AG200" s="7"/>
      <c r="AH200" s="7"/>
      <c r="AI200" s="7"/>
      <c r="AJ200" s="7"/>
    </row>
    <row r="201" spans="1:36" ht="15" customHeight="1">
      <c r="A201" s="7"/>
      <c r="B201" s="7"/>
      <c r="C201" s="7"/>
      <c r="D201" s="7"/>
      <c r="E201" s="7"/>
      <c r="F201" s="7"/>
      <c r="G201" s="7"/>
      <c r="H201" s="7"/>
      <c r="I201" s="7"/>
      <c r="J201" s="7"/>
      <c r="K201" s="7"/>
      <c r="L201" s="7"/>
      <c r="M201" s="7" t="str">
        <f t="shared" si="0"/>
        <v/>
      </c>
      <c r="N201" s="7"/>
      <c r="O201" s="7"/>
      <c r="P201" s="7"/>
      <c r="Q201" s="7"/>
      <c r="R201" s="7"/>
      <c r="S201" s="7"/>
      <c r="T201" s="7"/>
      <c r="U201" s="7"/>
      <c r="V201" s="7"/>
      <c r="W201" s="7"/>
      <c r="X201" s="7"/>
      <c r="Y201" s="7"/>
      <c r="Z201" s="7"/>
      <c r="AA201" s="7"/>
      <c r="AB201" s="7"/>
      <c r="AC201" s="7"/>
      <c r="AD201" s="7"/>
      <c r="AE201" s="7"/>
      <c r="AF201" s="7"/>
      <c r="AG201" s="7"/>
      <c r="AH201" s="7"/>
      <c r="AI201" s="7"/>
      <c r="AJ201" s="7"/>
    </row>
    <row r="202" spans="1:36" ht="15" customHeight="1">
      <c r="A202" s="7"/>
      <c r="B202" s="7"/>
      <c r="C202" s="7"/>
      <c r="D202" s="7"/>
      <c r="E202" s="7"/>
      <c r="F202" s="7"/>
      <c r="G202" s="7"/>
      <c r="H202" s="7"/>
      <c r="I202" s="7"/>
      <c r="J202" s="7"/>
      <c r="K202" s="7"/>
      <c r="L202" s="7"/>
      <c r="M202" s="7" t="str">
        <f t="shared" si="0"/>
        <v/>
      </c>
      <c r="N202" s="7"/>
      <c r="O202" s="7"/>
      <c r="P202" s="7"/>
      <c r="Q202" s="7"/>
      <c r="R202" s="7"/>
      <c r="S202" s="7"/>
      <c r="T202" s="7"/>
      <c r="U202" s="7"/>
      <c r="V202" s="7"/>
      <c r="W202" s="7"/>
      <c r="X202" s="7"/>
      <c r="Y202" s="7"/>
      <c r="Z202" s="7"/>
      <c r="AA202" s="7"/>
      <c r="AB202" s="7"/>
      <c r="AC202" s="7"/>
      <c r="AD202" s="7"/>
      <c r="AE202" s="7"/>
      <c r="AF202" s="7"/>
      <c r="AG202" s="7"/>
      <c r="AH202" s="7"/>
      <c r="AI202" s="7"/>
      <c r="AJ202" s="7"/>
    </row>
    <row r="203" spans="1:36" ht="15" customHeight="1">
      <c r="A203" s="7"/>
      <c r="B203" s="7"/>
      <c r="C203" s="7"/>
      <c r="D203" s="7"/>
      <c r="E203" s="7"/>
      <c r="F203" s="7"/>
      <c r="G203" s="7"/>
      <c r="H203" s="7"/>
      <c r="I203" s="7"/>
      <c r="J203" s="7"/>
      <c r="K203" s="7"/>
      <c r="L203" s="7"/>
      <c r="M203" s="7" t="str">
        <f t="shared" si="0"/>
        <v/>
      </c>
      <c r="N203" s="7"/>
      <c r="O203" s="7"/>
      <c r="P203" s="7"/>
      <c r="Q203" s="7"/>
      <c r="R203" s="7"/>
      <c r="S203" s="7"/>
      <c r="T203" s="7"/>
      <c r="U203" s="7"/>
      <c r="V203" s="7"/>
      <c r="W203" s="7"/>
      <c r="X203" s="7"/>
      <c r="Y203" s="7"/>
      <c r="Z203" s="7"/>
      <c r="AA203" s="7"/>
      <c r="AB203" s="7"/>
      <c r="AC203" s="7"/>
      <c r="AD203" s="7"/>
      <c r="AE203" s="7"/>
      <c r="AF203" s="7"/>
      <c r="AG203" s="7"/>
      <c r="AH203" s="7"/>
      <c r="AI203" s="7"/>
      <c r="AJ203" s="7"/>
    </row>
    <row r="204" spans="1:36" ht="15" customHeight="1">
      <c r="A204" s="7"/>
      <c r="B204" s="7"/>
      <c r="C204" s="7"/>
      <c r="D204" s="7"/>
      <c r="E204" s="7"/>
      <c r="F204" s="7"/>
      <c r="G204" s="7"/>
      <c r="H204" s="7"/>
      <c r="I204" s="7"/>
      <c r="J204" s="7"/>
      <c r="K204" s="7"/>
      <c r="L204" s="7"/>
      <c r="M204" s="7" t="str">
        <f t="shared" si="0"/>
        <v/>
      </c>
      <c r="N204" s="7"/>
      <c r="O204" s="7"/>
      <c r="P204" s="7"/>
      <c r="Q204" s="7"/>
      <c r="R204" s="7"/>
      <c r="S204" s="7"/>
      <c r="T204" s="7"/>
      <c r="U204" s="7"/>
      <c r="V204" s="7"/>
      <c r="W204" s="7"/>
      <c r="X204" s="7"/>
      <c r="Y204" s="7"/>
      <c r="Z204" s="7"/>
      <c r="AA204" s="7"/>
      <c r="AB204" s="7"/>
      <c r="AC204" s="7"/>
      <c r="AD204" s="7"/>
      <c r="AE204" s="7"/>
      <c r="AF204" s="7"/>
      <c r="AG204" s="7"/>
      <c r="AH204" s="7"/>
      <c r="AI204" s="7"/>
      <c r="AJ204" s="7"/>
    </row>
    <row r="205" spans="1:36" ht="15" customHeight="1">
      <c r="A205" s="7"/>
      <c r="B205" s="7"/>
      <c r="C205" s="7"/>
      <c r="D205" s="7"/>
      <c r="E205" s="7"/>
      <c r="F205" s="7"/>
      <c r="G205" s="7"/>
      <c r="H205" s="7"/>
      <c r="I205" s="7"/>
      <c r="J205" s="7"/>
      <c r="K205" s="7"/>
      <c r="L205" s="7"/>
      <c r="M205" s="7" t="str">
        <f t="shared" si="0"/>
        <v/>
      </c>
      <c r="N205" s="7"/>
      <c r="O205" s="7"/>
      <c r="P205" s="7"/>
      <c r="Q205" s="7"/>
      <c r="R205" s="7"/>
      <c r="S205" s="7"/>
      <c r="T205" s="7"/>
      <c r="U205" s="7"/>
      <c r="V205" s="7"/>
      <c r="W205" s="7"/>
      <c r="X205" s="7"/>
      <c r="Y205" s="7"/>
      <c r="Z205" s="7"/>
      <c r="AA205" s="7"/>
      <c r="AB205" s="7"/>
      <c r="AC205" s="7"/>
      <c r="AD205" s="7"/>
      <c r="AE205" s="7"/>
      <c r="AF205" s="7"/>
      <c r="AG205" s="7"/>
      <c r="AH205" s="7"/>
      <c r="AI205" s="7"/>
      <c r="AJ205" s="7"/>
    </row>
    <row r="206" spans="1:36" ht="15" customHeight="1">
      <c r="A206" s="7"/>
      <c r="B206" s="7"/>
      <c r="C206" s="7"/>
      <c r="D206" s="7"/>
      <c r="E206" s="7"/>
      <c r="F206" s="7"/>
      <c r="G206" s="7"/>
      <c r="H206" s="7"/>
      <c r="I206" s="7"/>
      <c r="J206" s="7"/>
      <c r="K206" s="7"/>
      <c r="L206" s="7"/>
      <c r="M206" s="7" t="str">
        <f t="shared" si="0"/>
        <v/>
      </c>
      <c r="N206" s="7"/>
      <c r="O206" s="7"/>
      <c r="P206" s="7"/>
      <c r="Q206" s="7"/>
      <c r="R206" s="7"/>
      <c r="S206" s="7"/>
      <c r="T206" s="7"/>
      <c r="U206" s="7"/>
      <c r="V206" s="7"/>
      <c r="W206" s="7"/>
      <c r="X206" s="7"/>
      <c r="Y206" s="7"/>
      <c r="Z206" s="7"/>
      <c r="AA206" s="7"/>
      <c r="AB206" s="7"/>
      <c r="AC206" s="7"/>
      <c r="AD206" s="7"/>
      <c r="AE206" s="7"/>
      <c r="AF206" s="7"/>
      <c r="AG206" s="7"/>
      <c r="AH206" s="7"/>
      <c r="AI206" s="7"/>
      <c r="AJ206" s="7"/>
    </row>
    <row r="207" spans="1:36" ht="15" customHeight="1">
      <c r="A207" s="7"/>
      <c r="B207" s="7"/>
      <c r="C207" s="7"/>
      <c r="D207" s="7"/>
      <c r="E207" s="7"/>
      <c r="F207" s="7"/>
      <c r="G207" s="7"/>
      <c r="H207" s="7"/>
      <c r="I207" s="7"/>
      <c r="J207" s="7"/>
      <c r="K207" s="7"/>
      <c r="L207" s="7"/>
      <c r="M207" s="7" t="str">
        <f t="shared" si="0"/>
        <v/>
      </c>
      <c r="N207" s="7"/>
      <c r="O207" s="7"/>
      <c r="P207" s="7"/>
      <c r="Q207" s="7"/>
      <c r="R207" s="7"/>
      <c r="S207" s="7"/>
      <c r="T207" s="7"/>
      <c r="U207" s="7"/>
      <c r="V207" s="7"/>
      <c r="W207" s="7"/>
      <c r="X207" s="7"/>
      <c r="Y207" s="7"/>
      <c r="Z207" s="7"/>
      <c r="AA207" s="7"/>
      <c r="AB207" s="7"/>
      <c r="AC207" s="7"/>
      <c r="AD207" s="7"/>
      <c r="AE207" s="7"/>
      <c r="AF207" s="7"/>
      <c r="AG207" s="7"/>
      <c r="AH207" s="7"/>
      <c r="AI207" s="7"/>
      <c r="AJ207" s="7"/>
    </row>
    <row r="208" spans="1:36" ht="15" customHeight="1">
      <c r="A208" s="7"/>
      <c r="B208" s="7"/>
      <c r="C208" s="7"/>
      <c r="D208" s="7"/>
      <c r="E208" s="7"/>
      <c r="F208" s="7"/>
      <c r="G208" s="7"/>
      <c r="H208" s="7"/>
      <c r="I208" s="7"/>
      <c r="J208" s="7"/>
      <c r="K208" s="7"/>
      <c r="L208" s="7"/>
      <c r="M208" s="7" t="str">
        <f t="shared" si="0"/>
        <v/>
      </c>
      <c r="N208" s="7"/>
      <c r="O208" s="7"/>
      <c r="P208" s="7"/>
      <c r="Q208" s="7"/>
      <c r="R208" s="7"/>
      <c r="S208" s="7"/>
      <c r="T208" s="7"/>
      <c r="U208" s="7"/>
      <c r="V208" s="7"/>
      <c r="W208" s="7"/>
      <c r="X208" s="7"/>
      <c r="Y208" s="7"/>
      <c r="Z208" s="7"/>
      <c r="AA208" s="7"/>
      <c r="AB208" s="7"/>
      <c r="AC208" s="7"/>
      <c r="AD208" s="7"/>
      <c r="AE208" s="7"/>
      <c r="AF208" s="7"/>
      <c r="AG208" s="7"/>
      <c r="AH208" s="7"/>
      <c r="AI208" s="7"/>
      <c r="AJ208" s="7"/>
    </row>
    <row r="209" spans="1:36" ht="15" customHeight="1">
      <c r="A209" s="7"/>
      <c r="B209" s="7"/>
      <c r="C209" s="7"/>
      <c r="D209" s="7"/>
      <c r="E209" s="7"/>
      <c r="F209" s="7"/>
      <c r="G209" s="7"/>
      <c r="H209" s="7"/>
      <c r="I209" s="7"/>
      <c r="J209" s="7"/>
      <c r="K209" s="7"/>
      <c r="L209" s="7"/>
      <c r="M209" s="7" t="str">
        <f t="shared" si="0"/>
        <v/>
      </c>
      <c r="N209" s="7"/>
      <c r="O209" s="7"/>
      <c r="P209" s="7"/>
      <c r="Q209" s="7"/>
      <c r="R209" s="7"/>
      <c r="S209" s="7"/>
      <c r="T209" s="7"/>
      <c r="U209" s="7"/>
      <c r="V209" s="7"/>
      <c r="W209" s="7"/>
      <c r="X209" s="7"/>
      <c r="Y209" s="7"/>
      <c r="Z209" s="7"/>
      <c r="AA209" s="7"/>
      <c r="AB209" s="7"/>
      <c r="AC209" s="7"/>
      <c r="AD209" s="7"/>
      <c r="AE209" s="7"/>
      <c r="AF209" s="7"/>
      <c r="AG209" s="7"/>
      <c r="AH209" s="7"/>
      <c r="AI209" s="7"/>
      <c r="AJ209" s="7"/>
    </row>
    <row r="210" spans="1:36" ht="15" customHeight="1">
      <c r="A210" s="7"/>
      <c r="B210" s="7"/>
      <c r="C210" s="7"/>
      <c r="D210" s="7"/>
      <c r="E210" s="7"/>
      <c r="F210" s="7"/>
      <c r="G210" s="7"/>
      <c r="H210" s="7"/>
      <c r="I210" s="7"/>
      <c r="J210" s="7"/>
      <c r="K210" s="7"/>
      <c r="L210" s="7"/>
      <c r="M210" s="7" t="str">
        <f t="shared" si="0"/>
        <v/>
      </c>
      <c r="N210" s="7"/>
      <c r="O210" s="7"/>
      <c r="P210" s="7"/>
      <c r="Q210" s="7"/>
      <c r="R210" s="7"/>
      <c r="S210" s="7"/>
      <c r="T210" s="7"/>
      <c r="U210" s="7"/>
      <c r="V210" s="7"/>
      <c r="W210" s="7"/>
      <c r="X210" s="7"/>
      <c r="Y210" s="7"/>
      <c r="Z210" s="7"/>
      <c r="AA210" s="7"/>
      <c r="AB210" s="7"/>
      <c r="AC210" s="7"/>
      <c r="AD210" s="7"/>
      <c r="AE210" s="7"/>
      <c r="AF210" s="7"/>
      <c r="AG210" s="7"/>
      <c r="AH210" s="7"/>
      <c r="AI210" s="7"/>
      <c r="AJ210" s="7"/>
    </row>
    <row r="211" spans="1:36" ht="15" customHeight="1">
      <c r="A211" s="7"/>
      <c r="B211" s="7"/>
      <c r="C211" s="7"/>
      <c r="D211" s="7"/>
      <c r="E211" s="7"/>
      <c r="F211" s="7"/>
      <c r="G211" s="7"/>
      <c r="H211" s="7"/>
      <c r="I211" s="7"/>
      <c r="J211" s="7"/>
      <c r="K211" s="7"/>
      <c r="L211" s="7"/>
      <c r="M211" s="7" t="str">
        <f t="shared" si="0"/>
        <v/>
      </c>
      <c r="N211" s="7"/>
      <c r="O211" s="7"/>
      <c r="P211" s="7"/>
      <c r="Q211" s="7"/>
      <c r="R211" s="7"/>
      <c r="S211" s="7"/>
      <c r="T211" s="7"/>
      <c r="U211" s="7"/>
      <c r="V211" s="7"/>
      <c r="W211" s="7"/>
      <c r="X211" s="7"/>
      <c r="Y211" s="7"/>
      <c r="Z211" s="7"/>
      <c r="AA211" s="7"/>
      <c r="AB211" s="7"/>
      <c r="AC211" s="7"/>
      <c r="AD211" s="7"/>
      <c r="AE211" s="7"/>
      <c r="AF211" s="7"/>
      <c r="AG211" s="7"/>
      <c r="AH211" s="7"/>
      <c r="AI211" s="7"/>
      <c r="AJ211" s="7"/>
    </row>
    <row r="212" spans="1:36" ht="15" customHeight="1">
      <c r="A212" s="7"/>
      <c r="B212" s="7"/>
      <c r="C212" s="7"/>
      <c r="D212" s="7"/>
      <c r="E212" s="7"/>
      <c r="F212" s="7"/>
      <c r="G212" s="7"/>
      <c r="H212" s="7"/>
      <c r="I212" s="7"/>
      <c r="J212" s="7"/>
      <c r="K212" s="7"/>
      <c r="L212" s="7"/>
      <c r="M212" s="7" t="str">
        <f t="shared" si="0"/>
        <v/>
      </c>
      <c r="N212" s="7"/>
      <c r="O212" s="7"/>
      <c r="P212" s="7"/>
      <c r="Q212" s="7"/>
      <c r="R212" s="7"/>
      <c r="S212" s="7"/>
      <c r="T212" s="7"/>
      <c r="U212" s="7"/>
      <c r="V212" s="7"/>
      <c r="W212" s="7"/>
      <c r="X212" s="7"/>
      <c r="Y212" s="7"/>
      <c r="Z212" s="7"/>
      <c r="AA212" s="7"/>
      <c r="AB212" s="7"/>
      <c r="AC212" s="7"/>
      <c r="AD212" s="7"/>
      <c r="AE212" s="7"/>
      <c r="AF212" s="7"/>
      <c r="AG212" s="7"/>
      <c r="AH212" s="7"/>
      <c r="AI212" s="7"/>
      <c r="AJ212" s="7"/>
    </row>
    <row r="213" spans="1:36" ht="15" customHeight="1">
      <c r="A213" s="7"/>
      <c r="B213" s="7"/>
      <c r="C213" s="7"/>
      <c r="D213" s="7"/>
      <c r="E213" s="7"/>
      <c r="F213" s="7"/>
      <c r="G213" s="7"/>
      <c r="H213" s="7"/>
      <c r="I213" s="7"/>
      <c r="J213" s="7"/>
      <c r="K213" s="7"/>
      <c r="L213" s="7"/>
      <c r="M213" s="7" t="str">
        <f t="shared" si="0"/>
        <v/>
      </c>
      <c r="N213" s="7"/>
      <c r="O213" s="7"/>
      <c r="P213" s="7"/>
      <c r="Q213" s="7"/>
      <c r="R213" s="7"/>
      <c r="S213" s="7"/>
      <c r="T213" s="7"/>
      <c r="U213" s="7"/>
      <c r="V213" s="7"/>
      <c r="W213" s="7"/>
      <c r="X213" s="7"/>
      <c r="Y213" s="7"/>
      <c r="Z213" s="7"/>
      <c r="AA213" s="7"/>
      <c r="AB213" s="7"/>
      <c r="AC213" s="7"/>
      <c r="AD213" s="7"/>
      <c r="AE213" s="7"/>
      <c r="AF213" s="7"/>
      <c r="AG213" s="7"/>
      <c r="AH213" s="7"/>
      <c r="AI213" s="7"/>
      <c r="AJ213" s="7"/>
    </row>
    <row r="214" spans="1:36" ht="15" customHeight="1">
      <c r="A214" s="7"/>
      <c r="B214" s="7"/>
      <c r="C214" s="7"/>
      <c r="D214" s="7"/>
      <c r="E214" s="7"/>
      <c r="F214" s="7"/>
      <c r="G214" s="7"/>
      <c r="H214" s="7"/>
      <c r="I214" s="7"/>
      <c r="J214" s="7"/>
      <c r="K214" s="7"/>
      <c r="L214" s="7"/>
      <c r="M214" s="7" t="str">
        <f t="shared" si="0"/>
        <v/>
      </c>
      <c r="N214" s="7"/>
      <c r="O214" s="7"/>
      <c r="P214" s="7"/>
      <c r="Q214" s="7"/>
      <c r="R214" s="7"/>
      <c r="S214" s="7"/>
      <c r="T214" s="7"/>
      <c r="U214" s="7"/>
      <c r="V214" s="7"/>
      <c r="W214" s="7"/>
      <c r="X214" s="7"/>
      <c r="Y214" s="7"/>
      <c r="Z214" s="7"/>
      <c r="AA214" s="7"/>
      <c r="AB214" s="7"/>
      <c r="AC214" s="7"/>
      <c r="AD214" s="7"/>
      <c r="AE214" s="7"/>
      <c r="AF214" s="7"/>
      <c r="AG214" s="7"/>
      <c r="AH214" s="7"/>
      <c r="AI214" s="7"/>
      <c r="AJ214" s="7"/>
    </row>
    <row r="215" spans="1:36" ht="15" customHeight="1">
      <c r="A215" s="7"/>
      <c r="B215" s="7"/>
      <c r="C215" s="7"/>
      <c r="D215" s="7"/>
      <c r="E215" s="7"/>
      <c r="F215" s="7"/>
      <c r="G215" s="7"/>
      <c r="H215" s="7"/>
      <c r="I215" s="7"/>
      <c r="J215" s="7"/>
      <c r="K215" s="7"/>
      <c r="L215" s="7"/>
      <c r="M215" s="7" t="str">
        <f t="shared" si="0"/>
        <v/>
      </c>
      <c r="N215" s="7"/>
      <c r="O215" s="7"/>
      <c r="P215" s="7"/>
      <c r="Q215" s="7"/>
      <c r="R215" s="7"/>
      <c r="S215" s="7"/>
      <c r="T215" s="7"/>
      <c r="U215" s="7"/>
      <c r="V215" s="7"/>
      <c r="W215" s="7"/>
      <c r="X215" s="7"/>
      <c r="Y215" s="7"/>
      <c r="Z215" s="7"/>
      <c r="AA215" s="7"/>
      <c r="AB215" s="7"/>
      <c r="AC215" s="7"/>
      <c r="AD215" s="7"/>
      <c r="AE215" s="7"/>
      <c r="AF215" s="7"/>
      <c r="AG215" s="7"/>
      <c r="AH215" s="7"/>
      <c r="AI215" s="7"/>
      <c r="AJ215" s="7"/>
    </row>
    <row r="216" spans="1:36" ht="15" customHeight="1">
      <c r="A216" s="7"/>
      <c r="B216" s="7"/>
      <c r="C216" s="7"/>
      <c r="D216" s="7"/>
      <c r="E216" s="7"/>
      <c r="F216" s="7"/>
      <c r="G216" s="7"/>
      <c r="H216" s="7"/>
      <c r="I216" s="7"/>
      <c r="J216" s="7"/>
      <c r="K216" s="7"/>
      <c r="L216" s="7"/>
      <c r="M216" s="7" t="str">
        <f t="shared" si="0"/>
        <v/>
      </c>
      <c r="N216" s="7"/>
      <c r="O216" s="7"/>
      <c r="P216" s="7"/>
      <c r="Q216" s="7"/>
      <c r="R216" s="7"/>
      <c r="S216" s="7"/>
      <c r="T216" s="7"/>
      <c r="U216" s="7"/>
      <c r="V216" s="7"/>
      <c r="W216" s="7"/>
      <c r="X216" s="7"/>
      <c r="Y216" s="7"/>
      <c r="Z216" s="7"/>
      <c r="AA216" s="7"/>
      <c r="AB216" s="7"/>
      <c r="AC216" s="7"/>
      <c r="AD216" s="7"/>
      <c r="AE216" s="7"/>
      <c r="AF216" s="7"/>
      <c r="AG216" s="7"/>
      <c r="AH216" s="7"/>
      <c r="AI216" s="7"/>
      <c r="AJ216" s="7"/>
    </row>
    <row r="217" spans="1:36" ht="15" customHeight="1">
      <c r="A217" s="7"/>
      <c r="B217" s="7"/>
      <c r="C217" s="7"/>
      <c r="D217" s="7"/>
      <c r="E217" s="7"/>
      <c r="F217" s="7"/>
      <c r="G217" s="7"/>
      <c r="H217" s="7"/>
      <c r="I217" s="7"/>
      <c r="J217" s="7"/>
      <c r="K217" s="7"/>
      <c r="L217" s="7"/>
      <c r="M217" s="7" t="str">
        <f t="shared" si="0"/>
        <v/>
      </c>
      <c r="N217" s="7"/>
      <c r="O217" s="7"/>
      <c r="P217" s="7"/>
      <c r="Q217" s="7"/>
      <c r="R217" s="7"/>
      <c r="S217" s="7"/>
      <c r="T217" s="7"/>
      <c r="U217" s="7"/>
      <c r="V217" s="7"/>
      <c r="W217" s="7"/>
      <c r="X217" s="7"/>
      <c r="Y217" s="7"/>
      <c r="Z217" s="7"/>
      <c r="AA217" s="7"/>
      <c r="AB217" s="7"/>
      <c r="AC217" s="7"/>
      <c r="AD217" s="7"/>
      <c r="AE217" s="7"/>
      <c r="AF217" s="7"/>
      <c r="AG217" s="7"/>
      <c r="AH217" s="7"/>
      <c r="AI217" s="7"/>
      <c r="AJ217" s="7"/>
    </row>
    <row r="218" spans="1:36" ht="15" customHeight="1">
      <c r="A218" s="7"/>
      <c r="B218" s="7"/>
      <c r="C218" s="7"/>
      <c r="D218" s="7"/>
      <c r="E218" s="7"/>
      <c r="F218" s="7"/>
      <c r="G218" s="7"/>
      <c r="H218" s="7"/>
      <c r="I218" s="7"/>
      <c r="J218" s="7"/>
      <c r="K218" s="7"/>
      <c r="L218" s="7"/>
      <c r="M218" s="7" t="str">
        <f t="shared" si="0"/>
        <v/>
      </c>
      <c r="N218" s="7"/>
      <c r="O218" s="7"/>
      <c r="P218" s="7"/>
      <c r="Q218" s="7"/>
      <c r="R218" s="7"/>
      <c r="S218" s="7"/>
      <c r="T218" s="7"/>
      <c r="U218" s="7"/>
      <c r="V218" s="7"/>
      <c r="W218" s="7"/>
      <c r="X218" s="7"/>
      <c r="Y218" s="7"/>
      <c r="Z218" s="7"/>
      <c r="AA218" s="7"/>
      <c r="AB218" s="7"/>
      <c r="AC218" s="7"/>
      <c r="AD218" s="7"/>
      <c r="AE218" s="7"/>
      <c r="AF218" s="7"/>
      <c r="AG218" s="7"/>
      <c r="AH218" s="7"/>
      <c r="AI218" s="7"/>
      <c r="AJ218" s="7"/>
    </row>
    <row r="219" spans="1:36" ht="15" customHeight="1">
      <c r="A219" s="7"/>
      <c r="B219" s="7"/>
      <c r="C219" s="7"/>
      <c r="D219" s="7"/>
      <c r="E219" s="7"/>
      <c r="F219" s="7"/>
      <c r="G219" s="7"/>
      <c r="H219" s="7"/>
      <c r="I219" s="7"/>
      <c r="J219" s="7"/>
      <c r="K219" s="7"/>
      <c r="L219" s="7"/>
      <c r="M219" s="7" t="str">
        <f t="shared" si="0"/>
        <v/>
      </c>
      <c r="N219" s="7"/>
      <c r="O219" s="7"/>
      <c r="P219" s="7"/>
      <c r="Q219" s="7"/>
      <c r="R219" s="7"/>
      <c r="S219" s="7"/>
      <c r="T219" s="7"/>
      <c r="U219" s="7"/>
      <c r="V219" s="7"/>
      <c r="W219" s="7"/>
      <c r="X219" s="7"/>
      <c r="Y219" s="7"/>
      <c r="Z219" s="7"/>
      <c r="AA219" s="7"/>
      <c r="AB219" s="7"/>
      <c r="AC219" s="7"/>
      <c r="AD219" s="7"/>
      <c r="AE219" s="7"/>
      <c r="AF219" s="7"/>
      <c r="AG219" s="7"/>
      <c r="AH219" s="7"/>
      <c r="AI219" s="7"/>
      <c r="AJ219" s="7"/>
    </row>
    <row r="220" spans="1:36" ht="15" customHeight="1">
      <c r="A220" s="7"/>
      <c r="B220" s="7"/>
      <c r="C220" s="7"/>
      <c r="D220" s="7"/>
      <c r="E220" s="7"/>
      <c r="F220" s="7"/>
      <c r="G220" s="7"/>
      <c r="H220" s="7"/>
      <c r="I220" s="7"/>
      <c r="J220" s="7"/>
      <c r="K220" s="7"/>
      <c r="L220" s="7"/>
      <c r="M220" s="7" t="str">
        <f t="shared" si="0"/>
        <v/>
      </c>
      <c r="N220" s="7"/>
      <c r="O220" s="7"/>
      <c r="P220" s="7"/>
      <c r="Q220" s="7"/>
      <c r="R220" s="7"/>
      <c r="S220" s="7"/>
      <c r="T220" s="7"/>
      <c r="U220" s="7"/>
      <c r="V220" s="7"/>
      <c r="W220" s="7"/>
      <c r="X220" s="7"/>
      <c r="Y220" s="7"/>
      <c r="Z220" s="7"/>
      <c r="AA220" s="7"/>
      <c r="AB220" s="7"/>
      <c r="AC220" s="7"/>
      <c r="AD220" s="7"/>
      <c r="AE220" s="7"/>
      <c r="AF220" s="7"/>
      <c r="AG220" s="7"/>
      <c r="AH220" s="7"/>
      <c r="AI220" s="7"/>
      <c r="AJ220" s="7"/>
    </row>
    <row r="221" spans="1:36" ht="15" customHeight="1">
      <c r="A221" s="7"/>
      <c r="B221" s="7"/>
      <c r="C221" s="7"/>
      <c r="D221" s="7"/>
      <c r="E221" s="7"/>
      <c r="F221" s="7"/>
      <c r="G221" s="7"/>
      <c r="H221" s="7"/>
      <c r="I221" s="7"/>
      <c r="J221" s="7"/>
      <c r="K221" s="7"/>
      <c r="L221" s="7"/>
      <c r="M221" s="7" t="str">
        <f t="shared" si="0"/>
        <v/>
      </c>
      <c r="N221" s="7"/>
      <c r="O221" s="7"/>
      <c r="P221" s="7"/>
      <c r="Q221" s="7"/>
      <c r="R221" s="7"/>
      <c r="S221" s="7"/>
      <c r="T221" s="7"/>
      <c r="U221" s="7"/>
      <c r="V221" s="7"/>
      <c r="W221" s="7"/>
      <c r="X221" s="7"/>
      <c r="Y221" s="7"/>
      <c r="Z221" s="7"/>
      <c r="AA221" s="7"/>
      <c r="AB221" s="7"/>
      <c r="AC221" s="7"/>
      <c r="AD221" s="7"/>
      <c r="AE221" s="7"/>
      <c r="AF221" s="7"/>
      <c r="AG221" s="7"/>
      <c r="AH221" s="7"/>
      <c r="AI221" s="7"/>
      <c r="AJ221" s="7"/>
    </row>
    <row r="222" spans="1:36" ht="15" customHeight="1">
      <c r="A222" s="7"/>
      <c r="B222" s="7"/>
      <c r="C222" s="7"/>
      <c r="D222" s="7"/>
      <c r="E222" s="7"/>
      <c r="F222" s="7"/>
      <c r="G222" s="7"/>
      <c r="H222" s="7"/>
      <c r="I222" s="7"/>
      <c r="J222" s="7"/>
      <c r="K222" s="7"/>
      <c r="L222" s="7"/>
      <c r="M222" s="7" t="str">
        <f t="shared" si="0"/>
        <v/>
      </c>
      <c r="N222" s="7"/>
      <c r="O222" s="7"/>
      <c r="P222" s="7"/>
      <c r="Q222" s="7"/>
      <c r="R222" s="7"/>
      <c r="S222" s="7"/>
      <c r="T222" s="7"/>
      <c r="U222" s="7"/>
      <c r="V222" s="7"/>
      <c r="W222" s="7"/>
      <c r="X222" s="7"/>
      <c r="Y222" s="7"/>
      <c r="Z222" s="7"/>
      <c r="AA222" s="7"/>
      <c r="AB222" s="7"/>
      <c r="AC222" s="7"/>
      <c r="AD222" s="7"/>
      <c r="AE222" s="7"/>
      <c r="AF222" s="7"/>
      <c r="AG222" s="7"/>
      <c r="AH222" s="7"/>
      <c r="AI222" s="7"/>
      <c r="AJ222" s="7"/>
    </row>
    <row r="223" spans="1:36" ht="15" customHeight="1">
      <c r="A223" s="7"/>
      <c r="B223" s="7"/>
      <c r="C223" s="7"/>
      <c r="D223" s="7"/>
      <c r="E223" s="7"/>
      <c r="F223" s="7"/>
      <c r="G223" s="7"/>
      <c r="H223" s="7"/>
      <c r="I223" s="7"/>
      <c r="J223" s="7"/>
      <c r="K223" s="7"/>
      <c r="L223" s="7"/>
      <c r="M223" s="7" t="str">
        <f t="shared" si="0"/>
        <v/>
      </c>
      <c r="N223" s="7"/>
      <c r="O223" s="7"/>
      <c r="P223" s="7"/>
      <c r="Q223" s="7"/>
      <c r="R223" s="7"/>
      <c r="S223" s="7"/>
      <c r="T223" s="7"/>
      <c r="U223" s="7"/>
      <c r="V223" s="7"/>
      <c r="W223" s="7"/>
      <c r="X223" s="7"/>
      <c r="Y223" s="7"/>
      <c r="Z223" s="7"/>
      <c r="AA223" s="7"/>
      <c r="AB223" s="7"/>
      <c r="AC223" s="7"/>
      <c r="AD223" s="7"/>
      <c r="AE223" s="7"/>
      <c r="AF223" s="7"/>
      <c r="AG223" s="7"/>
      <c r="AH223" s="7"/>
      <c r="AI223" s="7"/>
      <c r="AJ223" s="7"/>
    </row>
    <row r="224" spans="1:36" ht="15" customHeight="1">
      <c r="A224" s="7"/>
      <c r="B224" s="7"/>
      <c r="C224" s="7"/>
      <c r="D224" s="7"/>
      <c r="E224" s="7"/>
      <c r="F224" s="7"/>
      <c r="G224" s="7"/>
      <c r="H224" s="7"/>
      <c r="I224" s="7"/>
      <c r="J224" s="7"/>
      <c r="K224" s="7"/>
      <c r="L224" s="7"/>
      <c r="M224" s="7" t="str">
        <f t="shared" si="0"/>
        <v/>
      </c>
      <c r="N224" s="7"/>
      <c r="O224" s="7"/>
      <c r="P224" s="7"/>
      <c r="Q224" s="7"/>
      <c r="R224" s="7"/>
      <c r="S224" s="7"/>
      <c r="T224" s="7"/>
      <c r="U224" s="7"/>
      <c r="V224" s="7"/>
      <c r="W224" s="7"/>
      <c r="X224" s="7"/>
      <c r="Y224" s="7"/>
      <c r="Z224" s="7"/>
      <c r="AA224" s="7"/>
      <c r="AB224" s="7"/>
      <c r="AC224" s="7"/>
      <c r="AD224" s="7"/>
      <c r="AE224" s="7"/>
      <c r="AF224" s="7"/>
      <c r="AG224" s="7"/>
      <c r="AH224" s="7"/>
      <c r="AI224" s="7"/>
      <c r="AJ224" s="7"/>
    </row>
    <row r="225" spans="1:36" ht="15" customHeight="1">
      <c r="A225" s="7"/>
      <c r="B225" s="7"/>
      <c r="C225" s="7"/>
      <c r="D225" s="7"/>
      <c r="E225" s="7"/>
      <c r="F225" s="7"/>
      <c r="G225" s="7"/>
      <c r="H225" s="7"/>
      <c r="I225" s="7"/>
      <c r="J225" s="7"/>
      <c r="K225" s="7"/>
      <c r="L225" s="7"/>
      <c r="M225" s="7" t="str">
        <f t="shared" si="0"/>
        <v/>
      </c>
      <c r="N225" s="7"/>
      <c r="O225" s="7"/>
      <c r="P225" s="7"/>
      <c r="Q225" s="7"/>
      <c r="R225" s="7"/>
      <c r="S225" s="7"/>
      <c r="T225" s="7"/>
      <c r="U225" s="7"/>
      <c r="V225" s="7"/>
      <c r="W225" s="7"/>
      <c r="X225" s="7"/>
      <c r="Y225" s="7"/>
      <c r="Z225" s="7"/>
      <c r="AA225" s="7"/>
      <c r="AB225" s="7"/>
      <c r="AC225" s="7"/>
      <c r="AD225" s="7"/>
      <c r="AE225" s="7"/>
      <c r="AF225" s="7"/>
      <c r="AG225" s="7"/>
      <c r="AH225" s="7"/>
      <c r="AI225" s="7"/>
      <c r="AJ225" s="7"/>
    </row>
    <row r="226" spans="1:36" ht="15" customHeight="1">
      <c r="A226" s="7"/>
      <c r="B226" s="7"/>
      <c r="C226" s="7"/>
      <c r="D226" s="7"/>
      <c r="E226" s="7"/>
      <c r="F226" s="7"/>
      <c r="G226" s="7"/>
      <c r="H226" s="7"/>
      <c r="I226" s="7"/>
      <c r="J226" s="7"/>
      <c r="K226" s="7"/>
      <c r="L226" s="7"/>
      <c r="M226" s="7" t="str">
        <f t="shared" si="0"/>
        <v/>
      </c>
      <c r="N226" s="7"/>
      <c r="O226" s="7"/>
      <c r="P226" s="7"/>
      <c r="Q226" s="7"/>
      <c r="R226" s="7"/>
      <c r="S226" s="7"/>
      <c r="T226" s="7"/>
      <c r="U226" s="7"/>
      <c r="V226" s="7"/>
      <c r="W226" s="7"/>
      <c r="X226" s="7"/>
      <c r="Y226" s="7"/>
      <c r="Z226" s="7"/>
      <c r="AA226" s="7"/>
      <c r="AB226" s="7"/>
      <c r="AC226" s="7"/>
      <c r="AD226" s="7"/>
      <c r="AE226" s="7"/>
      <c r="AF226" s="7"/>
      <c r="AG226" s="7"/>
      <c r="AH226" s="7"/>
      <c r="AI226" s="7"/>
      <c r="AJ226" s="7"/>
    </row>
    <row r="227" spans="1:36" ht="15" customHeight="1">
      <c r="A227" s="7"/>
      <c r="B227" s="7"/>
      <c r="C227" s="7"/>
      <c r="D227" s="7"/>
      <c r="E227" s="7"/>
      <c r="F227" s="7"/>
      <c r="G227" s="7"/>
      <c r="H227" s="7"/>
      <c r="I227" s="7"/>
      <c r="J227" s="7"/>
      <c r="K227" s="7"/>
      <c r="L227" s="7"/>
      <c r="M227" s="7" t="str">
        <f t="shared" si="0"/>
        <v/>
      </c>
      <c r="N227" s="7"/>
      <c r="O227" s="7"/>
      <c r="P227" s="7"/>
      <c r="Q227" s="7"/>
      <c r="R227" s="7"/>
      <c r="S227" s="7"/>
      <c r="T227" s="7"/>
      <c r="U227" s="7"/>
      <c r="V227" s="7"/>
      <c r="W227" s="7"/>
      <c r="X227" s="7"/>
      <c r="Y227" s="7"/>
      <c r="Z227" s="7"/>
      <c r="AA227" s="7"/>
      <c r="AB227" s="7"/>
      <c r="AC227" s="7"/>
      <c r="AD227" s="7"/>
      <c r="AE227" s="7"/>
      <c r="AF227" s="7"/>
      <c r="AG227" s="7"/>
      <c r="AH227" s="7"/>
      <c r="AI227" s="7"/>
      <c r="AJ227" s="7"/>
    </row>
    <row r="228" spans="1:36" ht="15" customHeight="1">
      <c r="A228" s="7"/>
      <c r="B228" s="7"/>
      <c r="C228" s="7"/>
      <c r="D228" s="7"/>
      <c r="E228" s="7"/>
      <c r="F228" s="7"/>
      <c r="G228" s="7"/>
      <c r="H228" s="7"/>
      <c r="I228" s="7"/>
      <c r="J228" s="7"/>
      <c r="K228" s="7"/>
      <c r="L228" s="7"/>
      <c r="M228" s="7" t="str">
        <f t="shared" si="0"/>
        <v/>
      </c>
      <c r="N228" s="7"/>
      <c r="O228" s="7"/>
      <c r="P228" s="7"/>
      <c r="Q228" s="7"/>
      <c r="R228" s="7"/>
      <c r="S228" s="7"/>
      <c r="T228" s="7"/>
      <c r="U228" s="7"/>
      <c r="V228" s="7"/>
      <c r="W228" s="7"/>
      <c r="X228" s="7"/>
      <c r="Y228" s="7"/>
      <c r="Z228" s="7"/>
      <c r="AA228" s="7"/>
      <c r="AB228" s="7"/>
      <c r="AC228" s="7"/>
      <c r="AD228" s="7"/>
      <c r="AE228" s="7"/>
      <c r="AF228" s="7"/>
      <c r="AG228" s="7"/>
      <c r="AH228" s="7"/>
      <c r="AI228" s="7"/>
      <c r="AJ228" s="7"/>
    </row>
    <row r="229" spans="1:36" ht="15" customHeight="1">
      <c r="A229" s="7"/>
      <c r="B229" s="7"/>
      <c r="C229" s="7"/>
      <c r="D229" s="7"/>
      <c r="E229" s="7"/>
      <c r="F229" s="7"/>
      <c r="G229" s="7"/>
      <c r="H229" s="7"/>
      <c r="I229" s="7"/>
      <c r="J229" s="7"/>
      <c r="K229" s="7"/>
      <c r="L229" s="7"/>
      <c r="M229" s="7" t="str">
        <f t="shared" si="0"/>
        <v/>
      </c>
      <c r="N229" s="7"/>
      <c r="O229" s="7"/>
      <c r="P229" s="7"/>
      <c r="Q229" s="7"/>
      <c r="R229" s="7"/>
      <c r="S229" s="7"/>
      <c r="T229" s="7"/>
      <c r="U229" s="7"/>
      <c r="V229" s="7"/>
      <c r="W229" s="7"/>
      <c r="X229" s="7"/>
      <c r="Y229" s="7"/>
      <c r="Z229" s="7"/>
      <c r="AA229" s="7"/>
      <c r="AB229" s="7"/>
      <c r="AC229" s="7"/>
      <c r="AD229" s="7"/>
      <c r="AE229" s="7"/>
      <c r="AF229" s="7"/>
      <c r="AG229" s="7"/>
      <c r="AH229" s="7"/>
      <c r="AI229" s="7"/>
      <c r="AJ229" s="7"/>
    </row>
    <row r="230" spans="1:36" ht="15" customHeight="1">
      <c r="A230" s="7"/>
      <c r="B230" s="7"/>
      <c r="C230" s="7"/>
      <c r="D230" s="7"/>
      <c r="E230" s="7"/>
      <c r="F230" s="7"/>
      <c r="G230" s="7"/>
      <c r="H230" s="7"/>
      <c r="I230" s="7"/>
      <c r="J230" s="7"/>
      <c r="K230" s="7"/>
      <c r="L230" s="7"/>
      <c r="M230" s="7" t="str">
        <f t="shared" si="0"/>
        <v/>
      </c>
      <c r="N230" s="7"/>
      <c r="O230" s="7"/>
      <c r="P230" s="7"/>
      <c r="Q230" s="7"/>
      <c r="R230" s="7"/>
      <c r="S230" s="7"/>
      <c r="T230" s="7"/>
      <c r="U230" s="7"/>
      <c r="V230" s="7"/>
      <c r="W230" s="7"/>
      <c r="X230" s="7"/>
      <c r="Y230" s="7"/>
      <c r="Z230" s="7"/>
      <c r="AA230" s="7"/>
      <c r="AB230" s="7"/>
      <c r="AC230" s="7"/>
      <c r="AD230" s="7"/>
      <c r="AE230" s="7"/>
      <c r="AF230" s="7"/>
      <c r="AG230" s="7"/>
      <c r="AH230" s="7"/>
      <c r="AI230" s="7"/>
      <c r="AJ230" s="7"/>
    </row>
    <row r="231" spans="1:36" ht="15" customHeight="1">
      <c r="A231" s="7"/>
      <c r="B231" s="7"/>
      <c r="C231" s="7"/>
      <c r="D231" s="7"/>
      <c r="E231" s="7"/>
      <c r="F231" s="7"/>
      <c r="G231" s="7"/>
      <c r="H231" s="7"/>
      <c r="I231" s="7"/>
      <c r="J231" s="7"/>
      <c r="K231" s="7"/>
      <c r="L231" s="7"/>
      <c r="M231" s="7" t="str">
        <f t="shared" si="0"/>
        <v/>
      </c>
      <c r="N231" s="7"/>
      <c r="O231" s="7"/>
      <c r="P231" s="7"/>
      <c r="Q231" s="7"/>
      <c r="R231" s="7"/>
      <c r="S231" s="7"/>
      <c r="T231" s="7"/>
      <c r="U231" s="7"/>
      <c r="V231" s="7"/>
      <c r="W231" s="7"/>
      <c r="X231" s="7"/>
      <c r="Y231" s="7"/>
      <c r="Z231" s="7"/>
      <c r="AA231" s="7"/>
      <c r="AB231" s="7"/>
      <c r="AC231" s="7"/>
      <c r="AD231" s="7"/>
      <c r="AE231" s="7"/>
      <c r="AF231" s="7"/>
      <c r="AG231" s="7"/>
      <c r="AH231" s="7"/>
      <c r="AI231" s="7"/>
      <c r="AJ231" s="7"/>
    </row>
    <row r="232" spans="1:36" ht="15" customHeight="1">
      <c r="A232" s="7"/>
      <c r="B232" s="7"/>
      <c r="C232" s="7"/>
      <c r="D232" s="7"/>
      <c r="E232" s="7"/>
      <c r="F232" s="7"/>
      <c r="G232" s="7"/>
      <c r="H232" s="7"/>
      <c r="I232" s="7"/>
      <c r="J232" s="7"/>
      <c r="K232" s="7"/>
      <c r="L232" s="7"/>
      <c r="M232" s="7" t="str">
        <f t="shared" si="0"/>
        <v/>
      </c>
      <c r="N232" s="7"/>
      <c r="O232" s="7"/>
      <c r="P232" s="7"/>
      <c r="Q232" s="7"/>
      <c r="R232" s="7"/>
      <c r="S232" s="7"/>
      <c r="T232" s="7"/>
      <c r="U232" s="7"/>
      <c r="V232" s="7"/>
      <c r="W232" s="7"/>
      <c r="X232" s="7"/>
      <c r="Y232" s="7"/>
      <c r="Z232" s="7"/>
      <c r="AA232" s="7"/>
      <c r="AB232" s="7"/>
      <c r="AC232" s="7"/>
      <c r="AD232" s="7"/>
      <c r="AE232" s="7"/>
      <c r="AF232" s="7"/>
      <c r="AG232" s="7"/>
      <c r="AH232" s="7"/>
      <c r="AI232" s="7"/>
      <c r="AJ232" s="7"/>
    </row>
    <row r="233" spans="1:36" ht="15" customHeight="1">
      <c r="A233" s="7"/>
      <c r="B233" s="7"/>
      <c r="C233" s="7"/>
      <c r="D233" s="7"/>
      <c r="E233" s="7"/>
      <c r="F233" s="7"/>
      <c r="G233" s="7"/>
      <c r="H233" s="7"/>
      <c r="I233" s="7"/>
      <c r="J233" s="7"/>
      <c r="K233" s="7"/>
      <c r="L233" s="7"/>
      <c r="M233" s="7" t="str">
        <f t="shared" si="0"/>
        <v/>
      </c>
      <c r="N233" s="7"/>
      <c r="O233" s="7"/>
      <c r="P233" s="7"/>
      <c r="Q233" s="7"/>
      <c r="R233" s="7"/>
      <c r="S233" s="7"/>
      <c r="T233" s="7"/>
      <c r="U233" s="7"/>
      <c r="V233" s="7"/>
      <c r="W233" s="7"/>
      <c r="X233" s="7"/>
      <c r="Y233" s="7"/>
      <c r="Z233" s="7"/>
      <c r="AA233" s="7"/>
      <c r="AB233" s="7"/>
      <c r="AC233" s="7"/>
      <c r="AD233" s="7"/>
      <c r="AE233" s="7"/>
      <c r="AF233" s="7"/>
      <c r="AG233" s="7"/>
      <c r="AH233" s="7"/>
      <c r="AI233" s="7"/>
      <c r="AJ233" s="7"/>
    </row>
    <row r="234" spans="1:36" ht="15" customHeight="1">
      <c r="A234" s="7"/>
      <c r="B234" s="7"/>
      <c r="C234" s="7"/>
      <c r="D234" s="7"/>
      <c r="E234" s="7"/>
      <c r="F234" s="7"/>
      <c r="G234" s="7"/>
      <c r="H234" s="7"/>
      <c r="I234" s="7"/>
      <c r="J234" s="7"/>
      <c r="K234" s="7"/>
      <c r="L234" s="7"/>
      <c r="M234" s="7" t="str">
        <f t="shared" si="0"/>
        <v/>
      </c>
      <c r="N234" s="7"/>
      <c r="O234" s="7"/>
      <c r="P234" s="7"/>
      <c r="Q234" s="7"/>
      <c r="R234" s="7"/>
      <c r="S234" s="7"/>
      <c r="T234" s="7"/>
      <c r="U234" s="7"/>
      <c r="V234" s="7"/>
      <c r="W234" s="7"/>
      <c r="X234" s="7"/>
      <c r="Y234" s="7"/>
      <c r="Z234" s="7"/>
      <c r="AA234" s="7"/>
      <c r="AB234" s="7"/>
      <c r="AC234" s="7"/>
      <c r="AD234" s="7"/>
      <c r="AE234" s="7"/>
      <c r="AF234" s="7"/>
      <c r="AG234" s="7"/>
      <c r="AH234" s="7"/>
      <c r="AI234" s="7"/>
      <c r="AJ234" s="7"/>
    </row>
    <row r="235" spans="1:36" ht="15" customHeight="1">
      <c r="A235" s="7"/>
      <c r="B235" s="7"/>
      <c r="C235" s="7"/>
      <c r="D235" s="7"/>
      <c r="E235" s="7"/>
      <c r="F235" s="7"/>
      <c r="G235" s="7"/>
      <c r="H235" s="7"/>
      <c r="I235" s="7"/>
      <c r="J235" s="7"/>
      <c r="K235" s="7"/>
      <c r="L235" s="7"/>
      <c r="M235" s="7" t="str">
        <f t="shared" si="0"/>
        <v/>
      </c>
      <c r="N235" s="7"/>
      <c r="O235" s="7"/>
      <c r="P235" s="7"/>
      <c r="Q235" s="7"/>
      <c r="R235" s="7"/>
      <c r="S235" s="7"/>
      <c r="T235" s="7"/>
      <c r="U235" s="7"/>
      <c r="V235" s="7"/>
      <c r="W235" s="7"/>
      <c r="X235" s="7"/>
      <c r="Y235" s="7"/>
      <c r="Z235" s="7"/>
      <c r="AA235" s="7"/>
      <c r="AB235" s="7"/>
      <c r="AC235" s="7"/>
      <c r="AD235" s="7"/>
      <c r="AE235" s="7"/>
      <c r="AF235" s="7"/>
      <c r="AG235" s="7"/>
      <c r="AH235" s="7"/>
      <c r="AI235" s="7"/>
      <c r="AJ235" s="7"/>
    </row>
    <row r="236" spans="1:36" ht="15" customHeight="1">
      <c r="A236" s="7"/>
      <c r="B236" s="7"/>
      <c r="C236" s="7"/>
      <c r="D236" s="7"/>
      <c r="E236" s="7"/>
      <c r="F236" s="7"/>
      <c r="G236" s="7"/>
      <c r="H236" s="7"/>
      <c r="I236" s="7"/>
      <c r="J236" s="7"/>
      <c r="K236" s="7"/>
      <c r="L236" s="7"/>
      <c r="M236" s="7" t="str">
        <f t="shared" si="0"/>
        <v/>
      </c>
      <c r="N236" s="7"/>
      <c r="O236" s="7"/>
      <c r="P236" s="7"/>
      <c r="Q236" s="7"/>
      <c r="R236" s="7"/>
      <c r="S236" s="7"/>
      <c r="T236" s="7"/>
      <c r="U236" s="7"/>
      <c r="V236" s="7"/>
      <c r="W236" s="7"/>
      <c r="X236" s="7"/>
      <c r="Y236" s="7"/>
      <c r="Z236" s="7"/>
      <c r="AA236" s="7"/>
      <c r="AB236" s="7"/>
      <c r="AC236" s="7"/>
      <c r="AD236" s="7"/>
      <c r="AE236" s="7"/>
      <c r="AF236" s="7"/>
      <c r="AG236" s="7"/>
      <c r="AH236" s="7"/>
      <c r="AI236" s="7"/>
      <c r="AJ236" s="7"/>
    </row>
    <row r="237" spans="1:36" ht="15" customHeight="1">
      <c r="A237" s="7"/>
      <c r="B237" s="7"/>
      <c r="C237" s="7"/>
      <c r="D237" s="7"/>
      <c r="E237" s="7"/>
      <c r="F237" s="7"/>
      <c r="G237" s="7"/>
      <c r="H237" s="7"/>
      <c r="I237" s="7"/>
      <c r="J237" s="7"/>
      <c r="K237" s="7"/>
      <c r="L237" s="7"/>
      <c r="M237" s="7" t="str">
        <f t="shared" si="0"/>
        <v/>
      </c>
      <c r="N237" s="7"/>
      <c r="O237" s="7"/>
      <c r="P237" s="7"/>
      <c r="Q237" s="7"/>
      <c r="R237" s="7"/>
      <c r="S237" s="7"/>
      <c r="T237" s="7"/>
      <c r="U237" s="7"/>
      <c r="V237" s="7"/>
      <c r="W237" s="7"/>
      <c r="X237" s="7"/>
      <c r="Y237" s="7"/>
      <c r="Z237" s="7"/>
      <c r="AA237" s="7"/>
      <c r="AB237" s="7"/>
      <c r="AC237" s="7"/>
      <c r="AD237" s="7"/>
      <c r="AE237" s="7"/>
      <c r="AF237" s="7"/>
      <c r="AG237" s="7"/>
      <c r="AH237" s="7"/>
      <c r="AI237" s="7"/>
      <c r="AJ237" s="7"/>
    </row>
    <row r="238" spans="1:36" ht="15" customHeight="1">
      <c r="A238" s="7"/>
      <c r="B238" s="7"/>
      <c r="C238" s="7"/>
      <c r="D238" s="7"/>
      <c r="E238" s="7"/>
      <c r="F238" s="7"/>
      <c r="G238" s="7"/>
      <c r="H238" s="7"/>
      <c r="I238" s="7"/>
      <c r="J238" s="7"/>
      <c r="K238" s="7"/>
      <c r="L238" s="7"/>
      <c r="M238" s="7" t="str">
        <f t="shared" si="0"/>
        <v/>
      </c>
      <c r="N238" s="7"/>
      <c r="O238" s="7"/>
      <c r="P238" s="7"/>
      <c r="Q238" s="7"/>
      <c r="R238" s="7"/>
      <c r="S238" s="7"/>
      <c r="T238" s="7"/>
      <c r="U238" s="7"/>
      <c r="V238" s="7"/>
      <c r="W238" s="7"/>
      <c r="X238" s="7"/>
      <c r="Y238" s="7"/>
      <c r="Z238" s="7"/>
      <c r="AA238" s="7"/>
      <c r="AB238" s="7"/>
      <c r="AC238" s="7"/>
      <c r="AD238" s="7"/>
      <c r="AE238" s="7"/>
      <c r="AF238" s="7"/>
      <c r="AG238" s="7"/>
      <c r="AH238" s="7"/>
      <c r="AI238" s="7"/>
      <c r="AJ238" s="7"/>
    </row>
    <row r="239" spans="1:36" ht="15" customHeight="1">
      <c r="A239" s="7"/>
      <c r="B239" s="7"/>
      <c r="C239" s="7"/>
      <c r="D239" s="7"/>
      <c r="E239" s="7"/>
      <c r="F239" s="7"/>
      <c r="G239" s="7"/>
      <c r="H239" s="7"/>
      <c r="I239" s="7"/>
      <c r="J239" s="7"/>
      <c r="K239" s="7"/>
      <c r="L239" s="7"/>
      <c r="M239" s="7" t="str">
        <f t="shared" si="0"/>
        <v/>
      </c>
      <c r="N239" s="7"/>
      <c r="O239" s="7"/>
      <c r="P239" s="7"/>
      <c r="Q239" s="7"/>
      <c r="R239" s="7"/>
      <c r="S239" s="7"/>
      <c r="T239" s="7"/>
      <c r="U239" s="7"/>
      <c r="V239" s="7"/>
      <c r="W239" s="7"/>
      <c r="X239" s="7"/>
      <c r="Y239" s="7"/>
      <c r="Z239" s="7"/>
      <c r="AA239" s="7"/>
      <c r="AB239" s="7"/>
      <c r="AC239" s="7"/>
      <c r="AD239" s="7"/>
      <c r="AE239" s="7"/>
      <c r="AF239" s="7"/>
      <c r="AG239" s="7"/>
      <c r="AH239" s="7"/>
      <c r="AI239" s="7"/>
      <c r="AJ239" s="7"/>
    </row>
    <row r="240" spans="1:36" ht="15" customHeight="1">
      <c r="A240" s="7"/>
      <c r="B240" s="7"/>
      <c r="C240" s="7"/>
      <c r="D240" s="7"/>
      <c r="E240" s="7"/>
      <c r="F240" s="7"/>
      <c r="G240" s="7"/>
      <c r="H240" s="7"/>
      <c r="I240" s="7"/>
      <c r="J240" s="7"/>
      <c r="K240" s="7"/>
      <c r="L240" s="7"/>
      <c r="M240" s="7" t="str">
        <f t="shared" si="0"/>
        <v/>
      </c>
      <c r="N240" s="7"/>
      <c r="O240" s="7"/>
      <c r="P240" s="7"/>
      <c r="Q240" s="7"/>
      <c r="R240" s="7"/>
      <c r="S240" s="7"/>
      <c r="T240" s="7"/>
      <c r="U240" s="7"/>
      <c r="V240" s="7"/>
      <c r="W240" s="7"/>
      <c r="X240" s="7"/>
      <c r="Y240" s="7"/>
      <c r="Z240" s="7"/>
      <c r="AA240" s="7"/>
      <c r="AB240" s="7"/>
      <c r="AC240" s="7"/>
      <c r="AD240" s="7"/>
      <c r="AE240" s="7"/>
      <c r="AF240" s="7"/>
      <c r="AG240" s="7"/>
      <c r="AH240" s="7"/>
      <c r="AI240" s="7"/>
      <c r="AJ240" s="7"/>
    </row>
    <row r="241" spans="1:36" ht="15" customHeight="1">
      <c r="A241" s="7"/>
      <c r="B241" s="7"/>
      <c r="C241" s="7"/>
      <c r="D241" s="7"/>
      <c r="E241" s="7"/>
      <c r="F241" s="7"/>
      <c r="G241" s="7"/>
      <c r="H241" s="7"/>
      <c r="I241" s="7"/>
      <c r="J241" s="7"/>
      <c r="K241" s="7"/>
      <c r="L241" s="7"/>
      <c r="M241" s="7" t="str">
        <f t="shared" si="0"/>
        <v/>
      </c>
      <c r="N241" s="7"/>
      <c r="O241" s="7"/>
      <c r="P241" s="7"/>
      <c r="Q241" s="7"/>
      <c r="R241" s="7"/>
      <c r="S241" s="7"/>
      <c r="T241" s="7"/>
      <c r="U241" s="7"/>
      <c r="V241" s="7"/>
      <c r="W241" s="7"/>
      <c r="X241" s="7"/>
      <c r="Y241" s="7"/>
      <c r="Z241" s="7"/>
      <c r="AA241" s="7"/>
      <c r="AB241" s="7"/>
      <c r="AC241" s="7"/>
      <c r="AD241" s="7"/>
      <c r="AE241" s="7"/>
      <c r="AF241" s="7"/>
      <c r="AG241" s="7"/>
      <c r="AH241" s="7"/>
      <c r="AI241" s="7"/>
      <c r="AJ241" s="7"/>
    </row>
    <row r="242" spans="1:36" ht="15" customHeight="1">
      <c r="A242" s="7"/>
      <c r="B242" s="7"/>
      <c r="C242" s="7"/>
      <c r="D242" s="7"/>
      <c r="E242" s="7"/>
      <c r="F242" s="7"/>
      <c r="G242" s="7"/>
      <c r="H242" s="7"/>
      <c r="I242" s="7"/>
      <c r="J242" s="7"/>
      <c r="K242" s="7"/>
      <c r="L242" s="7"/>
      <c r="M242" s="7" t="str">
        <f t="shared" si="0"/>
        <v/>
      </c>
      <c r="N242" s="7"/>
      <c r="O242" s="7"/>
      <c r="P242" s="7"/>
      <c r="Q242" s="7"/>
      <c r="R242" s="7"/>
      <c r="S242" s="7"/>
      <c r="T242" s="7"/>
      <c r="U242" s="7"/>
      <c r="V242" s="7"/>
      <c r="W242" s="7"/>
      <c r="X242" s="7"/>
      <c r="Y242" s="7"/>
      <c r="Z242" s="7"/>
      <c r="AA242" s="7"/>
      <c r="AB242" s="7"/>
      <c r="AC242" s="7"/>
      <c r="AD242" s="7"/>
      <c r="AE242" s="7"/>
      <c r="AF242" s="7"/>
      <c r="AG242" s="7"/>
      <c r="AH242" s="7"/>
      <c r="AI242" s="7"/>
      <c r="AJ242" s="7"/>
    </row>
    <row r="243" spans="1:36" ht="15" customHeight="1">
      <c r="A243" s="7"/>
      <c r="B243" s="7"/>
      <c r="C243" s="7"/>
      <c r="D243" s="7"/>
      <c r="E243" s="7"/>
      <c r="F243" s="7"/>
      <c r="G243" s="7"/>
      <c r="H243" s="7"/>
      <c r="I243" s="7"/>
      <c r="J243" s="7"/>
      <c r="K243" s="7"/>
      <c r="L243" s="7"/>
      <c r="M243" s="7" t="str">
        <f t="shared" si="0"/>
        <v/>
      </c>
      <c r="N243" s="7"/>
      <c r="O243" s="7"/>
      <c r="P243" s="7"/>
      <c r="Q243" s="7"/>
      <c r="R243" s="7"/>
      <c r="S243" s="7"/>
      <c r="T243" s="7"/>
      <c r="U243" s="7"/>
      <c r="V243" s="7"/>
      <c r="W243" s="7"/>
      <c r="X243" s="7"/>
      <c r="Y243" s="7"/>
      <c r="Z243" s="7"/>
      <c r="AA243" s="7"/>
      <c r="AB243" s="7"/>
      <c r="AC243" s="7"/>
      <c r="AD243" s="7"/>
      <c r="AE243" s="7"/>
      <c r="AF243" s="7"/>
      <c r="AG243" s="7"/>
      <c r="AH243" s="7"/>
      <c r="AI243" s="7"/>
      <c r="AJ243" s="7"/>
    </row>
    <row r="244" spans="1:36" ht="15" customHeight="1">
      <c r="A244" s="7"/>
      <c r="B244" s="7"/>
      <c r="C244" s="7"/>
      <c r="D244" s="7"/>
      <c r="E244" s="7"/>
      <c r="F244" s="7"/>
      <c r="G244" s="7"/>
      <c r="H244" s="7"/>
      <c r="I244" s="7"/>
      <c r="J244" s="7"/>
      <c r="K244" s="7"/>
      <c r="L244" s="7"/>
      <c r="M244" s="7" t="str">
        <f t="shared" si="0"/>
        <v/>
      </c>
      <c r="N244" s="7"/>
      <c r="O244" s="7"/>
      <c r="P244" s="7"/>
      <c r="Q244" s="7"/>
      <c r="R244" s="7"/>
      <c r="S244" s="7"/>
      <c r="T244" s="7"/>
      <c r="U244" s="7"/>
      <c r="V244" s="7"/>
      <c r="W244" s="7"/>
      <c r="X244" s="7"/>
      <c r="Y244" s="7"/>
      <c r="Z244" s="7"/>
      <c r="AA244" s="7"/>
      <c r="AB244" s="7"/>
      <c r="AC244" s="7"/>
      <c r="AD244" s="7"/>
      <c r="AE244" s="7"/>
      <c r="AF244" s="7"/>
      <c r="AG244" s="7"/>
      <c r="AH244" s="7"/>
      <c r="AI244" s="7"/>
      <c r="AJ244" s="7"/>
    </row>
    <row r="245" spans="1:36" ht="15" customHeight="1">
      <c r="A245" s="7"/>
      <c r="B245" s="7"/>
      <c r="C245" s="7"/>
      <c r="D245" s="7"/>
      <c r="E245" s="7"/>
      <c r="F245" s="7"/>
      <c r="G245" s="7"/>
      <c r="H245" s="7"/>
      <c r="I245" s="7"/>
      <c r="J245" s="7"/>
      <c r="K245" s="7"/>
      <c r="L245" s="7"/>
      <c r="M245" s="7" t="str">
        <f t="shared" si="0"/>
        <v/>
      </c>
      <c r="N245" s="7"/>
      <c r="O245" s="7"/>
      <c r="P245" s="7"/>
      <c r="Q245" s="7"/>
      <c r="R245" s="7"/>
      <c r="S245" s="7"/>
      <c r="T245" s="7"/>
      <c r="U245" s="7"/>
      <c r="V245" s="7"/>
      <c r="W245" s="7"/>
      <c r="X245" s="7"/>
      <c r="Y245" s="7"/>
      <c r="Z245" s="7"/>
      <c r="AA245" s="7"/>
      <c r="AB245" s="7"/>
      <c r="AC245" s="7"/>
      <c r="AD245" s="7"/>
      <c r="AE245" s="7"/>
      <c r="AF245" s="7"/>
      <c r="AG245" s="7"/>
      <c r="AH245" s="7"/>
      <c r="AI245" s="7"/>
      <c r="AJ245" s="7"/>
    </row>
    <row r="246" spans="1:36" ht="15" customHeight="1">
      <c r="A246" s="7"/>
      <c r="B246" s="7"/>
      <c r="C246" s="7"/>
      <c r="D246" s="7"/>
      <c r="E246" s="7"/>
      <c r="F246" s="7"/>
      <c r="G246" s="7"/>
      <c r="H246" s="7"/>
      <c r="I246" s="7"/>
      <c r="J246" s="7"/>
      <c r="K246" s="7"/>
      <c r="L246" s="7"/>
      <c r="M246" s="7" t="str">
        <f t="shared" si="0"/>
        <v/>
      </c>
      <c r="N246" s="7"/>
      <c r="O246" s="7"/>
      <c r="P246" s="7"/>
      <c r="Q246" s="7"/>
      <c r="R246" s="7"/>
      <c r="S246" s="7"/>
      <c r="T246" s="7"/>
      <c r="U246" s="7"/>
      <c r="V246" s="7"/>
      <c r="W246" s="7"/>
      <c r="X246" s="7"/>
      <c r="Y246" s="7"/>
      <c r="Z246" s="7"/>
      <c r="AA246" s="7"/>
      <c r="AB246" s="7"/>
      <c r="AC246" s="7"/>
      <c r="AD246" s="7"/>
      <c r="AE246" s="7"/>
      <c r="AF246" s="7"/>
      <c r="AG246" s="7"/>
      <c r="AH246" s="7"/>
      <c r="AI246" s="7"/>
      <c r="AJ246" s="7"/>
    </row>
    <row r="247" spans="1:36" ht="15" customHeight="1">
      <c r="A247" s="7"/>
      <c r="B247" s="7"/>
      <c r="C247" s="7"/>
      <c r="D247" s="7"/>
      <c r="E247" s="7"/>
      <c r="F247" s="7"/>
      <c r="G247" s="7"/>
      <c r="H247" s="7"/>
      <c r="I247" s="7"/>
      <c r="J247" s="7"/>
      <c r="K247" s="7"/>
      <c r="L247" s="7"/>
      <c r="M247" s="7" t="str">
        <f t="shared" si="0"/>
        <v/>
      </c>
      <c r="N247" s="7"/>
      <c r="O247" s="7"/>
      <c r="P247" s="7"/>
      <c r="Q247" s="7"/>
      <c r="R247" s="7"/>
      <c r="S247" s="7"/>
      <c r="T247" s="7"/>
      <c r="U247" s="7"/>
      <c r="V247" s="7"/>
      <c r="W247" s="7"/>
      <c r="X247" s="7"/>
      <c r="Y247" s="7"/>
      <c r="Z247" s="7"/>
      <c r="AA247" s="7"/>
      <c r="AB247" s="7"/>
      <c r="AC247" s="7"/>
      <c r="AD247" s="7"/>
      <c r="AE247" s="7"/>
      <c r="AF247" s="7"/>
      <c r="AG247" s="7"/>
      <c r="AH247" s="7"/>
      <c r="AI247" s="7"/>
      <c r="AJ247" s="7"/>
    </row>
    <row r="248" spans="1:36" ht="15" customHeight="1">
      <c r="A248" s="7"/>
      <c r="B248" s="7"/>
      <c r="C248" s="7"/>
      <c r="D248" s="7"/>
      <c r="E248" s="7"/>
      <c r="F248" s="7"/>
      <c r="G248" s="7"/>
      <c r="H248" s="7"/>
      <c r="I248" s="7"/>
      <c r="J248" s="7"/>
      <c r="K248" s="7"/>
      <c r="L248" s="7"/>
      <c r="M248" s="7" t="str">
        <f t="shared" si="0"/>
        <v/>
      </c>
      <c r="N248" s="7"/>
      <c r="O248" s="7"/>
      <c r="P248" s="7"/>
      <c r="Q248" s="7"/>
      <c r="R248" s="7"/>
      <c r="S248" s="7"/>
      <c r="T248" s="7"/>
      <c r="U248" s="7"/>
      <c r="V248" s="7"/>
      <c r="W248" s="7"/>
      <c r="X248" s="7"/>
      <c r="Y248" s="7"/>
      <c r="Z248" s="7"/>
      <c r="AA248" s="7"/>
      <c r="AB248" s="7"/>
      <c r="AC248" s="7"/>
      <c r="AD248" s="7"/>
      <c r="AE248" s="7"/>
      <c r="AF248" s="7"/>
      <c r="AG248" s="7"/>
      <c r="AH248" s="7"/>
      <c r="AI248" s="7"/>
      <c r="AJ248" s="7"/>
    </row>
    <row r="249" spans="1:36" ht="15" customHeight="1">
      <c r="A249" s="7"/>
      <c r="B249" s="7"/>
      <c r="C249" s="7"/>
      <c r="D249" s="7"/>
      <c r="E249" s="7"/>
      <c r="F249" s="7"/>
      <c r="G249" s="7"/>
      <c r="H249" s="7"/>
      <c r="I249" s="7"/>
      <c r="J249" s="7"/>
      <c r="K249" s="7"/>
      <c r="L249" s="7"/>
      <c r="M249" s="7" t="str">
        <f t="shared" si="0"/>
        <v/>
      </c>
      <c r="N249" s="7"/>
      <c r="O249" s="7"/>
      <c r="P249" s="7"/>
      <c r="Q249" s="7"/>
      <c r="R249" s="7"/>
      <c r="S249" s="7"/>
      <c r="T249" s="7"/>
      <c r="U249" s="7"/>
      <c r="V249" s="7"/>
      <c r="W249" s="7"/>
      <c r="X249" s="7"/>
      <c r="Y249" s="7"/>
      <c r="Z249" s="7"/>
      <c r="AA249" s="7"/>
      <c r="AB249" s="7"/>
      <c r="AC249" s="7"/>
      <c r="AD249" s="7"/>
      <c r="AE249" s="7"/>
      <c r="AF249" s="7"/>
      <c r="AG249" s="7"/>
      <c r="AH249" s="7"/>
      <c r="AI249" s="7"/>
      <c r="AJ249" s="7"/>
    </row>
    <row r="250" spans="1:36" ht="15" customHeight="1">
      <c r="A250" s="7"/>
      <c r="B250" s="7"/>
      <c r="C250" s="7"/>
      <c r="D250" s="7"/>
      <c r="E250" s="7"/>
      <c r="F250" s="7"/>
      <c r="G250" s="7"/>
      <c r="H250" s="7"/>
      <c r="I250" s="7"/>
      <c r="J250" s="7"/>
      <c r="K250" s="7"/>
      <c r="L250" s="7"/>
      <c r="M250" s="7" t="str">
        <f t="shared" si="0"/>
        <v/>
      </c>
      <c r="N250" s="7"/>
      <c r="O250" s="7"/>
      <c r="P250" s="7"/>
      <c r="Q250" s="7"/>
      <c r="R250" s="7"/>
      <c r="S250" s="7"/>
      <c r="T250" s="7"/>
      <c r="U250" s="7"/>
      <c r="V250" s="7"/>
      <c r="W250" s="7"/>
      <c r="X250" s="7"/>
      <c r="Y250" s="7"/>
      <c r="Z250" s="7"/>
      <c r="AA250" s="7"/>
      <c r="AB250" s="7"/>
      <c r="AC250" s="7"/>
      <c r="AD250" s="7"/>
      <c r="AE250" s="7"/>
      <c r="AF250" s="7"/>
      <c r="AG250" s="7"/>
      <c r="AH250" s="7"/>
      <c r="AI250" s="7"/>
      <c r="AJ250" s="7"/>
    </row>
    <row r="251" spans="1:36" ht="15" customHeight="1">
      <c r="A251" s="7"/>
      <c r="B251" s="7"/>
      <c r="C251" s="7"/>
      <c r="D251" s="7"/>
      <c r="E251" s="7"/>
      <c r="F251" s="7"/>
      <c r="G251" s="7"/>
      <c r="H251" s="7"/>
      <c r="I251" s="7"/>
      <c r="J251" s="7"/>
      <c r="K251" s="7"/>
      <c r="L251" s="7"/>
      <c r="M251" s="7" t="str">
        <f t="shared" si="0"/>
        <v/>
      </c>
      <c r="N251" s="7"/>
      <c r="O251" s="7"/>
      <c r="P251" s="7"/>
      <c r="Q251" s="7"/>
      <c r="R251" s="7"/>
      <c r="S251" s="7"/>
      <c r="T251" s="7"/>
      <c r="U251" s="7"/>
      <c r="V251" s="7"/>
      <c r="W251" s="7"/>
      <c r="X251" s="7"/>
      <c r="Y251" s="7"/>
      <c r="Z251" s="7"/>
      <c r="AA251" s="7"/>
      <c r="AB251" s="7"/>
      <c r="AC251" s="7"/>
      <c r="AD251" s="7"/>
      <c r="AE251" s="7"/>
      <c r="AF251" s="7"/>
      <c r="AG251" s="7"/>
      <c r="AH251" s="7"/>
      <c r="AI251" s="7"/>
      <c r="AJ251" s="7"/>
    </row>
    <row r="252" spans="1:36" ht="15" customHeight="1">
      <c r="A252" s="7"/>
      <c r="B252" s="7"/>
      <c r="C252" s="7"/>
      <c r="D252" s="7"/>
      <c r="E252" s="7"/>
      <c r="F252" s="7"/>
      <c r="G252" s="7"/>
      <c r="H252" s="7"/>
      <c r="I252" s="7"/>
      <c r="J252" s="7"/>
      <c r="K252" s="7"/>
      <c r="L252" s="7"/>
      <c r="M252" s="7" t="str">
        <f t="shared" si="0"/>
        <v/>
      </c>
      <c r="N252" s="7"/>
      <c r="O252" s="7"/>
      <c r="P252" s="7"/>
      <c r="Q252" s="7"/>
      <c r="R252" s="7"/>
      <c r="S252" s="7"/>
      <c r="T252" s="7"/>
      <c r="U252" s="7"/>
      <c r="V252" s="7"/>
      <c r="W252" s="7"/>
      <c r="X252" s="7"/>
      <c r="Y252" s="7"/>
      <c r="Z252" s="7"/>
      <c r="AA252" s="7"/>
      <c r="AB252" s="7"/>
      <c r="AC252" s="7"/>
      <c r="AD252" s="7"/>
      <c r="AE252" s="7"/>
      <c r="AF252" s="7"/>
      <c r="AG252" s="7"/>
      <c r="AH252" s="7"/>
      <c r="AI252" s="7"/>
      <c r="AJ252" s="7"/>
    </row>
    <row r="253" spans="1:36" ht="15" customHeight="1">
      <c r="A253" s="7"/>
      <c r="B253" s="7"/>
      <c r="C253" s="7"/>
      <c r="D253" s="7"/>
      <c r="E253" s="7"/>
      <c r="F253" s="7"/>
      <c r="G253" s="7"/>
      <c r="H253" s="7"/>
      <c r="I253" s="7"/>
      <c r="J253" s="7"/>
      <c r="K253" s="7"/>
      <c r="L253" s="7"/>
      <c r="M253" s="7" t="str">
        <f t="shared" si="0"/>
        <v/>
      </c>
      <c r="N253" s="7"/>
      <c r="O253" s="7"/>
      <c r="P253" s="7"/>
      <c r="Q253" s="7"/>
      <c r="R253" s="7"/>
      <c r="S253" s="7"/>
      <c r="T253" s="7"/>
      <c r="U253" s="7"/>
      <c r="V253" s="7"/>
      <c r="W253" s="7"/>
      <c r="X253" s="7"/>
      <c r="Y253" s="7"/>
      <c r="Z253" s="7"/>
      <c r="AA253" s="7"/>
      <c r="AB253" s="7"/>
      <c r="AC253" s="7"/>
      <c r="AD253" s="7"/>
      <c r="AE253" s="7"/>
      <c r="AF253" s="7"/>
      <c r="AG253" s="7"/>
      <c r="AH253" s="7"/>
      <c r="AI253" s="7"/>
      <c r="AJ253" s="7"/>
    </row>
    <row r="254" spans="1:36" ht="15" customHeight="1">
      <c r="A254" s="7"/>
      <c r="B254" s="7"/>
      <c r="C254" s="7"/>
      <c r="D254" s="7"/>
      <c r="E254" s="7"/>
      <c r="F254" s="7"/>
      <c r="G254" s="7"/>
      <c r="H254" s="7"/>
      <c r="I254" s="7"/>
      <c r="J254" s="7"/>
      <c r="K254" s="7"/>
      <c r="L254" s="7"/>
      <c r="M254" s="7" t="str">
        <f t="shared" si="0"/>
        <v/>
      </c>
      <c r="N254" s="7"/>
      <c r="O254" s="7"/>
      <c r="P254" s="7"/>
      <c r="Q254" s="7"/>
      <c r="R254" s="7"/>
      <c r="S254" s="7"/>
      <c r="T254" s="7"/>
      <c r="U254" s="7"/>
      <c r="V254" s="7"/>
      <c r="W254" s="7"/>
      <c r="X254" s="7"/>
      <c r="Y254" s="7"/>
      <c r="Z254" s="7"/>
      <c r="AA254" s="7"/>
      <c r="AB254" s="7"/>
      <c r="AC254" s="7"/>
      <c r="AD254" s="7"/>
      <c r="AE254" s="7"/>
      <c r="AF254" s="7"/>
      <c r="AG254" s="7"/>
      <c r="AH254" s="7"/>
      <c r="AI254" s="7"/>
      <c r="AJ254" s="7"/>
    </row>
    <row r="255" spans="1:36" ht="15" customHeight="1">
      <c r="A255" s="7"/>
      <c r="B255" s="7"/>
      <c r="C255" s="7"/>
      <c r="D255" s="7"/>
      <c r="E255" s="7"/>
      <c r="F255" s="7"/>
      <c r="G255" s="7"/>
      <c r="H255" s="7"/>
      <c r="I255" s="7"/>
      <c r="J255" s="7"/>
      <c r="K255" s="7"/>
      <c r="L255" s="7"/>
      <c r="M255" s="7" t="str">
        <f t="shared" si="0"/>
        <v/>
      </c>
      <c r="N255" s="7"/>
      <c r="O255" s="7"/>
      <c r="P255" s="7"/>
      <c r="Q255" s="7"/>
      <c r="R255" s="7"/>
      <c r="S255" s="7"/>
      <c r="T255" s="7"/>
      <c r="U255" s="7"/>
      <c r="V255" s="7"/>
      <c r="W255" s="7"/>
      <c r="X255" s="7"/>
      <c r="Y255" s="7"/>
      <c r="Z255" s="7"/>
      <c r="AA255" s="7"/>
      <c r="AB255" s="7"/>
      <c r="AC255" s="7"/>
      <c r="AD255" s="7"/>
      <c r="AE255" s="7"/>
      <c r="AF255" s="7"/>
      <c r="AG255" s="7"/>
      <c r="AH255" s="7"/>
      <c r="AI255" s="7"/>
      <c r="AJ255" s="7"/>
    </row>
    <row r="256" spans="1:36" ht="15" customHeight="1">
      <c r="A256" s="7"/>
      <c r="B256" s="7"/>
      <c r="C256" s="7"/>
      <c r="D256" s="7"/>
      <c r="E256" s="7"/>
      <c r="F256" s="7"/>
      <c r="G256" s="7"/>
      <c r="H256" s="7"/>
      <c r="I256" s="7"/>
      <c r="J256" s="7"/>
      <c r="K256" s="7"/>
      <c r="L256" s="7"/>
      <c r="M256" s="7" t="str">
        <f t="shared" si="0"/>
        <v/>
      </c>
      <c r="N256" s="7"/>
      <c r="O256" s="7"/>
      <c r="P256" s="7"/>
      <c r="Q256" s="7"/>
      <c r="R256" s="7"/>
      <c r="S256" s="7"/>
      <c r="T256" s="7"/>
      <c r="U256" s="7"/>
      <c r="V256" s="7"/>
      <c r="W256" s="7"/>
      <c r="X256" s="7"/>
      <c r="Y256" s="7"/>
      <c r="Z256" s="7"/>
      <c r="AA256" s="7"/>
      <c r="AB256" s="7"/>
      <c r="AC256" s="7"/>
      <c r="AD256" s="7"/>
      <c r="AE256" s="7"/>
      <c r="AF256" s="7"/>
      <c r="AG256" s="7"/>
      <c r="AH256" s="7"/>
      <c r="AI256" s="7"/>
      <c r="AJ256" s="7"/>
    </row>
    <row r="257" spans="1:36" ht="15" customHeight="1">
      <c r="A257" s="7"/>
      <c r="B257" s="7"/>
      <c r="C257" s="7"/>
      <c r="D257" s="7"/>
      <c r="E257" s="7"/>
      <c r="F257" s="7"/>
      <c r="G257" s="7"/>
      <c r="H257" s="7"/>
      <c r="I257" s="7"/>
      <c r="J257" s="7"/>
      <c r="K257" s="7"/>
      <c r="L257" s="7"/>
      <c r="M257" s="7" t="str">
        <f t="shared" si="0"/>
        <v/>
      </c>
      <c r="N257" s="7"/>
      <c r="O257" s="7"/>
      <c r="P257" s="7"/>
      <c r="Q257" s="7"/>
      <c r="R257" s="7"/>
      <c r="S257" s="7"/>
      <c r="T257" s="7"/>
      <c r="U257" s="7"/>
      <c r="V257" s="7"/>
      <c r="W257" s="7"/>
      <c r="X257" s="7"/>
      <c r="Y257" s="7"/>
      <c r="Z257" s="7"/>
      <c r="AA257" s="7"/>
      <c r="AB257" s="7"/>
      <c r="AC257" s="7"/>
      <c r="AD257" s="7"/>
      <c r="AE257" s="7"/>
      <c r="AF257" s="7"/>
      <c r="AG257" s="7"/>
      <c r="AH257" s="7"/>
      <c r="AI257" s="7"/>
      <c r="AJ257" s="7"/>
    </row>
    <row r="258" spans="1:36" ht="15" customHeight="1">
      <c r="A258" s="7"/>
      <c r="B258" s="7"/>
      <c r="C258" s="7"/>
      <c r="D258" s="7"/>
      <c r="E258" s="7"/>
      <c r="F258" s="7"/>
      <c r="G258" s="7"/>
      <c r="H258" s="7"/>
      <c r="I258" s="7"/>
      <c r="J258" s="7"/>
      <c r="K258" s="7"/>
      <c r="L258" s="7"/>
      <c r="M258" s="7" t="str">
        <f t="shared" si="0"/>
        <v/>
      </c>
      <c r="N258" s="7"/>
      <c r="O258" s="7"/>
      <c r="P258" s="7"/>
      <c r="Q258" s="7"/>
      <c r="R258" s="7"/>
      <c r="S258" s="7"/>
      <c r="T258" s="7"/>
      <c r="U258" s="7"/>
      <c r="V258" s="7"/>
      <c r="W258" s="7"/>
      <c r="X258" s="7"/>
      <c r="Y258" s="7"/>
      <c r="Z258" s="7"/>
      <c r="AA258" s="7"/>
      <c r="AB258" s="7"/>
      <c r="AC258" s="7"/>
      <c r="AD258" s="7"/>
      <c r="AE258" s="7"/>
      <c r="AF258" s="7"/>
      <c r="AG258" s="7"/>
      <c r="AH258" s="7"/>
      <c r="AI258" s="7"/>
      <c r="AJ258" s="7"/>
    </row>
    <row r="259" spans="1:36" ht="15" customHeight="1">
      <c r="A259" s="7"/>
      <c r="B259" s="7"/>
      <c r="C259" s="7"/>
      <c r="D259" s="7"/>
      <c r="E259" s="7"/>
      <c r="F259" s="7"/>
      <c r="G259" s="7"/>
      <c r="H259" s="7"/>
      <c r="I259" s="7"/>
      <c r="J259" s="7"/>
      <c r="K259" s="7"/>
      <c r="L259" s="7"/>
      <c r="M259" s="7" t="str">
        <f t="shared" si="0"/>
        <v/>
      </c>
      <c r="N259" s="7"/>
      <c r="O259" s="7"/>
      <c r="P259" s="7"/>
      <c r="Q259" s="7"/>
      <c r="R259" s="7"/>
      <c r="S259" s="7"/>
      <c r="T259" s="7"/>
      <c r="U259" s="7"/>
      <c r="V259" s="7"/>
      <c r="W259" s="7"/>
      <c r="X259" s="7"/>
      <c r="Y259" s="7"/>
      <c r="Z259" s="7"/>
      <c r="AA259" s="7"/>
      <c r="AB259" s="7"/>
      <c r="AC259" s="7"/>
      <c r="AD259" s="7"/>
      <c r="AE259" s="7"/>
      <c r="AF259" s="7"/>
      <c r="AG259" s="7"/>
      <c r="AH259" s="7"/>
      <c r="AI259" s="7"/>
      <c r="AJ259" s="7"/>
    </row>
    <row r="260" spans="1:36" ht="15" customHeight="1">
      <c r="A260" s="7"/>
      <c r="B260" s="7"/>
      <c r="C260" s="7"/>
      <c r="D260" s="7"/>
      <c r="E260" s="7"/>
      <c r="F260" s="7"/>
      <c r="G260" s="7"/>
      <c r="H260" s="7"/>
      <c r="I260" s="7"/>
      <c r="J260" s="7"/>
      <c r="K260" s="7"/>
      <c r="L260" s="7"/>
      <c r="M260" s="7" t="str">
        <f t="shared" si="0"/>
        <v/>
      </c>
      <c r="N260" s="7"/>
      <c r="O260" s="7"/>
      <c r="P260" s="7"/>
      <c r="Q260" s="7"/>
      <c r="R260" s="7"/>
      <c r="S260" s="7"/>
      <c r="T260" s="7"/>
      <c r="U260" s="7"/>
      <c r="V260" s="7"/>
      <c r="W260" s="7"/>
      <c r="X260" s="7"/>
      <c r="Y260" s="7"/>
      <c r="Z260" s="7"/>
      <c r="AA260" s="7"/>
      <c r="AB260" s="7"/>
      <c r="AC260" s="7"/>
      <c r="AD260" s="7"/>
      <c r="AE260" s="7"/>
      <c r="AF260" s="7"/>
      <c r="AG260" s="7"/>
      <c r="AH260" s="7"/>
      <c r="AI260" s="7"/>
      <c r="AJ260" s="7"/>
    </row>
    <row r="261" spans="1:36" ht="15" customHeight="1">
      <c r="A261" s="7"/>
      <c r="B261" s="7"/>
      <c r="C261" s="7"/>
      <c r="D261" s="7"/>
      <c r="E261" s="7"/>
      <c r="F261" s="7"/>
      <c r="G261" s="7"/>
      <c r="H261" s="7"/>
      <c r="I261" s="7"/>
      <c r="J261" s="7"/>
      <c r="K261" s="7"/>
      <c r="L261" s="7"/>
      <c r="M261" s="7" t="str">
        <f t="shared" si="0"/>
        <v/>
      </c>
      <c r="N261" s="7"/>
      <c r="O261" s="7"/>
      <c r="P261" s="7"/>
      <c r="Q261" s="7"/>
      <c r="R261" s="7"/>
      <c r="S261" s="7"/>
      <c r="T261" s="7"/>
      <c r="U261" s="7"/>
      <c r="V261" s="7"/>
      <c r="W261" s="7"/>
      <c r="X261" s="7"/>
      <c r="Y261" s="7"/>
      <c r="Z261" s="7"/>
      <c r="AA261" s="7"/>
      <c r="AB261" s="7"/>
      <c r="AC261" s="7"/>
      <c r="AD261" s="7"/>
      <c r="AE261" s="7"/>
      <c r="AF261" s="7"/>
      <c r="AG261" s="7"/>
      <c r="AH261" s="7"/>
      <c r="AI261" s="7"/>
      <c r="AJ261" s="7"/>
    </row>
    <row r="262" spans="1:36" ht="15" customHeight="1">
      <c r="A262" s="7"/>
      <c r="B262" s="7"/>
      <c r="C262" s="7"/>
      <c r="D262" s="7"/>
      <c r="E262" s="7"/>
      <c r="F262" s="7"/>
      <c r="G262" s="7"/>
      <c r="H262" s="7"/>
      <c r="I262" s="7"/>
      <c r="J262" s="7"/>
      <c r="K262" s="7"/>
      <c r="L262" s="7"/>
      <c r="M262" s="7" t="str">
        <f t="shared" si="0"/>
        <v/>
      </c>
      <c r="N262" s="7"/>
      <c r="O262" s="7"/>
      <c r="P262" s="7"/>
      <c r="Q262" s="7"/>
      <c r="R262" s="7"/>
      <c r="S262" s="7"/>
      <c r="T262" s="7"/>
      <c r="U262" s="7"/>
      <c r="V262" s="7"/>
      <c r="W262" s="7"/>
      <c r="X262" s="7"/>
      <c r="Y262" s="7"/>
      <c r="Z262" s="7"/>
      <c r="AA262" s="7"/>
      <c r="AB262" s="7"/>
      <c r="AC262" s="7"/>
      <c r="AD262" s="7"/>
      <c r="AE262" s="7"/>
      <c r="AF262" s="7"/>
      <c r="AG262" s="7"/>
      <c r="AH262" s="7"/>
      <c r="AI262" s="7"/>
      <c r="AJ262" s="7"/>
    </row>
    <row r="263" spans="1:36" ht="15" customHeight="1">
      <c r="A263" s="7"/>
      <c r="B263" s="7"/>
      <c r="C263" s="7"/>
      <c r="D263" s="7"/>
      <c r="E263" s="7"/>
      <c r="F263" s="7"/>
      <c r="G263" s="7"/>
      <c r="H263" s="7"/>
      <c r="I263" s="7"/>
      <c r="J263" s="7"/>
      <c r="K263" s="7"/>
      <c r="L263" s="7"/>
      <c r="M263" s="7" t="str">
        <f t="shared" si="0"/>
        <v/>
      </c>
      <c r="N263" s="7"/>
      <c r="O263" s="7"/>
      <c r="P263" s="7"/>
      <c r="Q263" s="7"/>
      <c r="R263" s="7"/>
      <c r="S263" s="7"/>
      <c r="T263" s="7"/>
      <c r="U263" s="7"/>
      <c r="V263" s="7"/>
      <c r="W263" s="7"/>
      <c r="X263" s="7"/>
      <c r="Y263" s="7"/>
      <c r="Z263" s="7"/>
      <c r="AA263" s="7"/>
      <c r="AB263" s="7"/>
      <c r="AC263" s="7"/>
      <c r="AD263" s="7"/>
      <c r="AE263" s="7"/>
      <c r="AF263" s="7"/>
      <c r="AG263" s="7"/>
      <c r="AH263" s="7"/>
      <c r="AI263" s="7"/>
      <c r="AJ263" s="7"/>
    </row>
    <row r="264" spans="1:36" ht="15" customHeight="1">
      <c r="A264" s="7"/>
      <c r="B264" s="7"/>
      <c r="C264" s="7"/>
      <c r="D264" s="7"/>
      <c r="E264" s="7"/>
      <c r="F264" s="7"/>
      <c r="G264" s="7"/>
      <c r="H264" s="7"/>
      <c r="I264" s="7"/>
      <c r="J264" s="7"/>
      <c r="K264" s="7"/>
      <c r="L264" s="7"/>
      <c r="M264" s="7" t="str">
        <f t="shared" si="0"/>
        <v/>
      </c>
      <c r="N264" s="7"/>
      <c r="O264" s="7"/>
      <c r="P264" s="7"/>
      <c r="Q264" s="7"/>
      <c r="R264" s="7"/>
      <c r="S264" s="7"/>
      <c r="T264" s="7"/>
      <c r="U264" s="7"/>
      <c r="V264" s="7"/>
      <c r="W264" s="7"/>
      <c r="X264" s="7"/>
      <c r="Y264" s="7"/>
      <c r="Z264" s="7"/>
      <c r="AA264" s="7"/>
      <c r="AB264" s="7"/>
      <c r="AC264" s="7"/>
      <c r="AD264" s="7"/>
      <c r="AE264" s="7"/>
      <c r="AF264" s="7"/>
      <c r="AG264" s="7"/>
      <c r="AH264" s="7"/>
      <c r="AI264" s="7"/>
      <c r="AJ264" s="7"/>
    </row>
    <row r="265" spans="1:36" ht="15" customHeight="1">
      <c r="A265" s="7"/>
      <c r="B265" s="7"/>
      <c r="C265" s="7"/>
      <c r="D265" s="7"/>
      <c r="E265" s="7"/>
      <c r="F265" s="7"/>
      <c r="G265" s="7"/>
      <c r="H265" s="7"/>
      <c r="I265" s="7"/>
      <c r="J265" s="7"/>
      <c r="K265" s="7"/>
      <c r="L265" s="7"/>
      <c r="M265" s="7" t="str">
        <f t="shared" si="0"/>
        <v/>
      </c>
      <c r="N265" s="7"/>
      <c r="O265" s="7"/>
      <c r="P265" s="7"/>
      <c r="Q265" s="7"/>
      <c r="R265" s="7"/>
      <c r="S265" s="7"/>
      <c r="T265" s="7"/>
      <c r="U265" s="7"/>
      <c r="V265" s="7"/>
      <c r="W265" s="7"/>
      <c r="X265" s="7"/>
      <c r="Y265" s="7"/>
      <c r="Z265" s="7"/>
      <c r="AA265" s="7"/>
      <c r="AB265" s="7"/>
      <c r="AC265" s="7"/>
      <c r="AD265" s="7"/>
      <c r="AE265" s="7"/>
      <c r="AF265" s="7"/>
      <c r="AG265" s="7"/>
      <c r="AH265" s="7"/>
      <c r="AI265" s="7"/>
      <c r="AJ265" s="7"/>
    </row>
    <row r="266" spans="1:36" ht="15" customHeight="1">
      <c r="A266" s="7"/>
      <c r="B266" s="7"/>
      <c r="C266" s="7"/>
      <c r="D266" s="7"/>
      <c r="E266" s="7"/>
      <c r="F266" s="7"/>
      <c r="G266" s="7"/>
      <c r="H266" s="7"/>
      <c r="I266" s="7"/>
      <c r="J266" s="7"/>
      <c r="K266" s="7"/>
      <c r="L266" s="7"/>
      <c r="M266" s="7" t="str">
        <f t="shared" si="0"/>
        <v/>
      </c>
      <c r="N266" s="7"/>
      <c r="O266" s="7"/>
      <c r="P266" s="7"/>
      <c r="Q266" s="7"/>
      <c r="R266" s="7"/>
      <c r="S266" s="7"/>
      <c r="T266" s="7"/>
      <c r="U266" s="7"/>
      <c r="V266" s="7"/>
      <c r="W266" s="7"/>
      <c r="X266" s="7"/>
      <c r="Y266" s="7"/>
      <c r="Z266" s="7"/>
      <c r="AA266" s="7"/>
      <c r="AB266" s="7"/>
      <c r="AC266" s="7"/>
      <c r="AD266" s="7"/>
      <c r="AE266" s="7"/>
      <c r="AF266" s="7"/>
      <c r="AG266" s="7"/>
      <c r="AH266" s="7"/>
      <c r="AI266" s="7"/>
      <c r="AJ266" s="7"/>
    </row>
    <row r="267" spans="1:36" ht="15" customHeight="1">
      <c r="A267" s="7"/>
      <c r="B267" s="7"/>
      <c r="C267" s="7"/>
      <c r="D267" s="7"/>
      <c r="E267" s="7"/>
      <c r="F267" s="7"/>
      <c r="G267" s="7"/>
      <c r="H267" s="7"/>
      <c r="I267" s="7"/>
      <c r="J267" s="7"/>
      <c r="K267" s="7"/>
      <c r="L267" s="7"/>
      <c r="M267" s="7" t="str">
        <f t="shared" si="0"/>
        <v/>
      </c>
      <c r="N267" s="7"/>
      <c r="O267" s="7"/>
      <c r="P267" s="7"/>
      <c r="Q267" s="7"/>
      <c r="R267" s="7"/>
      <c r="S267" s="7"/>
      <c r="T267" s="7"/>
      <c r="U267" s="7"/>
      <c r="V267" s="7"/>
      <c r="W267" s="7"/>
      <c r="X267" s="7"/>
      <c r="Y267" s="7"/>
      <c r="Z267" s="7"/>
      <c r="AA267" s="7"/>
      <c r="AB267" s="7"/>
      <c r="AC267" s="7"/>
      <c r="AD267" s="7"/>
      <c r="AE267" s="7"/>
      <c r="AF267" s="7"/>
      <c r="AG267" s="7"/>
      <c r="AH267" s="7"/>
      <c r="AI267" s="7"/>
      <c r="AJ267" s="7"/>
    </row>
    <row r="268" spans="1:36" ht="15" customHeight="1">
      <c r="A268" s="7"/>
      <c r="B268" s="7"/>
      <c r="C268" s="7"/>
      <c r="D268" s="7"/>
      <c r="E268" s="7"/>
      <c r="F268" s="7"/>
      <c r="G268" s="7"/>
      <c r="H268" s="7"/>
      <c r="I268" s="7"/>
      <c r="J268" s="7"/>
      <c r="K268" s="7"/>
      <c r="L268" s="7"/>
      <c r="M268" s="7" t="str">
        <f t="shared" si="0"/>
        <v/>
      </c>
      <c r="N268" s="7"/>
      <c r="O268" s="7"/>
      <c r="P268" s="7"/>
      <c r="Q268" s="7"/>
      <c r="R268" s="7"/>
      <c r="S268" s="7"/>
      <c r="T268" s="7"/>
      <c r="U268" s="7"/>
      <c r="V268" s="7"/>
      <c r="W268" s="7"/>
      <c r="X268" s="7"/>
      <c r="Y268" s="7"/>
      <c r="Z268" s="7"/>
      <c r="AA268" s="7"/>
      <c r="AB268" s="7"/>
      <c r="AC268" s="7"/>
      <c r="AD268" s="7"/>
      <c r="AE268" s="7"/>
      <c r="AF268" s="7"/>
      <c r="AG268" s="7"/>
      <c r="AH268" s="7"/>
      <c r="AI268" s="7"/>
      <c r="AJ268" s="7"/>
    </row>
    <row r="269" spans="1:36" ht="15" customHeight="1">
      <c r="A269" s="7"/>
      <c r="B269" s="7"/>
      <c r="C269" s="7"/>
      <c r="D269" s="7"/>
      <c r="E269" s="7"/>
      <c r="F269" s="7"/>
      <c r="G269" s="7"/>
      <c r="H269" s="7"/>
      <c r="I269" s="7"/>
      <c r="J269" s="7"/>
      <c r="K269" s="7"/>
      <c r="L269" s="7"/>
      <c r="M269" s="7" t="str">
        <f t="shared" si="0"/>
        <v/>
      </c>
      <c r="N269" s="7"/>
      <c r="O269" s="7"/>
      <c r="P269" s="7"/>
      <c r="Q269" s="7"/>
      <c r="R269" s="7"/>
      <c r="S269" s="7"/>
      <c r="T269" s="7"/>
      <c r="U269" s="7"/>
      <c r="V269" s="7"/>
      <c r="W269" s="7"/>
      <c r="X269" s="7"/>
      <c r="Y269" s="7"/>
      <c r="Z269" s="7"/>
      <c r="AA269" s="7"/>
      <c r="AB269" s="7"/>
      <c r="AC269" s="7"/>
      <c r="AD269" s="7"/>
      <c r="AE269" s="7"/>
      <c r="AF269" s="7"/>
      <c r="AG269" s="7"/>
      <c r="AH269" s="7"/>
      <c r="AI269" s="7"/>
      <c r="AJ269" s="7"/>
    </row>
    <row r="270" spans="1:36" ht="15" customHeight="1">
      <c r="A270" s="7"/>
      <c r="B270" s="7"/>
      <c r="C270" s="7"/>
      <c r="D270" s="7"/>
      <c r="E270" s="7"/>
      <c r="F270" s="7"/>
      <c r="G270" s="7"/>
      <c r="H270" s="7"/>
      <c r="I270" s="7"/>
      <c r="J270" s="7"/>
      <c r="K270" s="7"/>
      <c r="L270" s="7"/>
      <c r="M270" s="7" t="str">
        <f t="shared" si="0"/>
        <v/>
      </c>
      <c r="N270" s="7"/>
      <c r="O270" s="7"/>
      <c r="P270" s="7"/>
      <c r="Q270" s="7"/>
      <c r="R270" s="7"/>
      <c r="S270" s="7"/>
      <c r="T270" s="7"/>
      <c r="U270" s="7"/>
      <c r="V270" s="7"/>
      <c r="W270" s="7"/>
      <c r="X270" s="7"/>
      <c r="Y270" s="7"/>
      <c r="Z270" s="7"/>
      <c r="AA270" s="7"/>
      <c r="AB270" s="7"/>
      <c r="AC270" s="7"/>
      <c r="AD270" s="7"/>
      <c r="AE270" s="7"/>
      <c r="AF270" s="7"/>
      <c r="AG270" s="7"/>
      <c r="AH270" s="7"/>
      <c r="AI270" s="7"/>
      <c r="AJ270" s="7"/>
    </row>
    <row r="271" spans="1:36" ht="15" customHeight="1">
      <c r="A271" s="7"/>
      <c r="B271" s="7"/>
      <c r="C271" s="7"/>
      <c r="D271" s="7"/>
      <c r="E271" s="7"/>
      <c r="F271" s="7"/>
      <c r="G271" s="7"/>
      <c r="H271" s="7"/>
      <c r="I271" s="7"/>
      <c r="J271" s="7"/>
      <c r="K271" s="7"/>
      <c r="L271" s="7"/>
      <c r="M271" s="7" t="str">
        <f t="shared" si="0"/>
        <v/>
      </c>
      <c r="N271" s="7"/>
      <c r="O271" s="7"/>
      <c r="P271" s="7"/>
      <c r="Q271" s="7"/>
      <c r="R271" s="7"/>
      <c r="S271" s="7"/>
      <c r="T271" s="7"/>
      <c r="U271" s="7"/>
      <c r="V271" s="7"/>
      <c r="W271" s="7"/>
      <c r="X271" s="7"/>
      <c r="Y271" s="7"/>
      <c r="Z271" s="7"/>
      <c r="AA271" s="7"/>
      <c r="AB271" s="7"/>
      <c r="AC271" s="7"/>
      <c r="AD271" s="7"/>
      <c r="AE271" s="7"/>
      <c r="AF271" s="7"/>
      <c r="AG271" s="7"/>
      <c r="AH271" s="7"/>
      <c r="AI271" s="7"/>
      <c r="AJ271" s="7"/>
    </row>
    <row r="272" spans="1:36" ht="15" customHeight="1">
      <c r="A272" s="7"/>
      <c r="B272" s="7"/>
      <c r="C272" s="7"/>
      <c r="D272" s="7"/>
      <c r="E272" s="7"/>
      <c r="F272" s="7"/>
      <c r="G272" s="7"/>
      <c r="H272" s="7"/>
      <c r="I272" s="7"/>
      <c r="J272" s="7"/>
      <c r="K272" s="7"/>
      <c r="L272" s="7"/>
      <c r="M272" s="7" t="str">
        <f t="shared" si="0"/>
        <v/>
      </c>
      <c r="N272" s="7"/>
      <c r="O272" s="7"/>
      <c r="P272" s="7"/>
      <c r="Q272" s="7"/>
      <c r="R272" s="7"/>
      <c r="S272" s="7"/>
      <c r="T272" s="7"/>
      <c r="U272" s="7"/>
      <c r="V272" s="7"/>
      <c r="W272" s="7"/>
      <c r="X272" s="7"/>
      <c r="Y272" s="7"/>
      <c r="Z272" s="7"/>
      <c r="AA272" s="7"/>
      <c r="AB272" s="7"/>
      <c r="AC272" s="7"/>
      <c r="AD272" s="7"/>
      <c r="AE272" s="7"/>
      <c r="AF272" s="7"/>
      <c r="AG272" s="7"/>
      <c r="AH272" s="7"/>
      <c r="AI272" s="7"/>
      <c r="AJ272" s="7"/>
    </row>
    <row r="273" spans="1:36" ht="15" customHeight="1">
      <c r="A273" s="7"/>
      <c r="B273" s="7"/>
      <c r="C273" s="7"/>
      <c r="D273" s="7"/>
      <c r="E273" s="7"/>
      <c r="F273" s="7"/>
      <c r="G273" s="7"/>
      <c r="H273" s="7"/>
      <c r="I273" s="7"/>
      <c r="J273" s="7"/>
      <c r="K273" s="7"/>
      <c r="L273" s="7"/>
      <c r="M273" s="7" t="str">
        <f t="shared" si="0"/>
        <v/>
      </c>
      <c r="N273" s="7"/>
      <c r="O273" s="7"/>
      <c r="P273" s="7"/>
      <c r="Q273" s="7"/>
      <c r="R273" s="7"/>
      <c r="S273" s="7"/>
      <c r="T273" s="7"/>
      <c r="U273" s="7"/>
      <c r="V273" s="7"/>
      <c r="W273" s="7"/>
      <c r="X273" s="7"/>
      <c r="Y273" s="7"/>
      <c r="Z273" s="7"/>
      <c r="AA273" s="7"/>
      <c r="AB273" s="7"/>
      <c r="AC273" s="7"/>
      <c r="AD273" s="7"/>
      <c r="AE273" s="7"/>
      <c r="AF273" s="7"/>
      <c r="AG273" s="7"/>
      <c r="AH273" s="7"/>
      <c r="AI273" s="7"/>
      <c r="AJ273" s="7"/>
    </row>
    <row r="274" spans="1:36" ht="15" customHeight="1">
      <c r="A274" s="7"/>
      <c r="B274" s="7"/>
      <c r="C274" s="7"/>
      <c r="D274" s="7"/>
      <c r="E274" s="7"/>
      <c r="F274" s="7"/>
      <c r="G274" s="7"/>
      <c r="H274" s="7"/>
      <c r="I274" s="7"/>
      <c r="J274" s="7"/>
      <c r="K274" s="7"/>
      <c r="L274" s="7"/>
      <c r="M274" s="7" t="str">
        <f t="shared" si="0"/>
        <v/>
      </c>
      <c r="N274" s="7"/>
      <c r="O274" s="7"/>
      <c r="P274" s="7"/>
      <c r="Q274" s="7"/>
      <c r="R274" s="7"/>
      <c r="S274" s="7"/>
      <c r="T274" s="7"/>
      <c r="U274" s="7"/>
      <c r="V274" s="7"/>
      <c r="W274" s="7"/>
      <c r="X274" s="7"/>
      <c r="Y274" s="7"/>
      <c r="Z274" s="7"/>
      <c r="AA274" s="7"/>
      <c r="AB274" s="7"/>
      <c r="AC274" s="7"/>
      <c r="AD274" s="7"/>
      <c r="AE274" s="7"/>
      <c r="AF274" s="7"/>
      <c r="AG274" s="7"/>
      <c r="AH274" s="7"/>
      <c r="AI274" s="7"/>
      <c r="AJ274" s="7"/>
    </row>
    <row r="275" spans="1:36" ht="15" customHeight="1">
      <c r="A275" s="7"/>
      <c r="B275" s="7"/>
      <c r="C275" s="7"/>
      <c r="D275" s="7"/>
      <c r="E275" s="7"/>
      <c r="F275" s="7"/>
      <c r="G275" s="7"/>
      <c r="H275" s="7"/>
      <c r="I275" s="7"/>
      <c r="J275" s="7"/>
      <c r="K275" s="7"/>
      <c r="L275" s="7"/>
      <c r="M275" s="7" t="str">
        <f t="shared" si="0"/>
        <v/>
      </c>
      <c r="N275" s="7"/>
      <c r="O275" s="7"/>
      <c r="P275" s="7"/>
      <c r="Q275" s="7"/>
      <c r="R275" s="7"/>
      <c r="S275" s="7"/>
      <c r="T275" s="7"/>
      <c r="U275" s="7"/>
      <c r="V275" s="7"/>
      <c r="W275" s="7"/>
      <c r="X275" s="7"/>
      <c r="Y275" s="7"/>
      <c r="Z275" s="7"/>
      <c r="AA275" s="7"/>
      <c r="AB275" s="7"/>
      <c r="AC275" s="7"/>
      <c r="AD275" s="7"/>
      <c r="AE275" s="7"/>
      <c r="AF275" s="7"/>
      <c r="AG275" s="7"/>
      <c r="AH275" s="7"/>
      <c r="AI275" s="7"/>
      <c r="AJ275" s="7"/>
    </row>
    <row r="276" spans="1:36" ht="15" customHeight="1">
      <c r="A276" s="7"/>
      <c r="B276" s="7"/>
      <c r="C276" s="7"/>
      <c r="D276" s="7"/>
      <c r="E276" s="7"/>
      <c r="F276" s="7"/>
      <c r="G276" s="7"/>
      <c r="H276" s="7"/>
      <c r="I276" s="7"/>
      <c r="J276" s="7"/>
      <c r="K276" s="7"/>
      <c r="L276" s="7"/>
      <c r="M276" s="7" t="str">
        <f t="shared" si="0"/>
        <v/>
      </c>
      <c r="N276" s="7"/>
      <c r="O276" s="7"/>
      <c r="P276" s="7"/>
      <c r="Q276" s="7"/>
      <c r="R276" s="7"/>
      <c r="S276" s="7"/>
      <c r="T276" s="7"/>
      <c r="U276" s="7"/>
      <c r="V276" s="7"/>
      <c r="W276" s="7"/>
      <c r="X276" s="7"/>
      <c r="Y276" s="7"/>
      <c r="Z276" s="7"/>
      <c r="AA276" s="7"/>
      <c r="AB276" s="7"/>
      <c r="AC276" s="7"/>
      <c r="AD276" s="7"/>
      <c r="AE276" s="7"/>
      <c r="AF276" s="7"/>
      <c r="AG276" s="7"/>
      <c r="AH276" s="7"/>
      <c r="AI276" s="7"/>
      <c r="AJ276" s="7"/>
    </row>
    <row r="277" spans="1:36" ht="15" customHeight="1">
      <c r="A277" s="7"/>
      <c r="B277" s="7"/>
      <c r="C277" s="7"/>
      <c r="D277" s="7"/>
      <c r="E277" s="7"/>
      <c r="F277" s="7"/>
      <c r="G277" s="7"/>
      <c r="H277" s="7"/>
      <c r="I277" s="7"/>
      <c r="J277" s="7"/>
      <c r="K277" s="7"/>
      <c r="L277" s="7"/>
      <c r="M277" s="7" t="str">
        <f t="shared" si="0"/>
        <v/>
      </c>
      <c r="N277" s="7"/>
      <c r="O277" s="7"/>
      <c r="P277" s="7"/>
      <c r="Q277" s="7"/>
      <c r="R277" s="7"/>
      <c r="S277" s="7"/>
      <c r="T277" s="7"/>
      <c r="U277" s="7"/>
      <c r="V277" s="7"/>
      <c r="W277" s="7"/>
      <c r="X277" s="7"/>
      <c r="Y277" s="7"/>
      <c r="Z277" s="7"/>
      <c r="AA277" s="7"/>
      <c r="AB277" s="7"/>
      <c r="AC277" s="7"/>
      <c r="AD277" s="7"/>
      <c r="AE277" s="7"/>
      <c r="AF277" s="7"/>
      <c r="AG277" s="7"/>
      <c r="AH277" s="7"/>
      <c r="AI277" s="7"/>
      <c r="AJ277" s="7"/>
    </row>
    <row r="278" spans="1:36" ht="15" customHeight="1">
      <c r="A278" s="7"/>
      <c r="B278" s="7"/>
      <c r="C278" s="7"/>
      <c r="D278" s="7"/>
      <c r="E278" s="7"/>
      <c r="F278" s="7"/>
      <c r="G278" s="7"/>
      <c r="H278" s="7"/>
      <c r="I278" s="7"/>
      <c r="J278" s="7"/>
      <c r="K278" s="7"/>
      <c r="L278" s="7"/>
      <c r="M278" s="7" t="str">
        <f t="shared" si="0"/>
        <v/>
      </c>
      <c r="N278" s="7"/>
      <c r="O278" s="7"/>
      <c r="P278" s="7"/>
      <c r="Q278" s="7"/>
      <c r="R278" s="7"/>
      <c r="S278" s="7"/>
      <c r="T278" s="7"/>
      <c r="U278" s="7"/>
      <c r="V278" s="7"/>
      <c r="W278" s="7"/>
      <c r="X278" s="7"/>
      <c r="Y278" s="7"/>
      <c r="Z278" s="7"/>
      <c r="AA278" s="7"/>
      <c r="AB278" s="7"/>
      <c r="AC278" s="7"/>
      <c r="AD278" s="7"/>
      <c r="AE278" s="7"/>
      <c r="AF278" s="7"/>
      <c r="AG278" s="7"/>
      <c r="AH278" s="7"/>
      <c r="AI278" s="7"/>
      <c r="AJ278" s="7"/>
    </row>
    <row r="279" spans="1:36" ht="15" customHeight="1">
      <c r="A279" s="7"/>
      <c r="B279" s="7"/>
      <c r="C279" s="7"/>
      <c r="D279" s="7"/>
      <c r="E279" s="7"/>
      <c r="F279" s="7"/>
      <c r="G279" s="7"/>
      <c r="H279" s="7"/>
      <c r="I279" s="7"/>
      <c r="J279" s="7"/>
      <c r="K279" s="7"/>
      <c r="L279" s="7"/>
      <c r="M279" s="7" t="str">
        <f t="shared" si="0"/>
        <v/>
      </c>
      <c r="N279" s="7"/>
      <c r="O279" s="7"/>
      <c r="P279" s="7"/>
      <c r="Q279" s="7"/>
      <c r="R279" s="7"/>
      <c r="S279" s="7"/>
      <c r="T279" s="7"/>
      <c r="U279" s="7"/>
      <c r="V279" s="7"/>
      <c r="W279" s="7"/>
      <c r="X279" s="7"/>
      <c r="Y279" s="7"/>
      <c r="Z279" s="7"/>
      <c r="AA279" s="7"/>
      <c r="AB279" s="7"/>
      <c r="AC279" s="7"/>
      <c r="AD279" s="7"/>
      <c r="AE279" s="7"/>
      <c r="AF279" s="7"/>
      <c r="AG279" s="7"/>
      <c r="AH279" s="7"/>
      <c r="AI279" s="7"/>
      <c r="AJ279" s="7"/>
    </row>
    <row r="280" spans="1:36" ht="15" customHeight="1">
      <c r="A280" s="7"/>
      <c r="B280" s="7"/>
      <c r="C280" s="7"/>
      <c r="D280" s="7"/>
      <c r="E280" s="7"/>
      <c r="F280" s="7"/>
      <c r="G280" s="7"/>
      <c r="H280" s="7"/>
      <c r="I280" s="7"/>
      <c r="J280" s="7"/>
      <c r="K280" s="7"/>
      <c r="L280" s="7"/>
      <c r="M280" s="7" t="str">
        <f t="shared" si="0"/>
        <v/>
      </c>
      <c r="N280" s="7"/>
      <c r="O280" s="7"/>
      <c r="P280" s="7"/>
      <c r="Q280" s="7"/>
      <c r="R280" s="7"/>
      <c r="S280" s="7"/>
      <c r="T280" s="7"/>
      <c r="U280" s="7"/>
      <c r="V280" s="7"/>
      <c r="W280" s="7"/>
      <c r="X280" s="7"/>
      <c r="Y280" s="7"/>
      <c r="Z280" s="7"/>
      <c r="AA280" s="7"/>
      <c r="AB280" s="7"/>
      <c r="AC280" s="7"/>
      <c r="AD280" s="7"/>
      <c r="AE280" s="7"/>
      <c r="AF280" s="7"/>
      <c r="AG280" s="7"/>
      <c r="AH280" s="7"/>
      <c r="AI280" s="7"/>
      <c r="AJ280" s="7"/>
    </row>
    <row r="281" spans="1:36" ht="15" customHeight="1">
      <c r="A281" s="7"/>
      <c r="B281" s="7"/>
      <c r="C281" s="7"/>
      <c r="D281" s="7"/>
      <c r="E281" s="7"/>
      <c r="F281" s="7"/>
      <c r="G281" s="7"/>
      <c r="H281" s="7"/>
      <c r="I281" s="7"/>
      <c r="J281" s="7"/>
      <c r="K281" s="7"/>
      <c r="L281" s="7"/>
      <c r="M281" s="7" t="str">
        <f t="shared" si="0"/>
        <v/>
      </c>
      <c r="N281" s="7"/>
      <c r="O281" s="7"/>
      <c r="P281" s="7"/>
      <c r="Q281" s="7"/>
      <c r="R281" s="7"/>
      <c r="S281" s="7"/>
      <c r="T281" s="7"/>
      <c r="U281" s="7"/>
      <c r="V281" s="7"/>
      <c r="W281" s="7"/>
      <c r="X281" s="7"/>
      <c r="Y281" s="7"/>
      <c r="Z281" s="7"/>
      <c r="AA281" s="7"/>
      <c r="AB281" s="7"/>
      <c r="AC281" s="7"/>
      <c r="AD281" s="7"/>
      <c r="AE281" s="7"/>
      <c r="AF281" s="7"/>
      <c r="AG281" s="7"/>
      <c r="AH281" s="7"/>
      <c r="AI281" s="7"/>
      <c r="AJ281" s="7"/>
    </row>
    <row r="282" spans="1:36" ht="15" customHeight="1">
      <c r="A282" s="7"/>
      <c r="B282" s="7"/>
      <c r="C282" s="7"/>
      <c r="D282" s="7"/>
      <c r="E282" s="7"/>
      <c r="F282" s="7"/>
      <c r="G282" s="7"/>
      <c r="H282" s="7"/>
      <c r="I282" s="7"/>
      <c r="J282" s="7"/>
      <c r="K282" s="7"/>
      <c r="L282" s="7"/>
      <c r="M282" s="7" t="str">
        <f t="shared" si="0"/>
        <v/>
      </c>
      <c r="N282" s="7"/>
      <c r="O282" s="7"/>
      <c r="P282" s="7"/>
      <c r="Q282" s="7"/>
      <c r="R282" s="7"/>
      <c r="S282" s="7"/>
      <c r="T282" s="7"/>
      <c r="U282" s="7"/>
      <c r="V282" s="7"/>
      <c r="W282" s="7"/>
      <c r="X282" s="7"/>
      <c r="Y282" s="7"/>
      <c r="Z282" s="7"/>
      <c r="AA282" s="7"/>
      <c r="AB282" s="7"/>
      <c r="AC282" s="7"/>
      <c r="AD282" s="7"/>
      <c r="AE282" s="7"/>
      <c r="AF282" s="7"/>
      <c r="AG282" s="7"/>
      <c r="AH282" s="7"/>
      <c r="AI282" s="7"/>
      <c r="AJ282" s="7"/>
    </row>
    <row r="283" spans="1:36" ht="15" customHeight="1">
      <c r="A283" s="7"/>
      <c r="B283" s="7"/>
      <c r="C283" s="7"/>
      <c r="D283" s="7"/>
      <c r="E283" s="7"/>
      <c r="F283" s="7"/>
      <c r="G283" s="7"/>
      <c r="H283" s="7"/>
      <c r="I283" s="7"/>
      <c r="J283" s="7"/>
      <c r="K283" s="7"/>
      <c r="L283" s="7"/>
      <c r="M283" s="7" t="str">
        <f t="shared" si="0"/>
        <v/>
      </c>
      <c r="N283" s="7"/>
      <c r="O283" s="7"/>
      <c r="P283" s="7"/>
      <c r="Q283" s="7"/>
      <c r="R283" s="7"/>
      <c r="S283" s="7"/>
      <c r="T283" s="7"/>
      <c r="U283" s="7"/>
      <c r="V283" s="7"/>
      <c r="W283" s="7"/>
      <c r="X283" s="7"/>
      <c r="Y283" s="7"/>
      <c r="Z283" s="7"/>
      <c r="AA283" s="7"/>
      <c r="AB283" s="7"/>
      <c r="AC283" s="7"/>
      <c r="AD283" s="7"/>
      <c r="AE283" s="7"/>
      <c r="AF283" s="7"/>
      <c r="AG283" s="7"/>
      <c r="AH283" s="7"/>
      <c r="AI283" s="7"/>
      <c r="AJ283" s="7"/>
    </row>
    <row r="284" spans="1:36" ht="15" customHeight="1">
      <c r="A284" s="7"/>
      <c r="B284" s="7"/>
      <c r="C284" s="7"/>
      <c r="D284" s="7"/>
      <c r="E284" s="7"/>
      <c r="F284" s="7"/>
      <c r="G284" s="7"/>
      <c r="H284" s="7"/>
      <c r="I284" s="7"/>
      <c r="J284" s="7"/>
      <c r="K284" s="7"/>
      <c r="L284" s="7"/>
      <c r="M284" s="7" t="str">
        <f t="shared" si="0"/>
        <v/>
      </c>
      <c r="N284" s="7"/>
      <c r="O284" s="7"/>
      <c r="P284" s="7"/>
      <c r="Q284" s="7"/>
      <c r="R284" s="7"/>
      <c r="S284" s="7"/>
      <c r="T284" s="7"/>
      <c r="U284" s="7"/>
      <c r="V284" s="7"/>
      <c r="W284" s="7"/>
      <c r="X284" s="7"/>
      <c r="Y284" s="7"/>
      <c r="Z284" s="7"/>
      <c r="AA284" s="7"/>
      <c r="AB284" s="7"/>
      <c r="AC284" s="7"/>
      <c r="AD284" s="7"/>
      <c r="AE284" s="7"/>
      <c r="AF284" s="7"/>
      <c r="AG284" s="7"/>
      <c r="AH284" s="7"/>
      <c r="AI284" s="7"/>
      <c r="AJ284" s="7"/>
    </row>
    <row r="285" spans="1:36" ht="15" customHeight="1">
      <c r="A285" s="7"/>
      <c r="B285" s="7"/>
      <c r="C285" s="7"/>
      <c r="D285" s="7"/>
      <c r="E285" s="7"/>
      <c r="F285" s="7"/>
      <c r="G285" s="7"/>
      <c r="H285" s="7"/>
      <c r="I285" s="7"/>
      <c r="J285" s="7"/>
      <c r="K285" s="7"/>
      <c r="L285" s="7"/>
      <c r="M285" s="7" t="str">
        <f t="shared" si="0"/>
        <v/>
      </c>
      <c r="N285" s="7"/>
      <c r="O285" s="7"/>
      <c r="P285" s="7"/>
      <c r="Q285" s="7"/>
      <c r="R285" s="7"/>
      <c r="S285" s="7"/>
      <c r="T285" s="7"/>
      <c r="U285" s="7"/>
      <c r="V285" s="7"/>
      <c r="W285" s="7"/>
      <c r="X285" s="7"/>
      <c r="Y285" s="7"/>
      <c r="Z285" s="7"/>
      <c r="AA285" s="7"/>
      <c r="AB285" s="7"/>
      <c r="AC285" s="7"/>
      <c r="AD285" s="7"/>
      <c r="AE285" s="7"/>
      <c r="AF285" s="7"/>
      <c r="AG285" s="7"/>
      <c r="AH285" s="7"/>
      <c r="AI285" s="7"/>
      <c r="AJ285" s="7"/>
    </row>
    <row r="286" spans="1:36" ht="15" customHeight="1">
      <c r="A286" s="7"/>
      <c r="B286" s="7"/>
      <c r="C286" s="7"/>
      <c r="D286" s="7"/>
      <c r="E286" s="7"/>
      <c r="F286" s="7"/>
      <c r="G286" s="7"/>
      <c r="H286" s="7"/>
      <c r="I286" s="7"/>
      <c r="J286" s="7"/>
      <c r="K286" s="7"/>
      <c r="L286" s="7"/>
      <c r="M286" s="7" t="str">
        <f t="shared" si="0"/>
        <v/>
      </c>
      <c r="N286" s="7"/>
      <c r="O286" s="7"/>
      <c r="P286" s="7"/>
      <c r="Q286" s="7"/>
      <c r="R286" s="7"/>
      <c r="S286" s="7"/>
      <c r="T286" s="7"/>
      <c r="U286" s="7"/>
      <c r="V286" s="7"/>
      <c r="W286" s="7"/>
      <c r="X286" s="7"/>
      <c r="Y286" s="7"/>
      <c r="Z286" s="7"/>
      <c r="AA286" s="7"/>
      <c r="AB286" s="7"/>
      <c r="AC286" s="7"/>
      <c r="AD286" s="7"/>
      <c r="AE286" s="7"/>
      <c r="AF286" s="7"/>
      <c r="AG286" s="7"/>
      <c r="AH286" s="7"/>
      <c r="AI286" s="7"/>
      <c r="AJ286" s="7"/>
    </row>
    <row r="287" spans="1:36" ht="15" customHeight="1">
      <c r="A287" s="7"/>
      <c r="B287" s="7"/>
      <c r="C287" s="7"/>
      <c r="D287" s="7"/>
      <c r="E287" s="7"/>
      <c r="F287" s="7"/>
      <c r="G287" s="7"/>
      <c r="H287" s="7"/>
      <c r="I287" s="7"/>
      <c r="J287" s="7"/>
      <c r="K287" s="7"/>
      <c r="L287" s="7"/>
      <c r="M287" s="7" t="str">
        <f t="shared" si="0"/>
        <v/>
      </c>
      <c r="N287" s="7"/>
      <c r="O287" s="7"/>
      <c r="P287" s="7"/>
      <c r="Q287" s="7"/>
      <c r="R287" s="7"/>
      <c r="S287" s="7"/>
      <c r="T287" s="7"/>
      <c r="U287" s="7"/>
      <c r="V287" s="7"/>
      <c r="W287" s="7"/>
      <c r="X287" s="7"/>
      <c r="Y287" s="7"/>
      <c r="Z287" s="7"/>
      <c r="AA287" s="7"/>
      <c r="AB287" s="7"/>
      <c r="AC287" s="7"/>
      <c r="AD287" s="7"/>
      <c r="AE287" s="7"/>
      <c r="AF287" s="7"/>
      <c r="AG287" s="7"/>
      <c r="AH287" s="7"/>
      <c r="AI287" s="7"/>
      <c r="AJ287" s="7"/>
    </row>
    <row r="288" spans="1:36" ht="15" customHeight="1">
      <c r="A288" s="7"/>
      <c r="B288" s="7"/>
      <c r="C288" s="7"/>
      <c r="D288" s="7"/>
      <c r="E288" s="7"/>
      <c r="F288" s="7"/>
      <c r="G288" s="7"/>
      <c r="H288" s="7"/>
      <c r="I288" s="7"/>
      <c r="J288" s="7"/>
      <c r="K288" s="7"/>
      <c r="L288" s="7"/>
      <c r="M288" s="7" t="str">
        <f t="shared" si="0"/>
        <v/>
      </c>
      <c r="N288" s="7"/>
      <c r="O288" s="7"/>
      <c r="P288" s="7"/>
      <c r="Q288" s="7"/>
      <c r="R288" s="7"/>
      <c r="S288" s="7"/>
      <c r="T288" s="7"/>
      <c r="U288" s="7"/>
      <c r="V288" s="7"/>
      <c r="W288" s="7"/>
      <c r="X288" s="7"/>
      <c r="Y288" s="7"/>
      <c r="Z288" s="7"/>
      <c r="AA288" s="7"/>
      <c r="AB288" s="7"/>
      <c r="AC288" s="7"/>
      <c r="AD288" s="7"/>
      <c r="AE288" s="7"/>
      <c r="AF288" s="7"/>
      <c r="AG288" s="7"/>
      <c r="AH288" s="7"/>
      <c r="AI288" s="7"/>
      <c r="AJ288" s="7"/>
    </row>
    <row r="289" spans="1:36" ht="15" customHeight="1">
      <c r="A289" s="7"/>
      <c r="B289" s="7"/>
      <c r="C289" s="7"/>
      <c r="D289" s="7"/>
      <c r="E289" s="7"/>
      <c r="F289" s="7"/>
      <c r="G289" s="7"/>
      <c r="H289" s="7"/>
      <c r="I289" s="7"/>
      <c r="J289" s="7"/>
      <c r="K289" s="7"/>
      <c r="L289" s="7"/>
      <c r="M289" s="7" t="str">
        <f t="shared" si="0"/>
        <v/>
      </c>
      <c r="N289" s="7"/>
      <c r="O289" s="7"/>
      <c r="P289" s="7"/>
      <c r="Q289" s="7"/>
      <c r="R289" s="7"/>
      <c r="S289" s="7"/>
      <c r="T289" s="7"/>
      <c r="U289" s="7"/>
      <c r="V289" s="7"/>
      <c r="W289" s="7"/>
      <c r="X289" s="7"/>
      <c r="Y289" s="7"/>
      <c r="Z289" s="7"/>
      <c r="AA289" s="7"/>
      <c r="AB289" s="7"/>
      <c r="AC289" s="7"/>
      <c r="AD289" s="7"/>
      <c r="AE289" s="7"/>
      <c r="AF289" s="7"/>
      <c r="AG289" s="7"/>
      <c r="AH289" s="7"/>
      <c r="AI289" s="7"/>
      <c r="AJ289" s="7"/>
    </row>
    <row r="290" spans="1:36" ht="15" customHeight="1">
      <c r="A290" s="7"/>
      <c r="B290" s="7"/>
      <c r="C290" s="7"/>
      <c r="D290" s="7"/>
      <c r="E290" s="7"/>
      <c r="F290" s="7"/>
      <c r="G290" s="7"/>
      <c r="H290" s="7"/>
      <c r="I290" s="7"/>
      <c r="J290" s="7"/>
      <c r="K290" s="7"/>
      <c r="L290" s="7"/>
      <c r="M290" s="7" t="str">
        <f t="shared" si="0"/>
        <v/>
      </c>
      <c r="N290" s="7"/>
      <c r="O290" s="7"/>
      <c r="P290" s="7"/>
      <c r="Q290" s="7"/>
      <c r="R290" s="7"/>
      <c r="S290" s="7"/>
      <c r="T290" s="7"/>
      <c r="U290" s="7"/>
      <c r="V290" s="7"/>
      <c r="W290" s="7"/>
      <c r="X290" s="7"/>
      <c r="Y290" s="7"/>
      <c r="Z290" s="7"/>
      <c r="AA290" s="7"/>
      <c r="AB290" s="7"/>
      <c r="AC290" s="7"/>
      <c r="AD290" s="7"/>
      <c r="AE290" s="7"/>
      <c r="AF290" s="7"/>
      <c r="AG290" s="7"/>
      <c r="AH290" s="7"/>
      <c r="AI290" s="7"/>
      <c r="AJ290" s="7"/>
    </row>
    <row r="291" spans="1:36" ht="15" customHeight="1">
      <c r="A291" s="7"/>
      <c r="B291" s="7"/>
      <c r="C291" s="7"/>
      <c r="D291" s="7"/>
      <c r="E291" s="7"/>
      <c r="F291" s="7"/>
      <c r="G291" s="7"/>
      <c r="H291" s="7"/>
      <c r="I291" s="7"/>
      <c r="J291" s="7"/>
      <c r="K291" s="7"/>
      <c r="L291" s="7"/>
      <c r="M291" s="7" t="str">
        <f t="shared" si="0"/>
        <v/>
      </c>
      <c r="N291" s="7"/>
      <c r="O291" s="7"/>
      <c r="P291" s="7"/>
      <c r="Q291" s="7"/>
      <c r="R291" s="7"/>
      <c r="S291" s="7"/>
      <c r="T291" s="7"/>
      <c r="U291" s="7"/>
      <c r="V291" s="7"/>
      <c r="W291" s="7"/>
      <c r="X291" s="7"/>
      <c r="Y291" s="7"/>
      <c r="Z291" s="7"/>
      <c r="AA291" s="7"/>
      <c r="AB291" s="7"/>
      <c r="AC291" s="7"/>
      <c r="AD291" s="7"/>
      <c r="AE291" s="7"/>
      <c r="AF291" s="7"/>
      <c r="AG291" s="7"/>
      <c r="AH291" s="7"/>
      <c r="AI291" s="7"/>
      <c r="AJ291" s="7"/>
    </row>
    <row r="292" spans="1:36" ht="15" customHeight="1">
      <c r="A292" s="7"/>
      <c r="B292" s="7"/>
      <c r="C292" s="7"/>
      <c r="D292" s="7"/>
      <c r="E292" s="7"/>
      <c r="F292" s="7"/>
      <c r="G292" s="7"/>
      <c r="H292" s="7"/>
      <c r="I292" s="7"/>
      <c r="J292" s="7"/>
      <c r="K292" s="7"/>
      <c r="L292" s="7"/>
      <c r="M292" s="7" t="str">
        <f t="shared" si="0"/>
        <v/>
      </c>
      <c r="N292" s="7"/>
      <c r="O292" s="7"/>
      <c r="P292" s="7"/>
      <c r="Q292" s="7"/>
      <c r="R292" s="7"/>
      <c r="S292" s="7"/>
      <c r="T292" s="7"/>
      <c r="U292" s="7"/>
      <c r="V292" s="7"/>
      <c r="W292" s="7"/>
      <c r="X292" s="7"/>
      <c r="Y292" s="7"/>
      <c r="Z292" s="7"/>
      <c r="AA292" s="7"/>
      <c r="AB292" s="7"/>
      <c r="AC292" s="7"/>
      <c r="AD292" s="7"/>
      <c r="AE292" s="7"/>
      <c r="AF292" s="7"/>
      <c r="AG292" s="7"/>
      <c r="AH292" s="7"/>
      <c r="AI292" s="7"/>
      <c r="AJ292" s="7"/>
    </row>
    <row r="293" spans="1:36" ht="15" customHeight="1">
      <c r="A293" s="7"/>
      <c r="B293" s="7"/>
      <c r="C293" s="7"/>
      <c r="D293" s="7"/>
      <c r="E293" s="7"/>
      <c r="F293" s="7"/>
      <c r="G293" s="7"/>
      <c r="H293" s="7"/>
      <c r="I293" s="7"/>
      <c r="J293" s="7"/>
      <c r="K293" s="7"/>
      <c r="L293" s="7"/>
      <c r="M293" s="7" t="str">
        <f t="shared" si="0"/>
        <v/>
      </c>
      <c r="N293" s="7"/>
      <c r="O293" s="7"/>
      <c r="P293" s="7"/>
      <c r="Q293" s="7"/>
      <c r="R293" s="7"/>
      <c r="S293" s="7"/>
      <c r="T293" s="7"/>
      <c r="U293" s="7"/>
      <c r="V293" s="7"/>
      <c r="W293" s="7"/>
      <c r="X293" s="7"/>
      <c r="Y293" s="7"/>
      <c r="Z293" s="7"/>
      <c r="AA293" s="7"/>
      <c r="AB293" s="7"/>
      <c r="AC293" s="7"/>
      <c r="AD293" s="7"/>
      <c r="AE293" s="7"/>
      <c r="AF293" s="7"/>
      <c r="AG293" s="7"/>
      <c r="AH293" s="7"/>
      <c r="AI293" s="7"/>
      <c r="AJ293" s="7"/>
    </row>
    <row r="294" spans="1:36" ht="15" customHeight="1">
      <c r="A294" s="7"/>
      <c r="B294" s="7"/>
      <c r="C294" s="7"/>
      <c r="D294" s="7"/>
      <c r="E294" s="7"/>
      <c r="F294" s="7"/>
      <c r="G294" s="7"/>
      <c r="H294" s="7"/>
      <c r="I294" s="7"/>
      <c r="J294" s="7"/>
      <c r="K294" s="7"/>
      <c r="L294" s="7"/>
      <c r="M294" s="7" t="str">
        <f t="shared" si="0"/>
        <v/>
      </c>
      <c r="N294" s="7"/>
      <c r="O294" s="7"/>
      <c r="P294" s="7"/>
      <c r="Q294" s="7"/>
      <c r="R294" s="7"/>
      <c r="S294" s="7"/>
      <c r="T294" s="7"/>
      <c r="U294" s="7"/>
      <c r="V294" s="7"/>
      <c r="W294" s="7"/>
      <c r="X294" s="7"/>
      <c r="Y294" s="7"/>
      <c r="Z294" s="7"/>
      <c r="AA294" s="7"/>
      <c r="AB294" s="7"/>
      <c r="AC294" s="7"/>
      <c r="AD294" s="7"/>
      <c r="AE294" s="7"/>
      <c r="AF294" s="7"/>
      <c r="AG294" s="7"/>
      <c r="AH294" s="7"/>
      <c r="AI294" s="7"/>
      <c r="AJ294" s="7"/>
    </row>
    <row r="295" spans="1:36" ht="15" customHeight="1">
      <c r="A295" s="7"/>
      <c r="B295" s="7"/>
      <c r="C295" s="7"/>
      <c r="D295" s="7"/>
      <c r="E295" s="7"/>
      <c r="F295" s="7"/>
      <c r="G295" s="7"/>
      <c r="H295" s="7"/>
      <c r="I295" s="7"/>
      <c r="J295" s="7"/>
      <c r="K295" s="7"/>
      <c r="L295" s="7"/>
      <c r="M295" s="7" t="str">
        <f t="shared" si="0"/>
        <v/>
      </c>
      <c r="N295" s="7"/>
      <c r="O295" s="7"/>
      <c r="P295" s="7"/>
      <c r="Q295" s="7"/>
      <c r="R295" s="7"/>
      <c r="S295" s="7"/>
      <c r="T295" s="7"/>
      <c r="U295" s="7"/>
      <c r="V295" s="7"/>
      <c r="W295" s="7"/>
      <c r="X295" s="7"/>
      <c r="Y295" s="7"/>
      <c r="Z295" s="7"/>
      <c r="AA295" s="7"/>
      <c r="AB295" s="7"/>
      <c r="AC295" s="7"/>
      <c r="AD295" s="7"/>
      <c r="AE295" s="7"/>
      <c r="AF295" s="7"/>
      <c r="AG295" s="7"/>
      <c r="AH295" s="7"/>
      <c r="AI295" s="7"/>
      <c r="AJ295" s="7"/>
    </row>
    <row r="296" spans="1:36" ht="15" customHeight="1">
      <c r="A296" s="7"/>
      <c r="B296" s="7"/>
      <c r="C296" s="7"/>
      <c r="D296" s="7"/>
      <c r="E296" s="7"/>
      <c r="F296" s="7"/>
      <c r="G296" s="7"/>
      <c r="H296" s="7"/>
      <c r="I296" s="7"/>
      <c r="J296" s="7"/>
      <c r="K296" s="7"/>
      <c r="L296" s="7"/>
      <c r="M296" s="7" t="str">
        <f t="shared" si="0"/>
        <v/>
      </c>
      <c r="N296" s="7"/>
      <c r="O296" s="7"/>
      <c r="P296" s="7"/>
      <c r="Q296" s="7"/>
      <c r="R296" s="7"/>
      <c r="S296" s="7"/>
      <c r="T296" s="7"/>
      <c r="U296" s="7"/>
      <c r="V296" s="7"/>
      <c r="W296" s="7"/>
      <c r="X296" s="7"/>
      <c r="Y296" s="7"/>
      <c r="Z296" s="7"/>
      <c r="AA296" s="7"/>
      <c r="AB296" s="7"/>
      <c r="AC296" s="7"/>
      <c r="AD296" s="7"/>
      <c r="AE296" s="7"/>
      <c r="AF296" s="7"/>
      <c r="AG296" s="7"/>
      <c r="AH296" s="7"/>
      <c r="AI296" s="7"/>
      <c r="AJ296" s="7"/>
    </row>
    <row r="297" spans="1:36" ht="15" customHeight="1">
      <c r="A297" s="7"/>
      <c r="B297" s="7"/>
      <c r="C297" s="7"/>
      <c r="D297" s="7"/>
      <c r="E297" s="7"/>
      <c r="F297" s="7"/>
      <c r="G297" s="7"/>
      <c r="H297" s="7"/>
      <c r="I297" s="7"/>
      <c r="J297" s="7"/>
      <c r="K297" s="7"/>
      <c r="L297" s="7"/>
      <c r="M297" s="7" t="str">
        <f t="shared" si="0"/>
        <v/>
      </c>
      <c r="N297" s="7"/>
      <c r="O297" s="7"/>
      <c r="P297" s="7"/>
      <c r="Q297" s="7"/>
      <c r="R297" s="7"/>
      <c r="S297" s="7"/>
      <c r="T297" s="7"/>
      <c r="U297" s="7"/>
      <c r="V297" s="7"/>
      <c r="W297" s="7"/>
      <c r="X297" s="7"/>
      <c r="Y297" s="7"/>
      <c r="Z297" s="7"/>
      <c r="AA297" s="7"/>
      <c r="AB297" s="7"/>
      <c r="AC297" s="7"/>
      <c r="AD297" s="7"/>
      <c r="AE297" s="7"/>
      <c r="AF297" s="7"/>
      <c r="AG297" s="7"/>
      <c r="AH297" s="7"/>
      <c r="AI297" s="7"/>
      <c r="AJ297" s="7"/>
    </row>
    <row r="298" spans="1:36" ht="15" customHeight="1">
      <c r="A298" s="7"/>
      <c r="B298" s="7"/>
      <c r="C298" s="7"/>
      <c r="D298" s="7"/>
      <c r="E298" s="7"/>
      <c r="F298" s="7"/>
      <c r="G298" s="7"/>
      <c r="H298" s="7"/>
      <c r="I298" s="7"/>
      <c r="J298" s="7"/>
      <c r="K298" s="7"/>
      <c r="L298" s="7"/>
      <c r="M298" s="7" t="str">
        <f t="shared" si="0"/>
        <v/>
      </c>
      <c r="N298" s="7"/>
      <c r="O298" s="7"/>
      <c r="P298" s="7"/>
      <c r="Q298" s="7"/>
      <c r="R298" s="7"/>
      <c r="S298" s="7"/>
      <c r="T298" s="7"/>
      <c r="U298" s="7"/>
      <c r="V298" s="7"/>
      <c r="W298" s="7"/>
      <c r="X298" s="7"/>
      <c r="Y298" s="7"/>
      <c r="Z298" s="7"/>
      <c r="AA298" s="7"/>
      <c r="AB298" s="7"/>
      <c r="AC298" s="7"/>
      <c r="AD298" s="7"/>
      <c r="AE298" s="7"/>
      <c r="AF298" s="7"/>
      <c r="AG298" s="7"/>
      <c r="AH298" s="7"/>
      <c r="AI298" s="7"/>
      <c r="AJ298" s="7"/>
    </row>
    <row r="299" spans="1:36" ht="15" customHeight="1">
      <c r="A299" s="7"/>
      <c r="B299" s="7"/>
      <c r="C299" s="7"/>
      <c r="D299" s="7"/>
      <c r="E299" s="7"/>
      <c r="F299" s="7"/>
      <c r="G299" s="7"/>
      <c r="H299" s="7"/>
      <c r="I299" s="7"/>
      <c r="J299" s="7"/>
      <c r="K299" s="7"/>
      <c r="L299" s="7"/>
      <c r="M299" s="7" t="str">
        <f t="shared" si="0"/>
        <v/>
      </c>
      <c r="N299" s="7"/>
      <c r="O299" s="7"/>
      <c r="P299" s="7"/>
      <c r="Q299" s="7"/>
      <c r="R299" s="7"/>
      <c r="S299" s="7"/>
      <c r="T299" s="7"/>
      <c r="U299" s="7"/>
      <c r="V299" s="7"/>
      <c r="W299" s="7"/>
      <c r="X299" s="7"/>
      <c r="Y299" s="7"/>
      <c r="Z299" s="7"/>
      <c r="AA299" s="7"/>
      <c r="AB299" s="7"/>
      <c r="AC299" s="7"/>
      <c r="AD299" s="7"/>
      <c r="AE299" s="7"/>
      <c r="AF299" s="7"/>
      <c r="AG299" s="7"/>
      <c r="AH299" s="7"/>
      <c r="AI299" s="7"/>
      <c r="AJ299" s="7"/>
    </row>
    <row r="300" spans="1:36" ht="15" customHeight="1">
      <c r="A300" s="7"/>
      <c r="B300" s="7"/>
      <c r="C300" s="7"/>
      <c r="D300" s="7"/>
      <c r="E300" s="7"/>
      <c r="F300" s="7"/>
      <c r="G300" s="7"/>
      <c r="H300" s="7"/>
      <c r="I300" s="7"/>
      <c r="J300" s="7"/>
      <c r="K300" s="7"/>
      <c r="L300" s="7"/>
      <c r="M300" s="7" t="str">
        <f t="shared" si="0"/>
        <v/>
      </c>
      <c r="N300" s="7"/>
      <c r="O300" s="7"/>
      <c r="P300" s="7"/>
      <c r="Q300" s="7"/>
      <c r="R300" s="7"/>
      <c r="S300" s="7"/>
      <c r="T300" s="7"/>
      <c r="U300" s="7"/>
      <c r="V300" s="7"/>
      <c r="W300" s="7"/>
      <c r="X300" s="7"/>
      <c r="Y300" s="7"/>
      <c r="Z300" s="7"/>
      <c r="AA300" s="7"/>
      <c r="AB300" s="7"/>
      <c r="AC300" s="7"/>
      <c r="AD300" s="7"/>
      <c r="AE300" s="7"/>
      <c r="AF300" s="7"/>
      <c r="AG300" s="7"/>
      <c r="AH300" s="7"/>
      <c r="AI300" s="7"/>
      <c r="AJ300" s="7"/>
    </row>
    <row r="301" spans="1:36" ht="15" customHeight="1">
      <c r="A301" s="7"/>
      <c r="B301" s="7"/>
      <c r="C301" s="7"/>
      <c r="D301" s="7"/>
      <c r="E301" s="7"/>
      <c r="F301" s="7"/>
      <c r="G301" s="7"/>
      <c r="H301" s="7"/>
      <c r="I301" s="7"/>
      <c r="J301" s="7"/>
      <c r="K301" s="7"/>
      <c r="L301" s="7"/>
      <c r="M301" s="7" t="str">
        <f t="shared" si="0"/>
        <v/>
      </c>
      <c r="N301" s="7"/>
      <c r="O301" s="7"/>
      <c r="P301" s="7"/>
      <c r="Q301" s="7"/>
      <c r="R301" s="7"/>
      <c r="S301" s="7"/>
      <c r="T301" s="7"/>
      <c r="U301" s="7"/>
      <c r="V301" s="7"/>
      <c r="W301" s="7"/>
      <c r="X301" s="7"/>
      <c r="Y301" s="7"/>
      <c r="Z301" s="7"/>
      <c r="AA301" s="7"/>
      <c r="AB301" s="7"/>
      <c r="AC301" s="7"/>
      <c r="AD301" s="7"/>
      <c r="AE301" s="7"/>
      <c r="AF301" s="7"/>
      <c r="AG301" s="7"/>
      <c r="AH301" s="7"/>
      <c r="AI301" s="7"/>
      <c r="AJ301" s="7"/>
    </row>
    <row r="302" spans="1:36" ht="15" customHeight="1">
      <c r="A302" s="7"/>
      <c r="B302" s="7"/>
      <c r="C302" s="7"/>
      <c r="D302" s="7"/>
      <c r="E302" s="7"/>
      <c r="F302" s="7"/>
      <c r="G302" s="7"/>
      <c r="H302" s="7"/>
      <c r="I302" s="7"/>
      <c r="J302" s="7"/>
      <c r="K302" s="7"/>
      <c r="L302" s="7"/>
      <c r="M302" s="7" t="str">
        <f t="shared" si="0"/>
        <v/>
      </c>
      <c r="N302" s="7"/>
      <c r="O302" s="7"/>
      <c r="P302" s="7"/>
      <c r="Q302" s="7"/>
      <c r="R302" s="7"/>
      <c r="S302" s="7"/>
      <c r="T302" s="7"/>
      <c r="U302" s="7"/>
      <c r="V302" s="7"/>
      <c r="W302" s="7"/>
      <c r="X302" s="7"/>
      <c r="Y302" s="7"/>
      <c r="Z302" s="7"/>
      <c r="AA302" s="7"/>
      <c r="AB302" s="7"/>
      <c r="AC302" s="7"/>
      <c r="AD302" s="7"/>
      <c r="AE302" s="7"/>
      <c r="AF302" s="7"/>
      <c r="AG302" s="7"/>
      <c r="AH302" s="7"/>
      <c r="AI302" s="7"/>
      <c r="AJ302" s="7"/>
    </row>
    <row r="303" spans="1:36" ht="15" customHeight="1">
      <c r="A303" s="7"/>
      <c r="B303" s="7"/>
      <c r="C303" s="7"/>
      <c r="D303" s="7"/>
      <c r="E303" s="7"/>
      <c r="F303" s="7"/>
      <c r="G303" s="7"/>
      <c r="H303" s="7"/>
      <c r="I303" s="7"/>
      <c r="J303" s="7"/>
      <c r="K303" s="7"/>
      <c r="L303" s="7"/>
      <c r="M303" s="7" t="str">
        <f t="shared" si="0"/>
        <v/>
      </c>
      <c r="N303" s="7"/>
      <c r="O303" s="7"/>
      <c r="P303" s="7"/>
      <c r="Q303" s="7"/>
      <c r="R303" s="7"/>
      <c r="S303" s="7"/>
      <c r="T303" s="7"/>
      <c r="U303" s="7"/>
      <c r="V303" s="7"/>
      <c r="W303" s="7"/>
      <c r="X303" s="7"/>
      <c r="Y303" s="7"/>
      <c r="Z303" s="7"/>
      <c r="AA303" s="7"/>
      <c r="AB303" s="7"/>
      <c r="AC303" s="7"/>
      <c r="AD303" s="7"/>
      <c r="AE303" s="7"/>
      <c r="AF303" s="7"/>
      <c r="AG303" s="7"/>
      <c r="AH303" s="7"/>
      <c r="AI303" s="7"/>
      <c r="AJ303" s="7"/>
    </row>
    <row r="304" spans="1:36" ht="15" customHeight="1">
      <c r="A304" s="7"/>
      <c r="B304" s="7"/>
      <c r="C304" s="7"/>
      <c r="D304" s="7"/>
      <c r="E304" s="7"/>
      <c r="F304" s="7"/>
      <c r="G304" s="7"/>
      <c r="H304" s="7"/>
      <c r="I304" s="7"/>
      <c r="J304" s="7"/>
      <c r="K304" s="7"/>
      <c r="L304" s="7"/>
      <c r="M304" s="7" t="str">
        <f t="shared" si="0"/>
        <v/>
      </c>
      <c r="N304" s="7"/>
      <c r="O304" s="7"/>
      <c r="P304" s="7"/>
      <c r="Q304" s="7"/>
      <c r="R304" s="7"/>
      <c r="S304" s="7"/>
      <c r="T304" s="7"/>
      <c r="U304" s="7"/>
      <c r="V304" s="7"/>
      <c r="W304" s="7"/>
      <c r="X304" s="7"/>
      <c r="Y304" s="7"/>
      <c r="Z304" s="7"/>
      <c r="AA304" s="7"/>
      <c r="AB304" s="7"/>
      <c r="AC304" s="7"/>
      <c r="AD304" s="7"/>
      <c r="AE304" s="7"/>
      <c r="AF304" s="7"/>
      <c r="AG304" s="7"/>
      <c r="AH304" s="7"/>
      <c r="AI304" s="7"/>
      <c r="AJ304" s="7"/>
    </row>
    <row r="305" spans="1:36" ht="15" customHeight="1">
      <c r="A305" s="7"/>
      <c r="B305" s="7"/>
      <c r="C305" s="7"/>
      <c r="D305" s="7"/>
      <c r="E305" s="7"/>
      <c r="F305" s="7"/>
      <c r="G305" s="7"/>
      <c r="H305" s="7"/>
      <c r="I305" s="7"/>
      <c r="J305" s="7"/>
      <c r="K305" s="7"/>
      <c r="L305" s="7"/>
      <c r="M305" s="7" t="str">
        <f t="shared" si="0"/>
        <v/>
      </c>
      <c r="N305" s="7"/>
      <c r="O305" s="7"/>
      <c r="P305" s="7"/>
      <c r="Q305" s="7"/>
      <c r="R305" s="7"/>
      <c r="S305" s="7"/>
      <c r="T305" s="7"/>
      <c r="U305" s="7"/>
      <c r="V305" s="7"/>
      <c r="W305" s="7"/>
      <c r="X305" s="7"/>
      <c r="Y305" s="7"/>
      <c r="Z305" s="7"/>
      <c r="AA305" s="7"/>
      <c r="AB305" s="7"/>
      <c r="AC305" s="7"/>
      <c r="AD305" s="7"/>
      <c r="AE305" s="7"/>
      <c r="AF305" s="7"/>
      <c r="AG305" s="7"/>
      <c r="AH305" s="7"/>
      <c r="AI305" s="7"/>
      <c r="AJ305" s="7"/>
    </row>
    <row r="306" spans="1:36" ht="15" customHeight="1">
      <c r="A306" s="7"/>
      <c r="B306" s="7"/>
      <c r="C306" s="7"/>
      <c r="D306" s="7"/>
      <c r="E306" s="7"/>
      <c r="F306" s="7"/>
      <c r="G306" s="7"/>
      <c r="H306" s="7"/>
      <c r="I306" s="7"/>
      <c r="J306" s="7"/>
      <c r="K306" s="7"/>
      <c r="L306" s="7"/>
      <c r="M306" s="7" t="str">
        <f t="shared" si="0"/>
        <v/>
      </c>
      <c r="N306" s="7"/>
      <c r="O306" s="7"/>
      <c r="P306" s="7"/>
      <c r="Q306" s="7"/>
      <c r="R306" s="7"/>
      <c r="S306" s="7"/>
      <c r="T306" s="7"/>
      <c r="U306" s="7"/>
      <c r="V306" s="7"/>
      <c r="W306" s="7"/>
      <c r="X306" s="7"/>
      <c r="Y306" s="7"/>
      <c r="Z306" s="7"/>
      <c r="AA306" s="7"/>
      <c r="AB306" s="7"/>
      <c r="AC306" s="7"/>
      <c r="AD306" s="7"/>
      <c r="AE306" s="7"/>
      <c r="AF306" s="7"/>
      <c r="AG306" s="7"/>
      <c r="AH306" s="7"/>
      <c r="AI306" s="7"/>
      <c r="AJ306" s="7"/>
    </row>
    <row r="307" spans="1:36" ht="15" customHeight="1">
      <c r="A307" s="7"/>
      <c r="B307" s="7"/>
      <c r="C307" s="7"/>
      <c r="D307" s="7"/>
      <c r="E307" s="7"/>
      <c r="F307" s="7"/>
      <c r="G307" s="7"/>
      <c r="H307" s="7"/>
      <c r="I307" s="7"/>
      <c r="J307" s="7"/>
      <c r="K307" s="7"/>
      <c r="L307" s="7"/>
      <c r="M307" s="7" t="str">
        <f t="shared" si="0"/>
        <v/>
      </c>
      <c r="N307" s="7"/>
      <c r="O307" s="7"/>
      <c r="P307" s="7"/>
      <c r="Q307" s="7"/>
      <c r="R307" s="7"/>
      <c r="S307" s="7"/>
      <c r="T307" s="7"/>
      <c r="U307" s="7"/>
      <c r="V307" s="7"/>
      <c r="W307" s="7"/>
      <c r="X307" s="7"/>
      <c r="Y307" s="7"/>
      <c r="Z307" s="7"/>
      <c r="AA307" s="7"/>
      <c r="AB307" s="7"/>
      <c r="AC307" s="7"/>
      <c r="AD307" s="7"/>
      <c r="AE307" s="7"/>
      <c r="AF307" s="7"/>
      <c r="AG307" s="7"/>
      <c r="AH307" s="7"/>
      <c r="AI307" s="7"/>
      <c r="AJ307" s="7"/>
    </row>
    <row r="308" spans="1:36" ht="15" customHeight="1">
      <c r="A308" s="7"/>
      <c r="B308" s="7"/>
      <c r="C308" s="7"/>
      <c r="D308" s="7"/>
      <c r="E308" s="7"/>
      <c r="F308" s="7"/>
      <c r="G308" s="7"/>
      <c r="H308" s="7"/>
      <c r="I308" s="7"/>
      <c r="J308" s="7"/>
      <c r="K308" s="7"/>
      <c r="L308" s="7"/>
      <c r="M308" s="7" t="str">
        <f t="shared" si="0"/>
        <v/>
      </c>
      <c r="N308" s="7"/>
      <c r="O308" s="7"/>
      <c r="P308" s="7"/>
      <c r="Q308" s="7"/>
      <c r="R308" s="7"/>
      <c r="S308" s="7"/>
      <c r="T308" s="7"/>
      <c r="U308" s="7"/>
      <c r="V308" s="7"/>
      <c r="W308" s="7"/>
      <c r="X308" s="7"/>
      <c r="Y308" s="7"/>
      <c r="Z308" s="7"/>
      <c r="AA308" s="7"/>
      <c r="AB308" s="7"/>
      <c r="AC308" s="7"/>
      <c r="AD308" s="7"/>
      <c r="AE308" s="7"/>
      <c r="AF308" s="7"/>
      <c r="AG308" s="7"/>
      <c r="AH308" s="7"/>
      <c r="AI308" s="7"/>
      <c r="AJ308" s="7"/>
    </row>
    <row r="309" spans="1:36" ht="15" customHeight="1">
      <c r="A309" s="7"/>
      <c r="B309" s="7"/>
      <c r="C309" s="7"/>
      <c r="D309" s="7"/>
      <c r="E309" s="7"/>
      <c r="F309" s="7"/>
      <c r="G309" s="7"/>
      <c r="H309" s="7"/>
      <c r="I309" s="7"/>
      <c r="J309" s="7"/>
      <c r="K309" s="7"/>
      <c r="L309" s="7"/>
      <c r="M309" s="7" t="str">
        <f t="shared" si="0"/>
        <v/>
      </c>
      <c r="N309" s="7"/>
      <c r="O309" s="7"/>
      <c r="P309" s="7"/>
      <c r="Q309" s="7"/>
      <c r="R309" s="7"/>
      <c r="S309" s="7"/>
      <c r="T309" s="7"/>
      <c r="U309" s="7"/>
      <c r="V309" s="7"/>
      <c r="W309" s="7"/>
      <c r="X309" s="7"/>
      <c r="Y309" s="7"/>
      <c r="Z309" s="7"/>
      <c r="AA309" s="7"/>
      <c r="AB309" s="7"/>
      <c r="AC309" s="7"/>
      <c r="AD309" s="7"/>
      <c r="AE309" s="7"/>
      <c r="AF309" s="7"/>
      <c r="AG309" s="7"/>
      <c r="AH309" s="7"/>
      <c r="AI309" s="7"/>
      <c r="AJ309" s="7"/>
    </row>
    <row r="310" spans="1:36" ht="15" customHeight="1">
      <c r="A310" s="7"/>
      <c r="B310" s="7"/>
      <c r="C310" s="7"/>
      <c r="D310" s="7"/>
      <c r="E310" s="7"/>
      <c r="F310" s="7"/>
      <c r="G310" s="7"/>
      <c r="H310" s="7"/>
      <c r="I310" s="7"/>
      <c r="J310" s="7"/>
      <c r="K310" s="7"/>
      <c r="L310" s="7"/>
      <c r="M310" s="7" t="str">
        <f t="shared" si="0"/>
        <v/>
      </c>
      <c r="N310" s="7"/>
      <c r="O310" s="7"/>
      <c r="P310" s="7"/>
      <c r="Q310" s="7"/>
      <c r="R310" s="7"/>
      <c r="S310" s="7"/>
      <c r="T310" s="7"/>
      <c r="U310" s="7"/>
      <c r="V310" s="7"/>
      <c r="W310" s="7"/>
      <c r="X310" s="7"/>
      <c r="Y310" s="7"/>
      <c r="Z310" s="7"/>
      <c r="AA310" s="7"/>
      <c r="AB310" s="7"/>
      <c r="AC310" s="7"/>
      <c r="AD310" s="7"/>
      <c r="AE310" s="7"/>
      <c r="AF310" s="7"/>
      <c r="AG310" s="7"/>
      <c r="AH310" s="7"/>
      <c r="AI310" s="7"/>
      <c r="AJ310" s="7"/>
    </row>
    <row r="311" spans="1:36" ht="15" customHeight="1">
      <c r="A311" s="7"/>
      <c r="B311" s="7"/>
      <c r="C311" s="7"/>
      <c r="D311" s="7"/>
      <c r="E311" s="7"/>
      <c r="F311" s="7"/>
      <c r="G311" s="7"/>
      <c r="H311" s="7"/>
      <c r="I311" s="7"/>
      <c r="J311" s="7"/>
      <c r="K311" s="7"/>
      <c r="L311" s="7"/>
      <c r="M311" s="7" t="str">
        <f t="shared" si="0"/>
        <v/>
      </c>
      <c r="N311" s="7"/>
      <c r="O311" s="7"/>
      <c r="P311" s="7"/>
      <c r="Q311" s="7"/>
      <c r="R311" s="7"/>
      <c r="S311" s="7"/>
      <c r="T311" s="7"/>
      <c r="U311" s="7"/>
      <c r="V311" s="7"/>
      <c r="W311" s="7"/>
      <c r="X311" s="7"/>
      <c r="Y311" s="7"/>
      <c r="Z311" s="7"/>
      <c r="AA311" s="7"/>
      <c r="AB311" s="7"/>
      <c r="AC311" s="7"/>
      <c r="AD311" s="7"/>
      <c r="AE311" s="7"/>
      <c r="AF311" s="7"/>
      <c r="AG311" s="7"/>
      <c r="AH311" s="7"/>
      <c r="AI311" s="7"/>
      <c r="AJ311" s="7"/>
    </row>
    <row r="312" spans="1:36" ht="15" customHeight="1">
      <c r="A312" s="7"/>
      <c r="B312" s="7"/>
      <c r="C312" s="7"/>
      <c r="D312" s="7"/>
      <c r="E312" s="7"/>
      <c r="F312" s="7"/>
      <c r="G312" s="7"/>
      <c r="H312" s="7"/>
      <c r="I312" s="7"/>
      <c r="J312" s="7"/>
      <c r="K312" s="7"/>
      <c r="L312" s="7"/>
      <c r="M312" s="7" t="str">
        <f t="shared" si="0"/>
        <v/>
      </c>
      <c r="N312" s="7"/>
      <c r="O312" s="7"/>
      <c r="P312" s="7"/>
      <c r="Q312" s="7"/>
      <c r="R312" s="7"/>
      <c r="S312" s="7"/>
      <c r="T312" s="7"/>
      <c r="U312" s="7"/>
      <c r="V312" s="7"/>
      <c r="W312" s="7"/>
      <c r="X312" s="7"/>
      <c r="Y312" s="7"/>
      <c r="Z312" s="7"/>
      <c r="AA312" s="7"/>
      <c r="AB312" s="7"/>
      <c r="AC312" s="7"/>
      <c r="AD312" s="7"/>
      <c r="AE312" s="7"/>
      <c r="AF312" s="7"/>
      <c r="AG312" s="7"/>
      <c r="AH312" s="7"/>
      <c r="AI312" s="7"/>
      <c r="AJ312" s="7"/>
    </row>
    <row r="313" spans="1:36" ht="15" customHeight="1">
      <c r="A313" s="7"/>
      <c r="B313" s="7"/>
      <c r="C313" s="7"/>
      <c r="D313" s="7"/>
      <c r="E313" s="7"/>
      <c r="F313" s="7"/>
      <c r="G313" s="7"/>
      <c r="H313" s="7"/>
      <c r="I313" s="7"/>
      <c r="J313" s="7"/>
      <c r="K313" s="7"/>
      <c r="L313" s="7"/>
      <c r="M313" s="7" t="str">
        <f t="shared" si="0"/>
        <v/>
      </c>
      <c r="N313" s="7"/>
      <c r="O313" s="7"/>
      <c r="P313" s="7"/>
      <c r="Q313" s="7"/>
      <c r="R313" s="7"/>
      <c r="S313" s="7"/>
      <c r="T313" s="7"/>
      <c r="U313" s="7"/>
      <c r="V313" s="7"/>
      <c r="W313" s="7"/>
      <c r="X313" s="7"/>
      <c r="Y313" s="7"/>
      <c r="Z313" s="7"/>
      <c r="AA313" s="7"/>
      <c r="AB313" s="7"/>
      <c r="AC313" s="7"/>
      <c r="AD313" s="7"/>
      <c r="AE313" s="7"/>
      <c r="AF313" s="7"/>
      <c r="AG313" s="7"/>
      <c r="AH313" s="7"/>
      <c r="AI313" s="7"/>
      <c r="AJ313" s="7"/>
    </row>
    <row r="314" spans="1:36" ht="15" customHeight="1">
      <c r="A314" s="7"/>
      <c r="B314" s="7"/>
      <c r="C314" s="7"/>
      <c r="D314" s="7"/>
      <c r="E314" s="7"/>
      <c r="F314" s="7"/>
      <c r="G314" s="7"/>
      <c r="H314" s="7"/>
      <c r="I314" s="7"/>
      <c r="J314" s="7"/>
      <c r="K314" s="7"/>
      <c r="L314" s="7"/>
      <c r="M314" s="7" t="str">
        <f t="shared" si="0"/>
        <v/>
      </c>
      <c r="N314" s="7"/>
      <c r="O314" s="7"/>
      <c r="P314" s="7"/>
      <c r="Q314" s="7"/>
      <c r="R314" s="7"/>
      <c r="S314" s="7"/>
      <c r="T314" s="7"/>
      <c r="U314" s="7"/>
      <c r="V314" s="7"/>
      <c r="W314" s="7"/>
      <c r="X314" s="7"/>
      <c r="Y314" s="7"/>
      <c r="Z314" s="7"/>
      <c r="AA314" s="7"/>
      <c r="AB314" s="7"/>
      <c r="AC314" s="7"/>
      <c r="AD314" s="7"/>
      <c r="AE314" s="7"/>
      <c r="AF314" s="7"/>
      <c r="AG314" s="7"/>
      <c r="AH314" s="7"/>
      <c r="AI314" s="7"/>
      <c r="AJ314" s="7"/>
    </row>
    <row r="315" spans="1:36" ht="15" customHeight="1">
      <c r="A315" s="7"/>
      <c r="B315" s="7"/>
      <c r="C315" s="7"/>
      <c r="D315" s="7"/>
      <c r="E315" s="7"/>
      <c r="F315" s="7"/>
      <c r="G315" s="7"/>
      <c r="H315" s="7"/>
      <c r="I315" s="7"/>
      <c r="J315" s="7"/>
      <c r="K315" s="7"/>
      <c r="L315" s="7"/>
      <c r="M315" s="7" t="str">
        <f t="shared" si="0"/>
        <v/>
      </c>
      <c r="N315" s="7"/>
      <c r="O315" s="7"/>
      <c r="P315" s="7"/>
      <c r="Q315" s="7"/>
      <c r="R315" s="7"/>
      <c r="S315" s="7"/>
      <c r="T315" s="7"/>
      <c r="U315" s="7"/>
      <c r="V315" s="7"/>
      <c r="W315" s="7"/>
      <c r="X315" s="7"/>
      <c r="Y315" s="7"/>
      <c r="Z315" s="7"/>
      <c r="AA315" s="7"/>
      <c r="AB315" s="7"/>
      <c r="AC315" s="7"/>
      <c r="AD315" s="7"/>
      <c r="AE315" s="7"/>
      <c r="AF315" s="7"/>
      <c r="AG315" s="7"/>
      <c r="AH315" s="7"/>
      <c r="AI315" s="7"/>
      <c r="AJ315" s="7"/>
    </row>
    <row r="316" spans="1:36" ht="15" customHeight="1">
      <c r="A316" s="7"/>
      <c r="B316" s="7"/>
      <c r="C316" s="7"/>
      <c r="D316" s="7"/>
      <c r="E316" s="7"/>
      <c r="F316" s="7"/>
      <c r="G316" s="7"/>
      <c r="H316" s="7"/>
      <c r="I316" s="7"/>
      <c r="J316" s="7"/>
      <c r="K316" s="7"/>
      <c r="L316" s="7"/>
      <c r="M316" s="7" t="str">
        <f t="shared" si="0"/>
        <v/>
      </c>
      <c r="N316" s="7"/>
      <c r="O316" s="7"/>
      <c r="P316" s="7"/>
      <c r="Q316" s="7"/>
      <c r="R316" s="7"/>
      <c r="S316" s="7"/>
      <c r="T316" s="7"/>
      <c r="U316" s="7"/>
      <c r="V316" s="7"/>
      <c r="W316" s="7"/>
      <c r="X316" s="7"/>
      <c r="Y316" s="7"/>
      <c r="Z316" s="7"/>
      <c r="AA316" s="7"/>
      <c r="AB316" s="7"/>
      <c r="AC316" s="7"/>
      <c r="AD316" s="7"/>
      <c r="AE316" s="7"/>
      <c r="AF316" s="7"/>
      <c r="AG316" s="7"/>
      <c r="AH316" s="7"/>
      <c r="AI316" s="7"/>
      <c r="AJ316" s="7"/>
    </row>
    <row r="317" spans="1:36" ht="15" customHeight="1">
      <c r="A317" s="7"/>
      <c r="B317" s="7"/>
      <c r="C317" s="7"/>
      <c r="D317" s="7"/>
      <c r="E317" s="7"/>
      <c r="F317" s="7"/>
      <c r="G317" s="7"/>
      <c r="H317" s="7"/>
      <c r="I317" s="7"/>
      <c r="J317" s="7"/>
      <c r="K317" s="7"/>
      <c r="L317" s="7"/>
      <c r="M317" s="7" t="str">
        <f t="shared" si="0"/>
        <v/>
      </c>
      <c r="N317" s="7"/>
      <c r="O317" s="7"/>
      <c r="P317" s="7"/>
      <c r="Q317" s="7"/>
      <c r="R317" s="7"/>
      <c r="S317" s="7"/>
      <c r="T317" s="7"/>
      <c r="U317" s="7"/>
      <c r="V317" s="7"/>
      <c r="W317" s="7"/>
      <c r="X317" s="7"/>
      <c r="Y317" s="7"/>
      <c r="Z317" s="7"/>
      <c r="AA317" s="7"/>
      <c r="AB317" s="7"/>
      <c r="AC317" s="7"/>
      <c r="AD317" s="7"/>
      <c r="AE317" s="7"/>
      <c r="AF317" s="7"/>
      <c r="AG317" s="7"/>
      <c r="AH317" s="7"/>
      <c r="AI317" s="7"/>
      <c r="AJ317" s="7"/>
    </row>
    <row r="318" spans="1:36" ht="15" customHeight="1">
      <c r="A318" s="7"/>
      <c r="B318" s="7"/>
      <c r="C318" s="7"/>
      <c r="D318" s="7"/>
      <c r="E318" s="7"/>
      <c r="F318" s="7"/>
      <c r="G318" s="7"/>
      <c r="H318" s="7"/>
      <c r="I318" s="7"/>
      <c r="J318" s="7"/>
      <c r="K318" s="7"/>
      <c r="L318" s="7"/>
      <c r="M318" s="7" t="str">
        <f t="shared" si="0"/>
        <v/>
      </c>
      <c r="N318" s="7"/>
      <c r="O318" s="7"/>
      <c r="P318" s="7"/>
      <c r="Q318" s="7"/>
      <c r="R318" s="7"/>
      <c r="S318" s="7"/>
      <c r="T318" s="7"/>
      <c r="U318" s="7"/>
      <c r="V318" s="7"/>
      <c r="W318" s="7"/>
      <c r="X318" s="7"/>
      <c r="Y318" s="7"/>
      <c r="Z318" s="7"/>
      <c r="AA318" s="7"/>
      <c r="AB318" s="7"/>
      <c r="AC318" s="7"/>
      <c r="AD318" s="7"/>
      <c r="AE318" s="7"/>
      <c r="AF318" s="7"/>
      <c r="AG318" s="7"/>
      <c r="AH318" s="7"/>
      <c r="AI318" s="7"/>
      <c r="AJ318" s="7"/>
    </row>
    <row r="319" spans="1:36" ht="15" customHeight="1">
      <c r="A319" s="7"/>
      <c r="B319" s="7"/>
      <c r="C319" s="7"/>
      <c r="D319" s="7"/>
      <c r="E319" s="7"/>
      <c r="F319" s="7"/>
      <c r="G319" s="7"/>
      <c r="H319" s="7"/>
      <c r="I319" s="7"/>
      <c r="J319" s="7"/>
      <c r="K319" s="7"/>
      <c r="L319" s="7"/>
      <c r="M319" s="7" t="str">
        <f t="shared" si="0"/>
        <v/>
      </c>
      <c r="N319" s="7"/>
      <c r="O319" s="7"/>
      <c r="P319" s="7"/>
      <c r="Q319" s="7"/>
      <c r="R319" s="7"/>
      <c r="S319" s="7"/>
      <c r="T319" s="7"/>
      <c r="U319" s="7"/>
      <c r="V319" s="7"/>
      <c r="W319" s="7"/>
      <c r="X319" s="7"/>
      <c r="Y319" s="7"/>
      <c r="Z319" s="7"/>
      <c r="AA319" s="7"/>
      <c r="AB319" s="7"/>
      <c r="AC319" s="7"/>
      <c r="AD319" s="7"/>
      <c r="AE319" s="7"/>
      <c r="AF319" s="7"/>
      <c r="AG319" s="7"/>
      <c r="AH319" s="7"/>
      <c r="AI319" s="7"/>
      <c r="AJ319" s="7"/>
    </row>
    <row r="320" spans="1:36" ht="15" customHeight="1">
      <c r="A320" s="7"/>
      <c r="B320" s="7"/>
      <c r="C320" s="7"/>
      <c r="D320" s="7"/>
      <c r="E320" s="7"/>
      <c r="F320" s="7"/>
      <c r="G320" s="7"/>
      <c r="H320" s="7"/>
      <c r="I320" s="7"/>
      <c r="J320" s="7"/>
      <c r="K320" s="7"/>
      <c r="L320" s="7"/>
      <c r="M320" s="7" t="str">
        <f t="shared" si="0"/>
        <v/>
      </c>
      <c r="N320" s="7"/>
      <c r="O320" s="7"/>
      <c r="P320" s="7"/>
      <c r="Q320" s="7"/>
      <c r="R320" s="7"/>
      <c r="S320" s="7"/>
      <c r="T320" s="7"/>
      <c r="U320" s="7"/>
      <c r="V320" s="7"/>
      <c r="W320" s="7"/>
      <c r="X320" s="7"/>
      <c r="Y320" s="7"/>
      <c r="Z320" s="7"/>
      <c r="AA320" s="7"/>
      <c r="AB320" s="7"/>
      <c r="AC320" s="7"/>
      <c r="AD320" s="7"/>
      <c r="AE320" s="7"/>
      <c r="AF320" s="7"/>
      <c r="AG320" s="7"/>
      <c r="AH320" s="7"/>
      <c r="AI320" s="7"/>
      <c r="AJ320" s="7"/>
    </row>
    <row r="321" spans="1:36" ht="15" customHeight="1">
      <c r="A321" s="7"/>
      <c r="B321" s="7"/>
      <c r="C321" s="7"/>
      <c r="D321" s="7"/>
      <c r="E321" s="7"/>
      <c r="F321" s="7"/>
      <c r="G321" s="7"/>
      <c r="H321" s="7"/>
      <c r="I321" s="7"/>
      <c r="J321" s="7"/>
      <c r="K321" s="7"/>
      <c r="L321" s="7"/>
      <c r="M321" s="7" t="str">
        <f t="shared" si="0"/>
        <v/>
      </c>
      <c r="N321" s="7"/>
      <c r="O321" s="7"/>
      <c r="P321" s="7"/>
      <c r="Q321" s="7"/>
      <c r="R321" s="7"/>
      <c r="S321" s="7"/>
      <c r="T321" s="7"/>
      <c r="U321" s="7"/>
      <c r="V321" s="7"/>
      <c r="W321" s="7"/>
      <c r="X321" s="7"/>
      <c r="Y321" s="7"/>
      <c r="Z321" s="7"/>
      <c r="AA321" s="7"/>
      <c r="AB321" s="7"/>
      <c r="AC321" s="7"/>
      <c r="AD321" s="7"/>
      <c r="AE321" s="7"/>
      <c r="AF321" s="7"/>
      <c r="AG321" s="7"/>
      <c r="AH321" s="7"/>
      <c r="AI321" s="7"/>
      <c r="AJ321" s="7"/>
    </row>
    <row r="322" spans="1:36" ht="15" customHeight="1">
      <c r="A322" s="7"/>
      <c r="B322" s="7"/>
      <c r="C322" s="7"/>
      <c r="D322" s="7"/>
      <c r="E322" s="7"/>
      <c r="F322" s="7"/>
      <c r="G322" s="7"/>
      <c r="H322" s="7"/>
      <c r="I322" s="7"/>
      <c r="J322" s="7"/>
      <c r="K322" s="7"/>
      <c r="L322" s="7"/>
      <c r="M322" s="7" t="str">
        <f t="shared" si="0"/>
        <v/>
      </c>
      <c r="N322" s="7"/>
      <c r="O322" s="7"/>
      <c r="P322" s="7"/>
      <c r="Q322" s="7"/>
      <c r="R322" s="7"/>
      <c r="S322" s="7"/>
      <c r="T322" s="7"/>
      <c r="U322" s="7"/>
      <c r="V322" s="7"/>
      <c r="W322" s="7"/>
      <c r="X322" s="7"/>
      <c r="Y322" s="7"/>
      <c r="Z322" s="7"/>
      <c r="AA322" s="7"/>
      <c r="AB322" s="7"/>
      <c r="AC322" s="7"/>
      <c r="AD322" s="7"/>
      <c r="AE322" s="7"/>
      <c r="AF322" s="7"/>
      <c r="AG322" s="7"/>
      <c r="AH322" s="7"/>
      <c r="AI322" s="7"/>
      <c r="AJ322" s="7"/>
    </row>
    <row r="323" spans="1:36" ht="15" customHeight="1">
      <c r="A323" s="7"/>
      <c r="B323" s="7"/>
      <c r="C323" s="7"/>
      <c r="D323" s="7"/>
      <c r="E323" s="7"/>
      <c r="F323" s="7"/>
      <c r="G323" s="7"/>
      <c r="H323" s="7"/>
      <c r="I323" s="7"/>
      <c r="J323" s="7"/>
      <c r="K323" s="7"/>
      <c r="L323" s="7"/>
      <c r="M323" s="7" t="str">
        <f t="shared" si="0"/>
        <v/>
      </c>
      <c r="N323" s="7"/>
      <c r="O323" s="7"/>
      <c r="P323" s="7"/>
      <c r="Q323" s="7"/>
      <c r="R323" s="7"/>
      <c r="S323" s="7"/>
      <c r="T323" s="7"/>
      <c r="U323" s="7"/>
      <c r="V323" s="7"/>
      <c r="W323" s="7"/>
      <c r="X323" s="7"/>
      <c r="Y323" s="7"/>
      <c r="Z323" s="7"/>
      <c r="AA323" s="7"/>
      <c r="AB323" s="7"/>
      <c r="AC323" s="7"/>
      <c r="AD323" s="7"/>
      <c r="AE323" s="7"/>
      <c r="AF323" s="7"/>
      <c r="AG323" s="7"/>
      <c r="AH323" s="7"/>
      <c r="AI323" s="7"/>
      <c r="AJ323" s="7"/>
    </row>
    <row r="324" spans="1:36" ht="15" customHeight="1">
      <c r="A324" s="7"/>
      <c r="B324" s="7"/>
      <c r="C324" s="7"/>
      <c r="D324" s="7"/>
      <c r="E324" s="7"/>
      <c r="F324" s="7"/>
      <c r="G324" s="7"/>
      <c r="H324" s="7"/>
      <c r="I324" s="7"/>
      <c r="J324" s="7"/>
      <c r="K324" s="7"/>
      <c r="L324" s="7"/>
      <c r="M324" s="7" t="str">
        <f t="shared" si="0"/>
        <v/>
      </c>
      <c r="N324" s="7"/>
      <c r="O324" s="7"/>
      <c r="P324" s="7"/>
      <c r="Q324" s="7"/>
      <c r="R324" s="7"/>
      <c r="S324" s="7"/>
      <c r="T324" s="7"/>
      <c r="U324" s="7"/>
      <c r="V324" s="7"/>
      <c r="W324" s="7"/>
      <c r="X324" s="7"/>
      <c r="Y324" s="7"/>
      <c r="Z324" s="7"/>
      <c r="AA324" s="7"/>
      <c r="AB324" s="7"/>
      <c r="AC324" s="7"/>
      <c r="AD324" s="7"/>
      <c r="AE324" s="7"/>
      <c r="AF324" s="7"/>
      <c r="AG324" s="7"/>
      <c r="AH324" s="7"/>
      <c r="AI324" s="7"/>
      <c r="AJ324" s="7"/>
    </row>
    <row r="325" spans="1:36" ht="15" customHeight="1">
      <c r="A325" s="7"/>
      <c r="B325" s="7"/>
      <c r="C325" s="7"/>
      <c r="D325" s="7"/>
      <c r="E325" s="7"/>
      <c r="F325" s="7"/>
      <c r="G325" s="7"/>
      <c r="H325" s="7"/>
      <c r="I325" s="7"/>
      <c r="J325" s="7"/>
      <c r="K325" s="7"/>
      <c r="L325" s="7"/>
      <c r="M325" s="7" t="str">
        <f t="shared" si="0"/>
        <v/>
      </c>
      <c r="N325" s="7"/>
      <c r="O325" s="7"/>
      <c r="P325" s="7"/>
      <c r="Q325" s="7"/>
      <c r="R325" s="7"/>
      <c r="S325" s="7"/>
      <c r="T325" s="7"/>
      <c r="U325" s="7"/>
      <c r="V325" s="7"/>
      <c r="W325" s="7"/>
      <c r="X325" s="7"/>
      <c r="Y325" s="7"/>
      <c r="Z325" s="7"/>
      <c r="AA325" s="7"/>
      <c r="AB325" s="7"/>
      <c r="AC325" s="7"/>
      <c r="AD325" s="7"/>
      <c r="AE325" s="7"/>
      <c r="AF325" s="7"/>
      <c r="AG325" s="7"/>
      <c r="AH325" s="7"/>
      <c r="AI325" s="7"/>
      <c r="AJ325" s="7"/>
    </row>
    <row r="326" spans="1:36" ht="15" customHeight="1">
      <c r="A326" s="7"/>
      <c r="B326" s="7"/>
      <c r="C326" s="7"/>
      <c r="D326" s="7"/>
      <c r="E326" s="7"/>
      <c r="F326" s="7"/>
      <c r="G326" s="7"/>
      <c r="H326" s="7"/>
      <c r="I326" s="7"/>
      <c r="J326" s="7"/>
      <c r="K326" s="7"/>
      <c r="L326" s="7"/>
      <c r="M326" s="7" t="str">
        <f t="shared" si="0"/>
        <v/>
      </c>
      <c r="N326" s="7"/>
      <c r="O326" s="7"/>
      <c r="P326" s="7"/>
      <c r="Q326" s="7"/>
      <c r="R326" s="7"/>
      <c r="S326" s="7"/>
      <c r="T326" s="7"/>
      <c r="U326" s="7"/>
      <c r="V326" s="7"/>
      <c r="W326" s="7"/>
      <c r="X326" s="7"/>
      <c r="Y326" s="7"/>
      <c r="Z326" s="7"/>
      <c r="AA326" s="7"/>
      <c r="AB326" s="7"/>
      <c r="AC326" s="7"/>
      <c r="AD326" s="7"/>
      <c r="AE326" s="7"/>
      <c r="AF326" s="7"/>
      <c r="AG326" s="7"/>
      <c r="AH326" s="7"/>
      <c r="AI326" s="7"/>
      <c r="AJ326" s="7"/>
    </row>
    <row r="327" spans="1:36" ht="15" customHeight="1">
      <c r="A327" s="7"/>
      <c r="B327" s="7"/>
      <c r="C327" s="7"/>
      <c r="D327" s="7"/>
      <c r="E327" s="7"/>
      <c r="F327" s="7"/>
      <c r="G327" s="7"/>
      <c r="H327" s="7"/>
      <c r="I327" s="7"/>
      <c r="J327" s="7"/>
      <c r="K327" s="7"/>
      <c r="L327" s="7"/>
      <c r="M327" s="7" t="str">
        <f t="shared" si="0"/>
        <v/>
      </c>
      <c r="N327" s="7"/>
      <c r="O327" s="7"/>
      <c r="P327" s="7"/>
      <c r="Q327" s="7"/>
      <c r="R327" s="7"/>
      <c r="S327" s="7"/>
      <c r="T327" s="7"/>
      <c r="U327" s="7"/>
      <c r="V327" s="7"/>
      <c r="W327" s="7"/>
      <c r="X327" s="7"/>
      <c r="Y327" s="7"/>
      <c r="Z327" s="7"/>
      <c r="AA327" s="7"/>
      <c r="AB327" s="7"/>
      <c r="AC327" s="7"/>
      <c r="AD327" s="7"/>
      <c r="AE327" s="7"/>
      <c r="AF327" s="7"/>
      <c r="AG327" s="7"/>
      <c r="AH327" s="7"/>
      <c r="AI327" s="7"/>
      <c r="AJ327" s="7"/>
    </row>
    <row r="328" spans="1:36" ht="15" customHeight="1">
      <c r="A328" s="7"/>
      <c r="B328" s="7"/>
      <c r="C328" s="7"/>
      <c r="D328" s="7"/>
      <c r="E328" s="7"/>
      <c r="F328" s="7"/>
      <c r="G328" s="7"/>
      <c r="H328" s="7"/>
      <c r="I328" s="7"/>
      <c r="J328" s="7"/>
      <c r="K328" s="7"/>
      <c r="L328" s="7"/>
      <c r="M328" s="7" t="str">
        <f t="shared" si="0"/>
        <v/>
      </c>
      <c r="N328" s="7"/>
      <c r="O328" s="7"/>
      <c r="P328" s="7"/>
      <c r="Q328" s="7"/>
      <c r="R328" s="7"/>
      <c r="S328" s="7"/>
      <c r="T328" s="7"/>
      <c r="U328" s="7"/>
      <c r="V328" s="7"/>
      <c r="W328" s="7"/>
      <c r="X328" s="7"/>
      <c r="Y328" s="7"/>
      <c r="Z328" s="7"/>
      <c r="AA328" s="7"/>
      <c r="AB328" s="7"/>
      <c r="AC328" s="7"/>
      <c r="AD328" s="7"/>
      <c r="AE328" s="7"/>
      <c r="AF328" s="7"/>
      <c r="AG328" s="7"/>
      <c r="AH328" s="7"/>
      <c r="AI328" s="7"/>
      <c r="AJ328" s="7"/>
    </row>
    <row r="329" spans="1:36" ht="15" customHeight="1">
      <c r="A329" s="7"/>
      <c r="B329" s="7"/>
      <c r="C329" s="7"/>
      <c r="D329" s="7"/>
      <c r="E329" s="7"/>
      <c r="F329" s="7"/>
      <c r="G329" s="7"/>
      <c r="H329" s="7"/>
      <c r="I329" s="7"/>
      <c r="J329" s="7"/>
      <c r="K329" s="7"/>
      <c r="L329" s="7"/>
      <c r="M329" s="7" t="str">
        <f t="shared" si="0"/>
        <v/>
      </c>
      <c r="N329" s="7"/>
      <c r="O329" s="7"/>
      <c r="P329" s="7"/>
      <c r="Q329" s="7"/>
      <c r="R329" s="7"/>
      <c r="S329" s="7"/>
      <c r="T329" s="7"/>
      <c r="U329" s="7"/>
      <c r="V329" s="7"/>
      <c r="W329" s="7"/>
      <c r="X329" s="7"/>
      <c r="Y329" s="7"/>
      <c r="Z329" s="7"/>
      <c r="AA329" s="7"/>
      <c r="AB329" s="7"/>
      <c r="AC329" s="7"/>
      <c r="AD329" s="7"/>
      <c r="AE329" s="7"/>
      <c r="AF329" s="7"/>
      <c r="AG329" s="7"/>
      <c r="AH329" s="7"/>
      <c r="AI329" s="7"/>
      <c r="AJ329" s="7"/>
    </row>
    <row r="330" spans="1:36" ht="15" customHeight="1">
      <c r="A330" s="7"/>
      <c r="B330" s="7"/>
      <c r="C330" s="7"/>
      <c r="D330" s="7"/>
      <c r="E330" s="7"/>
      <c r="F330" s="7"/>
      <c r="G330" s="7"/>
      <c r="H330" s="7"/>
      <c r="I330" s="7"/>
      <c r="J330" s="7"/>
      <c r="K330" s="7"/>
      <c r="L330" s="7"/>
      <c r="M330" s="7" t="str">
        <f t="shared" si="0"/>
        <v/>
      </c>
      <c r="N330" s="7"/>
      <c r="O330" s="7"/>
      <c r="P330" s="7"/>
      <c r="Q330" s="7"/>
      <c r="R330" s="7"/>
      <c r="S330" s="7"/>
      <c r="T330" s="7"/>
      <c r="U330" s="7"/>
      <c r="V330" s="7"/>
      <c r="W330" s="7"/>
      <c r="X330" s="7"/>
      <c r="Y330" s="7"/>
      <c r="Z330" s="7"/>
      <c r="AA330" s="7"/>
      <c r="AB330" s="7"/>
      <c r="AC330" s="7"/>
      <c r="AD330" s="7"/>
      <c r="AE330" s="7"/>
      <c r="AF330" s="7"/>
      <c r="AG330" s="7"/>
      <c r="AH330" s="7"/>
      <c r="AI330" s="7"/>
      <c r="AJ330" s="7"/>
    </row>
    <row r="331" spans="1:36" ht="15" customHeight="1">
      <c r="A331" s="7"/>
      <c r="B331" s="7"/>
      <c r="C331" s="7"/>
      <c r="D331" s="7"/>
      <c r="E331" s="7"/>
      <c r="F331" s="7"/>
      <c r="G331" s="7"/>
      <c r="H331" s="7"/>
      <c r="I331" s="7"/>
      <c r="J331" s="7"/>
      <c r="K331" s="7"/>
      <c r="L331" s="7"/>
      <c r="M331" s="7" t="str">
        <f t="shared" si="0"/>
        <v/>
      </c>
      <c r="N331" s="7"/>
      <c r="O331" s="7"/>
      <c r="P331" s="7"/>
      <c r="Q331" s="7"/>
      <c r="R331" s="7"/>
      <c r="S331" s="7"/>
      <c r="T331" s="7"/>
      <c r="U331" s="7"/>
      <c r="V331" s="7"/>
      <c r="W331" s="7"/>
      <c r="X331" s="7"/>
      <c r="Y331" s="7"/>
      <c r="Z331" s="7"/>
      <c r="AA331" s="7"/>
      <c r="AB331" s="7"/>
      <c r="AC331" s="7"/>
      <c r="AD331" s="7"/>
      <c r="AE331" s="7"/>
      <c r="AF331" s="7"/>
      <c r="AG331" s="7"/>
      <c r="AH331" s="7"/>
      <c r="AI331" s="7"/>
      <c r="AJ331" s="7"/>
    </row>
    <row r="332" spans="1:36" ht="15" customHeight="1">
      <c r="A332" s="7"/>
      <c r="B332" s="7"/>
      <c r="C332" s="7"/>
      <c r="D332" s="7"/>
      <c r="E332" s="7"/>
      <c r="F332" s="7"/>
      <c r="G332" s="7"/>
      <c r="H332" s="7"/>
      <c r="I332" s="7"/>
      <c r="J332" s="7"/>
      <c r="K332" s="7"/>
      <c r="L332" s="7"/>
      <c r="M332" s="7" t="str">
        <f t="shared" si="0"/>
        <v/>
      </c>
      <c r="N332" s="7"/>
      <c r="O332" s="7"/>
      <c r="P332" s="7"/>
      <c r="Q332" s="7"/>
      <c r="R332" s="7"/>
      <c r="S332" s="7"/>
      <c r="T332" s="7"/>
      <c r="U332" s="7"/>
      <c r="V332" s="7"/>
      <c r="W332" s="7"/>
      <c r="X332" s="7"/>
      <c r="Y332" s="7"/>
      <c r="Z332" s="7"/>
      <c r="AA332" s="7"/>
      <c r="AB332" s="7"/>
      <c r="AC332" s="7"/>
      <c r="AD332" s="7"/>
      <c r="AE332" s="7"/>
      <c r="AF332" s="7"/>
      <c r="AG332" s="7"/>
      <c r="AH332" s="7"/>
      <c r="AI332" s="7"/>
      <c r="AJ332" s="7"/>
    </row>
    <row r="333" spans="1:36" ht="15" customHeight="1">
      <c r="A333" s="7"/>
      <c r="B333" s="7"/>
      <c r="C333" s="7"/>
      <c r="D333" s="7"/>
      <c r="E333" s="7"/>
      <c r="F333" s="7"/>
      <c r="G333" s="7"/>
      <c r="H333" s="7"/>
      <c r="I333" s="7"/>
      <c r="J333" s="7"/>
      <c r="K333" s="7"/>
      <c r="L333" s="7"/>
      <c r="M333" s="7" t="str">
        <f t="shared" si="0"/>
        <v/>
      </c>
      <c r="N333" s="7"/>
      <c r="O333" s="7"/>
      <c r="P333" s="7"/>
      <c r="Q333" s="7"/>
      <c r="R333" s="7"/>
      <c r="S333" s="7"/>
      <c r="T333" s="7"/>
      <c r="U333" s="7"/>
      <c r="V333" s="7"/>
      <c r="W333" s="7"/>
      <c r="X333" s="7"/>
      <c r="Y333" s="7"/>
      <c r="Z333" s="7"/>
      <c r="AA333" s="7"/>
      <c r="AB333" s="7"/>
      <c r="AC333" s="7"/>
      <c r="AD333" s="7"/>
      <c r="AE333" s="7"/>
      <c r="AF333" s="7"/>
      <c r="AG333" s="7"/>
      <c r="AH333" s="7"/>
      <c r="AI333" s="7"/>
      <c r="AJ333" s="7"/>
    </row>
    <row r="334" spans="1:36" ht="15" customHeight="1">
      <c r="A334" s="7"/>
      <c r="B334" s="7"/>
      <c r="C334" s="7"/>
      <c r="D334" s="7"/>
      <c r="E334" s="7"/>
      <c r="F334" s="7"/>
      <c r="G334" s="7"/>
      <c r="H334" s="7"/>
      <c r="I334" s="7"/>
      <c r="J334" s="7"/>
      <c r="K334" s="7"/>
      <c r="L334" s="7"/>
      <c r="M334" s="7" t="str">
        <f t="shared" si="0"/>
        <v/>
      </c>
      <c r="N334" s="7"/>
      <c r="O334" s="7"/>
      <c r="P334" s="7"/>
      <c r="Q334" s="7"/>
      <c r="R334" s="7"/>
      <c r="S334" s="7"/>
      <c r="T334" s="7"/>
      <c r="U334" s="7"/>
      <c r="V334" s="7"/>
      <c r="W334" s="7"/>
      <c r="X334" s="7"/>
      <c r="Y334" s="7"/>
      <c r="Z334" s="7"/>
      <c r="AA334" s="7"/>
      <c r="AB334" s="7"/>
      <c r="AC334" s="7"/>
      <c r="AD334" s="7"/>
      <c r="AE334" s="7"/>
      <c r="AF334" s="7"/>
      <c r="AG334" s="7"/>
      <c r="AH334" s="7"/>
      <c r="AI334" s="7"/>
      <c r="AJ334" s="7"/>
    </row>
    <row r="335" spans="1:36" ht="15" customHeight="1">
      <c r="A335" s="7"/>
      <c r="B335" s="7"/>
      <c r="C335" s="7"/>
      <c r="D335" s="7"/>
      <c r="E335" s="7"/>
      <c r="F335" s="7"/>
      <c r="G335" s="7"/>
      <c r="H335" s="7"/>
      <c r="I335" s="7"/>
      <c r="J335" s="7"/>
      <c r="K335" s="7"/>
      <c r="L335" s="7"/>
      <c r="M335" s="7" t="str">
        <f t="shared" si="0"/>
        <v/>
      </c>
      <c r="N335" s="7"/>
      <c r="O335" s="7"/>
      <c r="P335" s="7"/>
      <c r="Q335" s="7"/>
      <c r="R335" s="7"/>
      <c r="S335" s="7"/>
      <c r="T335" s="7"/>
      <c r="U335" s="7"/>
      <c r="V335" s="7"/>
      <c r="W335" s="7"/>
      <c r="X335" s="7"/>
      <c r="Y335" s="7"/>
      <c r="Z335" s="7"/>
      <c r="AA335" s="7"/>
      <c r="AB335" s="7"/>
      <c r="AC335" s="7"/>
      <c r="AD335" s="7"/>
      <c r="AE335" s="7"/>
      <c r="AF335" s="7"/>
      <c r="AG335" s="7"/>
      <c r="AH335" s="7"/>
      <c r="AI335" s="7"/>
      <c r="AJ335" s="7"/>
    </row>
    <row r="336" spans="1:36" ht="15" customHeight="1">
      <c r="A336" s="7"/>
      <c r="B336" s="7"/>
      <c r="C336" s="7"/>
      <c r="D336" s="7"/>
      <c r="E336" s="7"/>
      <c r="F336" s="7"/>
      <c r="G336" s="7"/>
      <c r="H336" s="7"/>
      <c r="I336" s="7"/>
      <c r="J336" s="7"/>
      <c r="K336" s="7"/>
      <c r="L336" s="7"/>
      <c r="M336" s="7" t="str">
        <f t="shared" si="0"/>
        <v/>
      </c>
      <c r="N336" s="7"/>
      <c r="O336" s="7"/>
      <c r="P336" s="7"/>
      <c r="Q336" s="7"/>
      <c r="R336" s="7"/>
      <c r="S336" s="7"/>
      <c r="T336" s="7"/>
      <c r="U336" s="7"/>
      <c r="V336" s="7"/>
      <c r="W336" s="7"/>
      <c r="X336" s="7"/>
      <c r="Y336" s="7"/>
      <c r="Z336" s="7"/>
      <c r="AA336" s="7"/>
      <c r="AB336" s="7"/>
      <c r="AC336" s="7"/>
      <c r="AD336" s="7"/>
      <c r="AE336" s="7"/>
      <c r="AF336" s="7"/>
      <c r="AG336" s="7"/>
      <c r="AH336" s="7"/>
      <c r="AI336" s="7"/>
      <c r="AJ336" s="7"/>
    </row>
    <row r="337" spans="1:36" ht="15" customHeight="1">
      <c r="A337" s="7"/>
      <c r="B337" s="7"/>
      <c r="C337" s="7"/>
      <c r="D337" s="7"/>
      <c r="E337" s="7"/>
      <c r="F337" s="7"/>
      <c r="G337" s="7"/>
      <c r="H337" s="7"/>
      <c r="I337" s="7"/>
      <c r="J337" s="7"/>
      <c r="K337" s="7"/>
      <c r="L337" s="7"/>
      <c r="M337" s="7" t="str">
        <f t="shared" si="0"/>
        <v/>
      </c>
      <c r="N337" s="7"/>
      <c r="O337" s="7"/>
      <c r="P337" s="7"/>
      <c r="Q337" s="7"/>
      <c r="R337" s="7"/>
      <c r="S337" s="7"/>
      <c r="T337" s="7"/>
      <c r="U337" s="7"/>
      <c r="V337" s="7"/>
      <c r="W337" s="7"/>
      <c r="X337" s="7"/>
      <c r="Y337" s="7"/>
      <c r="Z337" s="7"/>
      <c r="AA337" s="7"/>
      <c r="AB337" s="7"/>
      <c r="AC337" s="7"/>
      <c r="AD337" s="7"/>
      <c r="AE337" s="7"/>
      <c r="AF337" s="7"/>
      <c r="AG337" s="7"/>
      <c r="AH337" s="7"/>
      <c r="AI337" s="7"/>
      <c r="AJ337" s="7"/>
    </row>
    <row r="338" spans="1:36" ht="15" customHeight="1">
      <c r="A338" s="7"/>
      <c r="B338" s="7"/>
      <c r="C338" s="7"/>
      <c r="D338" s="7"/>
      <c r="E338" s="7"/>
      <c r="F338" s="7"/>
      <c r="G338" s="7"/>
      <c r="H338" s="7"/>
      <c r="I338" s="7"/>
      <c r="J338" s="7"/>
      <c r="K338" s="7"/>
      <c r="L338" s="7"/>
      <c r="M338" s="7" t="str">
        <f t="shared" si="0"/>
        <v/>
      </c>
      <c r="N338" s="7"/>
      <c r="O338" s="7"/>
      <c r="P338" s="7"/>
      <c r="Q338" s="7"/>
      <c r="R338" s="7"/>
      <c r="S338" s="7"/>
      <c r="T338" s="7"/>
      <c r="U338" s="7"/>
      <c r="V338" s="7"/>
      <c r="W338" s="7"/>
      <c r="X338" s="7"/>
      <c r="Y338" s="7"/>
      <c r="Z338" s="7"/>
      <c r="AA338" s="7"/>
      <c r="AB338" s="7"/>
      <c r="AC338" s="7"/>
      <c r="AD338" s="7"/>
      <c r="AE338" s="7"/>
      <c r="AF338" s="7"/>
      <c r="AG338" s="7"/>
      <c r="AH338" s="7"/>
      <c r="AI338" s="7"/>
      <c r="AJ338" s="7"/>
    </row>
    <row r="339" spans="1:36" ht="15" customHeight="1">
      <c r="A339" s="7"/>
      <c r="B339" s="7"/>
      <c r="C339" s="7"/>
      <c r="D339" s="7"/>
      <c r="E339" s="7"/>
      <c r="F339" s="7"/>
      <c r="G339" s="7"/>
      <c r="H339" s="7"/>
      <c r="I339" s="7"/>
      <c r="J339" s="7"/>
      <c r="K339" s="7"/>
      <c r="L339" s="7"/>
      <c r="M339" s="7" t="str">
        <f t="shared" si="0"/>
        <v/>
      </c>
      <c r="N339" s="7"/>
      <c r="O339" s="7"/>
      <c r="P339" s="7"/>
      <c r="Q339" s="7"/>
      <c r="R339" s="7"/>
      <c r="S339" s="7"/>
      <c r="T339" s="7"/>
      <c r="U339" s="7"/>
      <c r="V339" s="7"/>
      <c r="W339" s="7"/>
      <c r="X339" s="7"/>
      <c r="Y339" s="7"/>
      <c r="Z339" s="7"/>
      <c r="AA339" s="7"/>
      <c r="AB339" s="7"/>
      <c r="AC339" s="7"/>
      <c r="AD339" s="7"/>
      <c r="AE339" s="7"/>
      <c r="AF339" s="7"/>
      <c r="AG339" s="7"/>
      <c r="AH339" s="7"/>
      <c r="AI339" s="7"/>
      <c r="AJ339" s="7"/>
    </row>
    <row r="340" spans="1:36" ht="15" customHeight="1">
      <c r="A340" s="7"/>
      <c r="B340" s="7"/>
      <c r="C340" s="7"/>
      <c r="D340" s="7"/>
      <c r="E340" s="7"/>
      <c r="F340" s="7"/>
      <c r="G340" s="7"/>
      <c r="H340" s="7"/>
      <c r="I340" s="7"/>
      <c r="J340" s="7"/>
      <c r="K340" s="7"/>
      <c r="L340" s="7"/>
      <c r="M340" s="7" t="str">
        <f t="shared" si="0"/>
        <v/>
      </c>
      <c r="N340" s="7"/>
      <c r="O340" s="7"/>
      <c r="P340" s="7"/>
      <c r="Q340" s="7"/>
      <c r="R340" s="7"/>
      <c r="S340" s="7"/>
      <c r="T340" s="7"/>
      <c r="U340" s="7"/>
      <c r="V340" s="7"/>
      <c r="W340" s="7"/>
      <c r="X340" s="7"/>
      <c r="Y340" s="7"/>
      <c r="Z340" s="7"/>
      <c r="AA340" s="7"/>
      <c r="AB340" s="7"/>
      <c r="AC340" s="7"/>
      <c r="AD340" s="7"/>
      <c r="AE340" s="7"/>
      <c r="AF340" s="7"/>
      <c r="AG340" s="7"/>
      <c r="AH340" s="7"/>
      <c r="AI340" s="7"/>
      <c r="AJ340" s="7"/>
    </row>
    <row r="341" spans="1:36" ht="15" customHeight="1">
      <c r="A341" s="7"/>
      <c r="B341" s="7"/>
      <c r="C341" s="7"/>
      <c r="D341" s="7"/>
      <c r="E341" s="7"/>
      <c r="F341" s="7"/>
      <c r="G341" s="7"/>
      <c r="H341" s="7"/>
      <c r="I341" s="7"/>
      <c r="J341" s="7"/>
      <c r="K341" s="7"/>
      <c r="L341" s="7"/>
      <c r="M341" s="7" t="str">
        <f t="shared" si="0"/>
        <v/>
      </c>
      <c r="N341" s="7"/>
      <c r="O341" s="7"/>
      <c r="P341" s="7"/>
      <c r="Q341" s="7"/>
      <c r="R341" s="7"/>
      <c r="S341" s="7"/>
      <c r="T341" s="7"/>
      <c r="U341" s="7"/>
      <c r="V341" s="7"/>
      <c r="W341" s="7"/>
      <c r="X341" s="7"/>
      <c r="Y341" s="7"/>
      <c r="Z341" s="7"/>
      <c r="AA341" s="7"/>
      <c r="AB341" s="7"/>
      <c r="AC341" s="7"/>
      <c r="AD341" s="7"/>
      <c r="AE341" s="7"/>
      <c r="AF341" s="7"/>
      <c r="AG341" s="7"/>
      <c r="AH341" s="7"/>
      <c r="AI341" s="7"/>
      <c r="AJ341" s="7"/>
    </row>
    <row r="342" spans="1:36" ht="15" customHeight="1">
      <c r="A342" s="7"/>
      <c r="B342" s="7"/>
      <c r="C342" s="7"/>
      <c r="D342" s="7"/>
      <c r="E342" s="7"/>
      <c r="F342" s="7"/>
      <c r="G342" s="7"/>
      <c r="H342" s="7"/>
      <c r="I342" s="7"/>
      <c r="J342" s="7"/>
      <c r="K342" s="7"/>
      <c r="L342" s="7"/>
      <c r="M342" s="7" t="str">
        <f t="shared" si="0"/>
        <v/>
      </c>
      <c r="N342" s="7"/>
      <c r="O342" s="7"/>
      <c r="P342" s="7"/>
      <c r="Q342" s="7"/>
      <c r="R342" s="7"/>
      <c r="S342" s="7"/>
      <c r="T342" s="7"/>
      <c r="U342" s="7"/>
      <c r="V342" s="7"/>
      <c r="W342" s="7"/>
      <c r="X342" s="7"/>
      <c r="Y342" s="7"/>
      <c r="Z342" s="7"/>
      <c r="AA342" s="7"/>
      <c r="AB342" s="7"/>
      <c r="AC342" s="7"/>
      <c r="AD342" s="7"/>
      <c r="AE342" s="7"/>
      <c r="AF342" s="7"/>
      <c r="AG342" s="7"/>
      <c r="AH342" s="7"/>
      <c r="AI342" s="7"/>
      <c r="AJ342" s="7"/>
    </row>
    <row r="343" spans="1:36" ht="15" customHeight="1">
      <c r="A343" s="7"/>
      <c r="B343" s="7"/>
      <c r="C343" s="7"/>
      <c r="D343" s="7"/>
      <c r="E343" s="7"/>
      <c r="F343" s="7"/>
      <c r="G343" s="7"/>
      <c r="H343" s="7"/>
      <c r="I343" s="7"/>
      <c r="J343" s="7"/>
      <c r="K343" s="7"/>
      <c r="L343" s="7"/>
      <c r="M343" s="7" t="str">
        <f t="shared" si="0"/>
        <v/>
      </c>
      <c r="N343" s="7"/>
      <c r="O343" s="7"/>
      <c r="P343" s="7"/>
      <c r="Q343" s="7"/>
      <c r="R343" s="7"/>
      <c r="S343" s="7"/>
      <c r="T343" s="7"/>
      <c r="U343" s="7"/>
      <c r="V343" s="7"/>
      <c r="W343" s="7"/>
      <c r="X343" s="7"/>
      <c r="Y343" s="7"/>
      <c r="Z343" s="7"/>
      <c r="AA343" s="7"/>
      <c r="AB343" s="7"/>
      <c r="AC343" s="7"/>
      <c r="AD343" s="7"/>
      <c r="AE343" s="7"/>
      <c r="AF343" s="7"/>
      <c r="AG343" s="7"/>
      <c r="AH343" s="7"/>
      <c r="AI343" s="7"/>
      <c r="AJ343" s="7"/>
    </row>
    <row r="344" spans="1:36" ht="15" customHeight="1">
      <c r="A344" s="7"/>
      <c r="B344" s="7"/>
      <c r="C344" s="7"/>
      <c r="D344" s="7"/>
      <c r="E344" s="7"/>
      <c r="F344" s="7"/>
      <c r="G344" s="7"/>
      <c r="H344" s="7"/>
      <c r="I344" s="7"/>
      <c r="J344" s="7"/>
      <c r="K344" s="7"/>
      <c r="L344" s="7"/>
      <c r="M344" s="7" t="str">
        <f t="shared" si="0"/>
        <v/>
      </c>
      <c r="N344" s="7"/>
      <c r="O344" s="7"/>
      <c r="P344" s="7"/>
      <c r="Q344" s="7"/>
      <c r="R344" s="7"/>
      <c r="S344" s="7"/>
      <c r="T344" s="7"/>
      <c r="U344" s="7"/>
      <c r="V344" s="7"/>
      <c r="W344" s="7"/>
      <c r="X344" s="7"/>
      <c r="Y344" s="7"/>
      <c r="Z344" s="7"/>
      <c r="AA344" s="7"/>
      <c r="AB344" s="7"/>
      <c r="AC344" s="7"/>
      <c r="AD344" s="7"/>
      <c r="AE344" s="7"/>
      <c r="AF344" s="7"/>
      <c r="AG344" s="7"/>
      <c r="AH344" s="7"/>
      <c r="AI344" s="7"/>
      <c r="AJ344" s="7"/>
    </row>
    <row r="345" spans="1:36" ht="15" customHeight="1">
      <c r="A345" s="7"/>
      <c r="B345" s="7"/>
      <c r="C345" s="7"/>
      <c r="D345" s="7"/>
      <c r="E345" s="7"/>
      <c r="F345" s="7"/>
      <c r="G345" s="7"/>
      <c r="H345" s="7"/>
      <c r="I345" s="7"/>
      <c r="J345" s="7"/>
      <c r="K345" s="7"/>
      <c r="L345" s="7"/>
      <c r="M345" s="7" t="str">
        <f t="shared" si="0"/>
        <v/>
      </c>
      <c r="N345" s="7"/>
      <c r="O345" s="7"/>
      <c r="P345" s="7"/>
      <c r="Q345" s="7"/>
      <c r="R345" s="7"/>
      <c r="S345" s="7"/>
      <c r="T345" s="7"/>
      <c r="U345" s="7"/>
      <c r="V345" s="7"/>
      <c r="W345" s="7"/>
      <c r="X345" s="7"/>
      <c r="Y345" s="7"/>
      <c r="Z345" s="7"/>
      <c r="AA345" s="7"/>
      <c r="AB345" s="7"/>
      <c r="AC345" s="7"/>
      <c r="AD345" s="7"/>
      <c r="AE345" s="7"/>
      <c r="AF345" s="7"/>
      <c r="AG345" s="7"/>
      <c r="AH345" s="7"/>
      <c r="AI345" s="7"/>
      <c r="AJ345" s="7"/>
    </row>
    <row r="346" spans="1:36" ht="15" customHeight="1">
      <c r="A346" s="7"/>
      <c r="B346" s="7"/>
      <c r="C346" s="7"/>
      <c r="D346" s="7"/>
      <c r="E346" s="7"/>
      <c r="F346" s="7"/>
      <c r="G346" s="7"/>
      <c r="H346" s="7"/>
      <c r="I346" s="7"/>
      <c r="J346" s="7"/>
      <c r="K346" s="7"/>
      <c r="L346" s="7"/>
      <c r="M346" s="7" t="str">
        <f t="shared" si="0"/>
        <v/>
      </c>
      <c r="N346" s="7"/>
      <c r="O346" s="7"/>
      <c r="P346" s="7"/>
      <c r="Q346" s="7"/>
      <c r="R346" s="7"/>
      <c r="S346" s="7"/>
      <c r="T346" s="7"/>
      <c r="U346" s="7"/>
      <c r="V346" s="7"/>
      <c r="W346" s="7"/>
      <c r="X346" s="7"/>
      <c r="Y346" s="7"/>
      <c r="Z346" s="7"/>
      <c r="AA346" s="7"/>
      <c r="AB346" s="7"/>
      <c r="AC346" s="7"/>
      <c r="AD346" s="7"/>
      <c r="AE346" s="7"/>
      <c r="AF346" s="7"/>
      <c r="AG346" s="7"/>
      <c r="AH346" s="7"/>
      <c r="AI346" s="7"/>
      <c r="AJ346" s="7"/>
    </row>
    <row r="347" spans="1:36" ht="15" customHeight="1">
      <c r="A347" s="7"/>
      <c r="B347" s="7"/>
      <c r="C347" s="7"/>
      <c r="D347" s="7"/>
      <c r="E347" s="7"/>
      <c r="F347" s="7"/>
      <c r="G347" s="7"/>
      <c r="H347" s="7"/>
      <c r="I347" s="7"/>
      <c r="J347" s="7"/>
      <c r="K347" s="7"/>
      <c r="L347" s="7"/>
      <c r="M347" s="7" t="str">
        <f t="shared" si="0"/>
        <v/>
      </c>
      <c r="N347" s="7"/>
      <c r="O347" s="7"/>
      <c r="P347" s="7"/>
      <c r="Q347" s="7"/>
      <c r="R347" s="7"/>
      <c r="S347" s="7"/>
      <c r="T347" s="7"/>
      <c r="U347" s="7"/>
      <c r="V347" s="7"/>
      <c r="W347" s="7"/>
      <c r="X347" s="7"/>
      <c r="Y347" s="7"/>
      <c r="Z347" s="7"/>
      <c r="AA347" s="7"/>
      <c r="AB347" s="7"/>
      <c r="AC347" s="7"/>
      <c r="AD347" s="7"/>
      <c r="AE347" s="7"/>
      <c r="AF347" s="7"/>
      <c r="AG347" s="7"/>
      <c r="AH347" s="7"/>
      <c r="AI347" s="7"/>
      <c r="AJ347" s="7"/>
    </row>
    <row r="348" spans="1:36" ht="15" customHeight="1">
      <c r="A348" s="7"/>
      <c r="B348" s="7"/>
      <c r="C348" s="7"/>
      <c r="D348" s="7"/>
      <c r="E348" s="7"/>
      <c r="F348" s="7"/>
      <c r="G348" s="7"/>
      <c r="H348" s="7"/>
      <c r="I348" s="7"/>
      <c r="J348" s="7"/>
      <c r="K348" s="7"/>
      <c r="L348" s="7"/>
      <c r="M348" s="7" t="str">
        <f t="shared" si="0"/>
        <v/>
      </c>
      <c r="N348" s="7"/>
      <c r="O348" s="7"/>
      <c r="P348" s="7"/>
      <c r="Q348" s="7"/>
      <c r="R348" s="7"/>
      <c r="S348" s="7"/>
      <c r="T348" s="7"/>
      <c r="U348" s="7"/>
      <c r="V348" s="7"/>
      <c r="W348" s="7"/>
      <c r="X348" s="7"/>
      <c r="Y348" s="7"/>
      <c r="Z348" s="7"/>
      <c r="AA348" s="7"/>
      <c r="AB348" s="7"/>
      <c r="AC348" s="7"/>
      <c r="AD348" s="7"/>
      <c r="AE348" s="7"/>
      <c r="AF348" s="7"/>
      <c r="AG348" s="7"/>
      <c r="AH348" s="7"/>
      <c r="AI348" s="7"/>
      <c r="AJ348" s="7"/>
    </row>
    <row r="349" spans="1:36" ht="15" customHeight="1">
      <c r="A349" s="7"/>
      <c r="B349" s="7"/>
      <c r="C349" s="7"/>
      <c r="D349" s="7"/>
      <c r="E349" s="7"/>
      <c r="F349" s="7"/>
      <c r="G349" s="7"/>
      <c r="H349" s="7"/>
      <c r="I349" s="7"/>
      <c r="J349" s="7"/>
      <c r="K349" s="7"/>
      <c r="L349" s="7"/>
      <c r="M349" s="7" t="str">
        <f t="shared" si="0"/>
        <v/>
      </c>
      <c r="N349" s="7"/>
      <c r="O349" s="7"/>
      <c r="P349" s="7"/>
      <c r="Q349" s="7"/>
      <c r="R349" s="7"/>
      <c r="S349" s="7"/>
      <c r="T349" s="7"/>
      <c r="U349" s="7"/>
      <c r="V349" s="7"/>
      <c r="W349" s="7"/>
      <c r="X349" s="7"/>
      <c r="Y349" s="7"/>
      <c r="Z349" s="7"/>
      <c r="AA349" s="7"/>
      <c r="AB349" s="7"/>
      <c r="AC349" s="7"/>
      <c r="AD349" s="7"/>
      <c r="AE349" s="7"/>
      <c r="AF349" s="7"/>
      <c r="AG349" s="7"/>
      <c r="AH349" s="7"/>
      <c r="AI349" s="7"/>
      <c r="AJ349" s="7"/>
    </row>
    <row r="350" spans="1:36" ht="15" customHeight="1">
      <c r="A350" s="7"/>
      <c r="B350" s="7"/>
      <c r="C350" s="7"/>
      <c r="D350" s="7"/>
      <c r="E350" s="7"/>
      <c r="F350" s="7"/>
      <c r="G350" s="7"/>
      <c r="H350" s="7"/>
      <c r="I350" s="7"/>
      <c r="J350" s="7"/>
      <c r="K350" s="7"/>
      <c r="L350" s="7"/>
      <c r="M350" s="7" t="str">
        <f t="shared" si="0"/>
        <v/>
      </c>
      <c r="N350" s="7"/>
      <c r="O350" s="7"/>
      <c r="P350" s="7"/>
      <c r="Q350" s="7"/>
      <c r="R350" s="7"/>
      <c r="S350" s="7"/>
      <c r="T350" s="7"/>
      <c r="U350" s="7"/>
      <c r="V350" s="7"/>
      <c r="W350" s="7"/>
      <c r="X350" s="7"/>
      <c r="Y350" s="7"/>
      <c r="Z350" s="7"/>
      <c r="AA350" s="7"/>
      <c r="AB350" s="7"/>
      <c r="AC350" s="7"/>
      <c r="AD350" s="7"/>
      <c r="AE350" s="7"/>
      <c r="AF350" s="7"/>
      <c r="AG350" s="7"/>
      <c r="AH350" s="7"/>
      <c r="AI350" s="7"/>
      <c r="AJ350" s="7"/>
    </row>
    <row r="351" spans="1:36" ht="15" customHeight="1">
      <c r="A351" s="7"/>
      <c r="B351" s="7"/>
      <c r="C351" s="7"/>
      <c r="D351" s="7"/>
      <c r="E351" s="7"/>
      <c r="F351" s="7"/>
      <c r="G351" s="7"/>
      <c r="H351" s="7"/>
      <c r="I351" s="7"/>
      <c r="J351" s="7"/>
      <c r="K351" s="7"/>
      <c r="L351" s="7"/>
      <c r="M351" s="7" t="str">
        <f t="shared" si="0"/>
        <v/>
      </c>
      <c r="N351" s="7"/>
      <c r="O351" s="7"/>
      <c r="P351" s="7"/>
      <c r="Q351" s="7"/>
      <c r="R351" s="7"/>
      <c r="S351" s="7"/>
      <c r="T351" s="7"/>
      <c r="U351" s="7"/>
      <c r="V351" s="7"/>
      <c r="W351" s="7"/>
      <c r="X351" s="7"/>
      <c r="Y351" s="7"/>
      <c r="Z351" s="7"/>
      <c r="AA351" s="7"/>
      <c r="AB351" s="7"/>
      <c r="AC351" s="7"/>
      <c r="AD351" s="7"/>
      <c r="AE351" s="7"/>
      <c r="AF351" s="7"/>
      <c r="AG351" s="7"/>
      <c r="AH351" s="7"/>
      <c r="AI351" s="7"/>
      <c r="AJ351" s="7"/>
    </row>
    <row r="352" spans="1:36" ht="15" customHeight="1">
      <c r="A352" s="7"/>
      <c r="B352" s="7"/>
      <c r="C352" s="7"/>
      <c r="D352" s="7"/>
      <c r="E352" s="7"/>
      <c r="F352" s="7"/>
      <c r="G352" s="7"/>
      <c r="H352" s="7"/>
      <c r="I352" s="7"/>
      <c r="J352" s="7"/>
      <c r="K352" s="7"/>
      <c r="L352" s="7"/>
      <c r="M352" s="7" t="str">
        <f t="shared" si="0"/>
        <v/>
      </c>
      <c r="N352" s="7"/>
      <c r="O352" s="7"/>
      <c r="P352" s="7"/>
      <c r="Q352" s="7"/>
      <c r="R352" s="7"/>
      <c r="S352" s="7"/>
      <c r="T352" s="7"/>
      <c r="U352" s="7"/>
      <c r="V352" s="7"/>
      <c r="W352" s="7"/>
      <c r="X352" s="7"/>
      <c r="Y352" s="7"/>
      <c r="Z352" s="7"/>
      <c r="AA352" s="7"/>
      <c r="AB352" s="7"/>
      <c r="AC352" s="7"/>
      <c r="AD352" s="7"/>
      <c r="AE352" s="7"/>
      <c r="AF352" s="7"/>
      <c r="AG352" s="7"/>
      <c r="AH352" s="7"/>
      <c r="AI352" s="7"/>
      <c r="AJ352" s="7"/>
    </row>
    <row r="353" spans="1:36" ht="15" customHeight="1">
      <c r="A353" s="7"/>
      <c r="B353" s="7"/>
      <c r="C353" s="7"/>
      <c r="D353" s="7"/>
      <c r="E353" s="7"/>
      <c r="F353" s="7"/>
      <c r="G353" s="7"/>
      <c r="H353" s="7"/>
      <c r="I353" s="7"/>
      <c r="J353" s="7"/>
      <c r="K353" s="7"/>
      <c r="L353" s="7"/>
      <c r="M353" s="7" t="str">
        <f t="shared" si="0"/>
        <v/>
      </c>
      <c r="N353" s="7"/>
      <c r="O353" s="7"/>
      <c r="P353" s="7"/>
      <c r="Q353" s="7"/>
      <c r="R353" s="7"/>
      <c r="S353" s="7"/>
      <c r="T353" s="7"/>
      <c r="U353" s="7"/>
      <c r="V353" s="7"/>
      <c r="W353" s="7"/>
      <c r="X353" s="7"/>
      <c r="Y353" s="7"/>
      <c r="Z353" s="7"/>
      <c r="AA353" s="7"/>
      <c r="AB353" s="7"/>
      <c r="AC353" s="7"/>
      <c r="AD353" s="7"/>
      <c r="AE353" s="7"/>
      <c r="AF353" s="7"/>
      <c r="AG353" s="7"/>
      <c r="AH353" s="7"/>
      <c r="AI353" s="7"/>
      <c r="AJ353" s="7"/>
    </row>
    <row r="354" spans="1:36" ht="15" customHeight="1">
      <c r="A354" s="7"/>
      <c r="B354" s="7"/>
      <c r="C354" s="7"/>
      <c r="D354" s="7"/>
      <c r="E354" s="7"/>
      <c r="F354" s="7"/>
      <c r="G354" s="7"/>
      <c r="H354" s="7"/>
      <c r="I354" s="7"/>
      <c r="J354" s="7"/>
      <c r="K354" s="7"/>
      <c r="L354" s="7"/>
      <c r="M354" s="7" t="str">
        <f t="shared" si="0"/>
        <v/>
      </c>
      <c r="N354" s="7"/>
      <c r="O354" s="7"/>
      <c r="P354" s="7"/>
      <c r="Q354" s="7"/>
      <c r="R354" s="7"/>
      <c r="S354" s="7"/>
      <c r="T354" s="7"/>
      <c r="U354" s="7"/>
      <c r="V354" s="7"/>
      <c r="W354" s="7"/>
      <c r="X354" s="7"/>
      <c r="Y354" s="7"/>
      <c r="Z354" s="7"/>
      <c r="AA354" s="7"/>
      <c r="AB354" s="7"/>
      <c r="AC354" s="7"/>
      <c r="AD354" s="7"/>
      <c r="AE354" s="7"/>
      <c r="AF354" s="7"/>
      <c r="AG354" s="7"/>
      <c r="AH354" s="7"/>
      <c r="AI354" s="7"/>
      <c r="AJ354" s="7"/>
    </row>
    <row r="355" spans="1:36" ht="15" customHeight="1">
      <c r="A355" s="7"/>
      <c r="B355" s="7"/>
      <c r="C355" s="7"/>
      <c r="D355" s="7"/>
      <c r="E355" s="7"/>
      <c r="F355" s="7"/>
      <c r="G355" s="7"/>
      <c r="H355" s="7"/>
      <c r="I355" s="7"/>
      <c r="J355" s="7"/>
      <c r="K355" s="7"/>
      <c r="L355" s="7"/>
      <c r="M355" s="7" t="str">
        <f t="shared" si="0"/>
        <v/>
      </c>
      <c r="N355" s="7"/>
      <c r="O355" s="7"/>
      <c r="P355" s="7"/>
      <c r="Q355" s="7"/>
      <c r="R355" s="7"/>
      <c r="S355" s="7"/>
      <c r="T355" s="7"/>
      <c r="U355" s="7"/>
      <c r="V355" s="7"/>
      <c r="W355" s="7"/>
      <c r="X355" s="7"/>
      <c r="Y355" s="7"/>
      <c r="Z355" s="7"/>
      <c r="AA355" s="7"/>
      <c r="AB355" s="7"/>
      <c r="AC355" s="7"/>
      <c r="AD355" s="7"/>
      <c r="AE355" s="7"/>
      <c r="AF355" s="7"/>
      <c r="AG355" s="7"/>
      <c r="AH355" s="7"/>
      <c r="AI355" s="7"/>
      <c r="AJ355" s="7"/>
    </row>
    <row r="356" spans="1:36" ht="15" customHeight="1">
      <c r="A356" s="7"/>
      <c r="B356" s="7"/>
      <c r="C356" s="7"/>
      <c r="D356" s="7"/>
      <c r="E356" s="7"/>
      <c r="F356" s="7"/>
      <c r="G356" s="7"/>
      <c r="H356" s="7"/>
      <c r="I356" s="7"/>
      <c r="J356" s="7"/>
      <c r="K356" s="7"/>
      <c r="L356" s="7"/>
      <c r="M356" s="7" t="str">
        <f t="shared" si="0"/>
        <v/>
      </c>
      <c r="N356" s="7"/>
      <c r="O356" s="7"/>
      <c r="P356" s="7"/>
      <c r="Q356" s="7"/>
      <c r="R356" s="7"/>
      <c r="S356" s="7"/>
      <c r="T356" s="7"/>
      <c r="U356" s="7"/>
      <c r="V356" s="7"/>
      <c r="W356" s="7"/>
      <c r="X356" s="7"/>
      <c r="Y356" s="7"/>
      <c r="Z356" s="7"/>
      <c r="AA356" s="7"/>
      <c r="AB356" s="7"/>
      <c r="AC356" s="7"/>
      <c r="AD356" s="7"/>
      <c r="AE356" s="7"/>
      <c r="AF356" s="7"/>
      <c r="AG356" s="7"/>
      <c r="AH356" s="7"/>
      <c r="AI356" s="7"/>
      <c r="AJ356" s="7"/>
    </row>
    <row r="357" spans="1:36" ht="15" customHeight="1">
      <c r="A357" s="7"/>
      <c r="B357" s="7"/>
      <c r="C357" s="7"/>
      <c r="D357" s="7"/>
      <c r="E357" s="7"/>
      <c r="F357" s="7"/>
      <c r="G357" s="7"/>
      <c r="H357" s="7"/>
      <c r="I357" s="7"/>
      <c r="J357" s="7"/>
      <c r="K357" s="7"/>
      <c r="L357" s="7"/>
      <c r="M357" s="7" t="str">
        <f t="shared" si="0"/>
        <v/>
      </c>
      <c r="N357" s="7"/>
      <c r="O357" s="7"/>
      <c r="P357" s="7"/>
      <c r="Q357" s="7"/>
      <c r="R357" s="7"/>
      <c r="S357" s="7"/>
      <c r="T357" s="7"/>
      <c r="U357" s="7"/>
      <c r="V357" s="7"/>
      <c r="W357" s="7"/>
      <c r="X357" s="7"/>
      <c r="Y357" s="7"/>
      <c r="Z357" s="7"/>
      <c r="AA357" s="7"/>
      <c r="AB357" s="7"/>
      <c r="AC357" s="7"/>
      <c r="AD357" s="7"/>
      <c r="AE357" s="7"/>
      <c r="AF357" s="7"/>
      <c r="AG357" s="7"/>
      <c r="AH357" s="7"/>
      <c r="AI357" s="7"/>
      <c r="AJ357" s="7"/>
    </row>
    <row r="358" spans="1:36" ht="15" customHeight="1">
      <c r="A358" s="7"/>
      <c r="B358" s="7"/>
      <c r="C358" s="7"/>
      <c r="D358" s="7"/>
      <c r="E358" s="7"/>
      <c r="F358" s="7"/>
      <c r="G358" s="7"/>
      <c r="H358" s="7"/>
      <c r="I358" s="7"/>
      <c r="J358" s="7"/>
      <c r="K358" s="7"/>
      <c r="L358" s="7"/>
      <c r="M358" s="7" t="str">
        <f t="shared" si="0"/>
        <v/>
      </c>
      <c r="N358" s="7"/>
      <c r="O358" s="7"/>
      <c r="P358" s="7"/>
      <c r="Q358" s="7"/>
      <c r="R358" s="7"/>
      <c r="S358" s="7"/>
      <c r="T358" s="7"/>
      <c r="U358" s="7"/>
      <c r="V358" s="7"/>
      <c r="W358" s="7"/>
      <c r="X358" s="7"/>
      <c r="Y358" s="7"/>
      <c r="Z358" s="7"/>
      <c r="AA358" s="7"/>
      <c r="AB358" s="7"/>
      <c r="AC358" s="7"/>
      <c r="AD358" s="7"/>
      <c r="AE358" s="7"/>
      <c r="AF358" s="7"/>
      <c r="AG358" s="7"/>
      <c r="AH358" s="7"/>
      <c r="AI358" s="7"/>
      <c r="AJ358" s="7"/>
    </row>
    <row r="359" spans="1:36" ht="15" customHeight="1">
      <c r="A359" s="7"/>
      <c r="B359" s="7"/>
      <c r="C359" s="7"/>
      <c r="D359" s="7"/>
      <c r="E359" s="7"/>
      <c r="F359" s="7"/>
      <c r="G359" s="7"/>
      <c r="H359" s="7"/>
      <c r="I359" s="7"/>
      <c r="J359" s="7"/>
      <c r="K359" s="7"/>
      <c r="L359" s="7"/>
      <c r="M359" s="7" t="str">
        <f t="shared" si="0"/>
        <v/>
      </c>
      <c r="N359" s="7"/>
      <c r="O359" s="7"/>
      <c r="P359" s="7"/>
      <c r="Q359" s="7"/>
      <c r="R359" s="7"/>
      <c r="S359" s="7"/>
      <c r="T359" s="7"/>
      <c r="U359" s="7"/>
      <c r="V359" s="7"/>
      <c r="W359" s="7"/>
      <c r="X359" s="7"/>
      <c r="Y359" s="7"/>
      <c r="Z359" s="7"/>
      <c r="AA359" s="7"/>
      <c r="AB359" s="7"/>
      <c r="AC359" s="7"/>
      <c r="AD359" s="7"/>
      <c r="AE359" s="7"/>
      <c r="AF359" s="7"/>
      <c r="AG359" s="7"/>
      <c r="AH359" s="7"/>
      <c r="AI359" s="7"/>
      <c r="AJ359" s="7"/>
    </row>
    <row r="360" spans="1:36" ht="15" customHeight="1">
      <c r="A360" s="7"/>
      <c r="B360" s="7"/>
      <c r="C360" s="7"/>
      <c r="D360" s="7"/>
      <c r="E360" s="7"/>
      <c r="F360" s="7"/>
      <c r="G360" s="7"/>
      <c r="H360" s="7"/>
      <c r="I360" s="7"/>
      <c r="J360" s="7"/>
      <c r="K360" s="7"/>
      <c r="L360" s="7"/>
      <c r="M360" s="7" t="str">
        <f t="shared" si="0"/>
        <v/>
      </c>
      <c r="N360" s="7"/>
      <c r="O360" s="7"/>
      <c r="P360" s="7"/>
      <c r="Q360" s="7"/>
      <c r="R360" s="7"/>
      <c r="S360" s="7"/>
      <c r="T360" s="7"/>
      <c r="U360" s="7"/>
      <c r="V360" s="7"/>
      <c r="W360" s="7"/>
      <c r="X360" s="7"/>
      <c r="Y360" s="7"/>
      <c r="Z360" s="7"/>
      <c r="AA360" s="7"/>
      <c r="AB360" s="7"/>
      <c r="AC360" s="7"/>
      <c r="AD360" s="7"/>
      <c r="AE360" s="7"/>
      <c r="AF360" s="7"/>
      <c r="AG360" s="7"/>
      <c r="AH360" s="7"/>
      <c r="AI360" s="7"/>
      <c r="AJ360" s="7"/>
    </row>
    <row r="361" spans="1:36" ht="15" customHeight="1">
      <c r="A361" s="7"/>
      <c r="B361" s="7"/>
      <c r="C361" s="7"/>
      <c r="D361" s="7"/>
      <c r="E361" s="7"/>
      <c r="F361" s="7"/>
      <c r="G361" s="7"/>
      <c r="H361" s="7"/>
      <c r="I361" s="7"/>
      <c r="J361" s="7"/>
      <c r="K361" s="7"/>
      <c r="L361" s="7"/>
      <c r="M361" s="7" t="str">
        <f t="shared" si="0"/>
        <v/>
      </c>
      <c r="N361" s="7"/>
      <c r="O361" s="7"/>
      <c r="P361" s="7"/>
      <c r="Q361" s="7"/>
      <c r="R361" s="7"/>
      <c r="S361" s="7"/>
      <c r="T361" s="7"/>
      <c r="U361" s="7"/>
      <c r="V361" s="7"/>
      <c r="W361" s="7"/>
      <c r="X361" s="7"/>
      <c r="Y361" s="7"/>
      <c r="Z361" s="7"/>
      <c r="AA361" s="7"/>
      <c r="AB361" s="7"/>
      <c r="AC361" s="7"/>
      <c r="AD361" s="7"/>
      <c r="AE361" s="7"/>
      <c r="AF361" s="7"/>
      <c r="AG361" s="7"/>
      <c r="AH361" s="7"/>
      <c r="AI361" s="7"/>
      <c r="AJ361" s="7"/>
    </row>
    <row r="362" spans="1:36" ht="15" customHeight="1">
      <c r="A362" s="7"/>
      <c r="B362" s="7"/>
      <c r="C362" s="7"/>
      <c r="D362" s="7"/>
      <c r="E362" s="7"/>
      <c r="F362" s="7"/>
      <c r="G362" s="7"/>
      <c r="H362" s="7"/>
      <c r="I362" s="7"/>
      <c r="J362" s="7"/>
      <c r="K362" s="7"/>
      <c r="L362" s="7"/>
      <c r="M362" s="7" t="str">
        <f t="shared" si="0"/>
        <v/>
      </c>
      <c r="N362" s="7"/>
      <c r="O362" s="7"/>
      <c r="P362" s="7"/>
      <c r="Q362" s="7"/>
      <c r="R362" s="7"/>
      <c r="S362" s="7"/>
      <c r="T362" s="7"/>
      <c r="U362" s="7"/>
      <c r="V362" s="7"/>
      <c r="W362" s="7"/>
      <c r="X362" s="7"/>
      <c r="Y362" s="7"/>
      <c r="Z362" s="7"/>
      <c r="AA362" s="7"/>
      <c r="AB362" s="7"/>
      <c r="AC362" s="7"/>
      <c r="AD362" s="7"/>
      <c r="AE362" s="7"/>
      <c r="AF362" s="7"/>
      <c r="AG362" s="7"/>
      <c r="AH362" s="7"/>
      <c r="AI362" s="7"/>
      <c r="AJ362" s="7"/>
    </row>
    <row r="363" spans="1:36" ht="15" customHeight="1">
      <c r="A363" s="7"/>
      <c r="B363" s="7"/>
      <c r="C363" s="7"/>
      <c r="D363" s="7"/>
      <c r="E363" s="7"/>
      <c r="F363" s="7"/>
      <c r="G363" s="7"/>
      <c r="H363" s="7"/>
      <c r="I363" s="7"/>
      <c r="J363" s="7"/>
      <c r="K363" s="7"/>
      <c r="L363" s="7"/>
      <c r="M363" s="7" t="str">
        <f t="shared" si="0"/>
        <v/>
      </c>
      <c r="N363" s="7"/>
      <c r="O363" s="7"/>
      <c r="P363" s="7"/>
      <c r="Q363" s="7"/>
      <c r="R363" s="7"/>
      <c r="S363" s="7"/>
      <c r="T363" s="7"/>
      <c r="U363" s="7"/>
      <c r="V363" s="7"/>
      <c r="W363" s="7"/>
      <c r="X363" s="7"/>
      <c r="Y363" s="7"/>
      <c r="Z363" s="7"/>
      <c r="AA363" s="7"/>
      <c r="AB363" s="7"/>
      <c r="AC363" s="7"/>
      <c r="AD363" s="7"/>
      <c r="AE363" s="7"/>
      <c r="AF363" s="7"/>
      <c r="AG363" s="7"/>
      <c r="AH363" s="7"/>
      <c r="AI363" s="7"/>
      <c r="AJ363" s="7"/>
    </row>
    <row r="364" spans="1:36" ht="15" customHeight="1">
      <c r="A364" s="7"/>
      <c r="B364" s="7"/>
      <c r="C364" s="7"/>
      <c r="D364" s="7"/>
      <c r="E364" s="7"/>
      <c r="F364" s="7"/>
      <c r="G364" s="7"/>
      <c r="H364" s="7"/>
      <c r="I364" s="7"/>
      <c r="J364" s="7"/>
      <c r="K364" s="7"/>
      <c r="L364" s="7"/>
      <c r="M364" s="7" t="str">
        <f t="shared" si="0"/>
        <v/>
      </c>
      <c r="N364" s="7"/>
      <c r="O364" s="7"/>
      <c r="P364" s="7"/>
      <c r="Q364" s="7"/>
      <c r="R364" s="7"/>
      <c r="S364" s="7"/>
      <c r="T364" s="7"/>
      <c r="U364" s="7"/>
      <c r="V364" s="7"/>
      <c r="W364" s="7"/>
      <c r="X364" s="7"/>
      <c r="Y364" s="7"/>
      <c r="Z364" s="7"/>
      <c r="AA364" s="7"/>
      <c r="AB364" s="7"/>
      <c r="AC364" s="7"/>
      <c r="AD364" s="7"/>
      <c r="AE364" s="7"/>
      <c r="AF364" s="7"/>
      <c r="AG364" s="7"/>
      <c r="AH364" s="7"/>
      <c r="AI364" s="7"/>
      <c r="AJ364" s="7"/>
    </row>
    <row r="365" spans="1:36" ht="15" customHeight="1">
      <c r="A365" s="7"/>
      <c r="B365" s="7"/>
      <c r="C365" s="7"/>
      <c r="D365" s="7"/>
      <c r="E365" s="7"/>
      <c r="F365" s="7"/>
      <c r="G365" s="7"/>
      <c r="H365" s="7"/>
      <c r="I365" s="7"/>
      <c r="J365" s="7"/>
      <c r="K365" s="7"/>
      <c r="L365" s="7"/>
      <c r="M365" s="7" t="str">
        <f t="shared" si="0"/>
        <v/>
      </c>
      <c r="N365" s="7"/>
      <c r="O365" s="7"/>
      <c r="P365" s="7"/>
      <c r="Q365" s="7"/>
      <c r="R365" s="7"/>
      <c r="S365" s="7"/>
      <c r="T365" s="7"/>
      <c r="U365" s="7"/>
      <c r="V365" s="7"/>
      <c r="W365" s="7"/>
      <c r="X365" s="7"/>
      <c r="Y365" s="7"/>
      <c r="Z365" s="7"/>
      <c r="AA365" s="7"/>
      <c r="AB365" s="7"/>
      <c r="AC365" s="7"/>
      <c r="AD365" s="7"/>
      <c r="AE365" s="7"/>
      <c r="AF365" s="7"/>
      <c r="AG365" s="7"/>
      <c r="AH365" s="7"/>
      <c r="AI365" s="7"/>
      <c r="AJ365" s="7"/>
    </row>
    <row r="366" spans="1:36" ht="15" customHeight="1">
      <c r="A366" s="7"/>
      <c r="B366" s="7"/>
      <c r="C366" s="7"/>
      <c r="D366" s="7"/>
      <c r="E366" s="7"/>
      <c r="F366" s="7"/>
      <c r="G366" s="7"/>
      <c r="H366" s="7"/>
      <c r="I366" s="7"/>
      <c r="J366" s="7"/>
      <c r="K366" s="7"/>
      <c r="L366" s="7"/>
      <c r="M366" s="7" t="str">
        <f t="shared" si="0"/>
        <v/>
      </c>
      <c r="N366" s="7"/>
      <c r="O366" s="7"/>
      <c r="P366" s="7"/>
      <c r="Q366" s="7"/>
      <c r="R366" s="7"/>
      <c r="S366" s="7"/>
      <c r="T366" s="7"/>
      <c r="U366" s="7"/>
      <c r="V366" s="7"/>
      <c r="W366" s="7"/>
      <c r="X366" s="7"/>
      <c r="Y366" s="7"/>
      <c r="Z366" s="7"/>
      <c r="AA366" s="7"/>
      <c r="AB366" s="7"/>
      <c r="AC366" s="7"/>
      <c r="AD366" s="7"/>
      <c r="AE366" s="7"/>
      <c r="AF366" s="7"/>
      <c r="AG366" s="7"/>
      <c r="AH366" s="7"/>
      <c r="AI366" s="7"/>
      <c r="AJ366" s="7"/>
    </row>
    <row r="367" spans="1:36" ht="15" customHeight="1">
      <c r="A367" s="7"/>
      <c r="B367" s="7"/>
      <c r="C367" s="7"/>
      <c r="D367" s="7"/>
      <c r="E367" s="7"/>
      <c r="F367" s="7"/>
      <c r="G367" s="7"/>
      <c r="H367" s="7"/>
      <c r="I367" s="7"/>
      <c r="J367" s="7"/>
      <c r="K367" s="7"/>
      <c r="L367" s="7"/>
      <c r="M367" s="7" t="str">
        <f t="shared" si="0"/>
        <v/>
      </c>
      <c r="N367" s="7"/>
      <c r="O367" s="7"/>
      <c r="P367" s="7"/>
      <c r="Q367" s="7"/>
      <c r="R367" s="7"/>
      <c r="S367" s="7"/>
      <c r="T367" s="7"/>
      <c r="U367" s="7"/>
      <c r="V367" s="7"/>
      <c r="W367" s="7"/>
      <c r="X367" s="7"/>
      <c r="Y367" s="7"/>
      <c r="Z367" s="7"/>
      <c r="AA367" s="7"/>
      <c r="AB367" s="7"/>
      <c r="AC367" s="7"/>
      <c r="AD367" s="7"/>
      <c r="AE367" s="7"/>
      <c r="AF367" s="7"/>
      <c r="AG367" s="7"/>
      <c r="AH367" s="7"/>
      <c r="AI367" s="7"/>
      <c r="AJ367" s="7"/>
    </row>
    <row r="368" spans="1:36" ht="15" customHeight="1">
      <c r="A368" s="7"/>
      <c r="B368" s="7"/>
      <c r="C368" s="7"/>
      <c r="D368" s="7"/>
      <c r="E368" s="7"/>
      <c r="F368" s="7"/>
      <c r="G368" s="7"/>
      <c r="H368" s="7"/>
      <c r="I368" s="7"/>
      <c r="J368" s="7"/>
      <c r="K368" s="7"/>
      <c r="L368" s="7"/>
      <c r="M368" s="7" t="str">
        <f t="shared" si="0"/>
        <v/>
      </c>
      <c r="N368" s="7"/>
      <c r="O368" s="7"/>
      <c r="P368" s="7"/>
      <c r="Q368" s="7"/>
      <c r="R368" s="7"/>
      <c r="S368" s="7"/>
      <c r="T368" s="7"/>
      <c r="U368" s="7"/>
      <c r="V368" s="7"/>
      <c r="W368" s="7"/>
      <c r="X368" s="7"/>
      <c r="Y368" s="7"/>
      <c r="Z368" s="7"/>
      <c r="AA368" s="7"/>
      <c r="AB368" s="7"/>
      <c r="AC368" s="7"/>
      <c r="AD368" s="7"/>
      <c r="AE368" s="7"/>
      <c r="AF368" s="7"/>
      <c r="AG368" s="7"/>
      <c r="AH368" s="7"/>
      <c r="AI368" s="7"/>
      <c r="AJ368" s="7"/>
    </row>
    <row r="369" spans="1:36" ht="15" customHeight="1">
      <c r="A369" s="7"/>
      <c r="B369" s="7"/>
      <c r="C369" s="7"/>
      <c r="D369" s="7"/>
      <c r="E369" s="7"/>
      <c r="F369" s="7"/>
      <c r="G369" s="7"/>
      <c r="H369" s="7"/>
      <c r="I369" s="7"/>
      <c r="J369" s="7"/>
      <c r="K369" s="7"/>
      <c r="L369" s="7"/>
      <c r="M369" s="7" t="str">
        <f t="shared" si="0"/>
        <v/>
      </c>
      <c r="N369" s="7"/>
      <c r="O369" s="7"/>
      <c r="P369" s="7"/>
      <c r="Q369" s="7"/>
      <c r="R369" s="7"/>
      <c r="S369" s="7"/>
      <c r="T369" s="7"/>
      <c r="U369" s="7"/>
      <c r="V369" s="7"/>
      <c r="W369" s="7"/>
      <c r="X369" s="7"/>
      <c r="Y369" s="7"/>
      <c r="Z369" s="7"/>
      <c r="AA369" s="7"/>
      <c r="AB369" s="7"/>
      <c r="AC369" s="7"/>
      <c r="AD369" s="7"/>
      <c r="AE369" s="7"/>
      <c r="AF369" s="7"/>
      <c r="AG369" s="7"/>
      <c r="AH369" s="7"/>
      <c r="AI369" s="7"/>
      <c r="AJ369" s="7"/>
    </row>
    <row r="370" spans="1:36" ht="15" customHeight="1">
      <c r="A370" s="7"/>
      <c r="B370" s="7"/>
      <c r="C370" s="7"/>
      <c r="D370" s="7"/>
      <c r="E370" s="7"/>
      <c r="F370" s="7"/>
      <c r="G370" s="7"/>
      <c r="H370" s="7"/>
      <c r="I370" s="7"/>
      <c r="J370" s="7"/>
      <c r="K370" s="7"/>
      <c r="L370" s="7"/>
      <c r="M370" s="7" t="str">
        <f t="shared" si="0"/>
        <v/>
      </c>
      <c r="N370" s="7"/>
      <c r="O370" s="7"/>
      <c r="P370" s="7"/>
      <c r="Q370" s="7"/>
      <c r="R370" s="7"/>
      <c r="S370" s="7"/>
      <c r="T370" s="7"/>
      <c r="U370" s="7"/>
      <c r="V370" s="7"/>
      <c r="W370" s="7"/>
      <c r="X370" s="7"/>
      <c r="Y370" s="7"/>
      <c r="Z370" s="7"/>
      <c r="AA370" s="7"/>
      <c r="AB370" s="7"/>
      <c r="AC370" s="7"/>
      <c r="AD370" s="7"/>
      <c r="AE370" s="7"/>
      <c r="AF370" s="7"/>
      <c r="AG370" s="7"/>
      <c r="AH370" s="7"/>
      <c r="AI370" s="7"/>
      <c r="AJ370" s="7"/>
    </row>
    <row r="371" spans="1:36" ht="15" customHeight="1">
      <c r="A371" s="7"/>
      <c r="B371" s="7"/>
      <c r="C371" s="7"/>
      <c r="D371" s="7"/>
      <c r="E371" s="7"/>
      <c r="F371" s="7"/>
      <c r="G371" s="7"/>
      <c r="H371" s="7"/>
      <c r="I371" s="7"/>
      <c r="J371" s="7"/>
      <c r="K371" s="7"/>
      <c r="L371" s="7"/>
      <c r="M371" s="7" t="str">
        <f t="shared" si="0"/>
        <v/>
      </c>
      <c r="N371" s="7"/>
      <c r="O371" s="7"/>
      <c r="P371" s="7"/>
      <c r="Q371" s="7"/>
      <c r="R371" s="7"/>
      <c r="S371" s="7"/>
      <c r="T371" s="7"/>
      <c r="U371" s="7"/>
      <c r="V371" s="7"/>
      <c r="W371" s="7"/>
      <c r="X371" s="7"/>
      <c r="Y371" s="7"/>
      <c r="Z371" s="7"/>
      <c r="AA371" s="7"/>
      <c r="AB371" s="7"/>
      <c r="AC371" s="7"/>
      <c r="AD371" s="7"/>
      <c r="AE371" s="7"/>
      <c r="AF371" s="7"/>
      <c r="AG371" s="7"/>
      <c r="AH371" s="7"/>
      <c r="AI371" s="7"/>
      <c r="AJ371" s="7"/>
    </row>
    <row r="372" spans="1:36" ht="15" customHeight="1">
      <c r="A372" s="7"/>
      <c r="B372" s="7"/>
      <c r="C372" s="7"/>
      <c r="D372" s="7"/>
      <c r="E372" s="7"/>
      <c r="F372" s="7"/>
      <c r="G372" s="7"/>
      <c r="H372" s="7"/>
      <c r="I372" s="7"/>
      <c r="J372" s="7"/>
      <c r="K372" s="7"/>
      <c r="L372" s="7"/>
      <c r="M372" s="7" t="str">
        <f t="shared" si="0"/>
        <v/>
      </c>
      <c r="N372" s="7"/>
      <c r="O372" s="7"/>
      <c r="P372" s="7"/>
      <c r="Q372" s="7"/>
      <c r="R372" s="7"/>
      <c r="S372" s="7"/>
      <c r="T372" s="7"/>
      <c r="U372" s="7"/>
      <c r="V372" s="7"/>
      <c r="W372" s="7"/>
      <c r="X372" s="7"/>
      <c r="Y372" s="7"/>
      <c r="Z372" s="7"/>
      <c r="AA372" s="7"/>
      <c r="AB372" s="7"/>
      <c r="AC372" s="7"/>
      <c r="AD372" s="7"/>
      <c r="AE372" s="7"/>
      <c r="AF372" s="7"/>
      <c r="AG372" s="7"/>
      <c r="AH372" s="7"/>
      <c r="AI372" s="7"/>
      <c r="AJ372" s="7"/>
    </row>
    <row r="373" spans="1:36" ht="15" customHeight="1">
      <c r="A373" s="7"/>
      <c r="B373" s="7"/>
      <c r="C373" s="7"/>
      <c r="D373" s="7"/>
      <c r="E373" s="7"/>
      <c r="F373" s="7"/>
      <c r="G373" s="7"/>
      <c r="H373" s="7"/>
      <c r="I373" s="7"/>
      <c r="J373" s="7"/>
      <c r="K373" s="7"/>
      <c r="L373" s="7"/>
      <c r="M373" s="7" t="str">
        <f t="shared" si="0"/>
        <v/>
      </c>
      <c r="N373" s="7"/>
      <c r="O373" s="7"/>
      <c r="P373" s="7"/>
      <c r="Q373" s="7"/>
      <c r="R373" s="7"/>
      <c r="S373" s="7"/>
      <c r="T373" s="7"/>
      <c r="U373" s="7"/>
      <c r="V373" s="7"/>
      <c r="W373" s="7"/>
      <c r="X373" s="7"/>
      <c r="Y373" s="7"/>
      <c r="Z373" s="7"/>
      <c r="AA373" s="7"/>
      <c r="AB373" s="7"/>
      <c r="AC373" s="7"/>
      <c r="AD373" s="7"/>
      <c r="AE373" s="7"/>
      <c r="AF373" s="7"/>
      <c r="AG373" s="7"/>
      <c r="AH373" s="7"/>
      <c r="AI373" s="7"/>
      <c r="AJ373" s="7"/>
    </row>
    <row r="374" spans="1:36" ht="15" customHeight="1">
      <c r="A374" s="7"/>
      <c r="B374" s="7"/>
      <c r="C374" s="7"/>
      <c r="D374" s="7"/>
      <c r="E374" s="7"/>
      <c r="F374" s="7"/>
      <c r="G374" s="7"/>
      <c r="H374" s="7"/>
      <c r="I374" s="7"/>
      <c r="J374" s="7"/>
      <c r="K374" s="7"/>
      <c r="L374" s="7"/>
      <c r="M374" s="7" t="str">
        <f t="shared" si="0"/>
        <v/>
      </c>
      <c r="N374" s="7"/>
      <c r="O374" s="7"/>
      <c r="P374" s="7"/>
      <c r="Q374" s="7"/>
      <c r="R374" s="7"/>
      <c r="S374" s="7"/>
      <c r="T374" s="7"/>
      <c r="U374" s="7"/>
      <c r="V374" s="7"/>
      <c r="W374" s="7"/>
      <c r="X374" s="7"/>
      <c r="Y374" s="7"/>
      <c r="Z374" s="7"/>
      <c r="AA374" s="7"/>
      <c r="AB374" s="7"/>
      <c r="AC374" s="7"/>
      <c r="AD374" s="7"/>
      <c r="AE374" s="7"/>
      <c r="AF374" s="7"/>
      <c r="AG374" s="7"/>
      <c r="AH374" s="7"/>
      <c r="AI374" s="7"/>
      <c r="AJ374" s="7"/>
    </row>
    <row r="375" spans="1:36" ht="15" customHeight="1">
      <c r="A375" s="7"/>
      <c r="B375" s="7"/>
      <c r="C375" s="7"/>
      <c r="D375" s="7"/>
      <c r="E375" s="7"/>
      <c r="F375" s="7"/>
      <c r="G375" s="7"/>
      <c r="H375" s="7"/>
      <c r="I375" s="7"/>
      <c r="J375" s="7"/>
      <c r="K375" s="7"/>
      <c r="L375" s="7"/>
      <c r="M375" s="7" t="str">
        <f t="shared" si="0"/>
        <v/>
      </c>
      <c r="N375" s="7"/>
      <c r="O375" s="7"/>
      <c r="P375" s="7"/>
      <c r="Q375" s="7"/>
      <c r="R375" s="7"/>
      <c r="S375" s="7"/>
      <c r="T375" s="7"/>
      <c r="U375" s="7"/>
      <c r="V375" s="7"/>
      <c r="W375" s="7"/>
      <c r="X375" s="7"/>
      <c r="Y375" s="7"/>
      <c r="Z375" s="7"/>
      <c r="AA375" s="7"/>
      <c r="AB375" s="7"/>
      <c r="AC375" s="7"/>
      <c r="AD375" s="7"/>
      <c r="AE375" s="7"/>
      <c r="AF375" s="7"/>
      <c r="AG375" s="7"/>
      <c r="AH375" s="7"/>
      <c r="AI375" s="7"/>
      <c r="AJ375" s="7"/>
    </row>
    <row r="376" spans="1:36" ht="15" customHeight="1">
      <c r="A376" s="7"/>
      <c r="B376" s="7"/>
      <c r="C376" s="7"/>
      <c r="D376" s="7"/>
      <c r="E376" s="7"/>
      <c r="F376" s="7"/>
      <c r="G376" s="7"/>
      <c r="H376" s="7"/>
      <c r="I376" s="7"/>
      <c r="J376" s="7"/>
      <c r="K376" s="7"/>
      <c r="L376" s="7"/>
      <c r="M376" s="7" t="str">
        <f t="shared" si="0"/>
        <v/>
      </c>
      <c r="N376" s="7"/>
      <c r="O376" s="7"/>
      <c r="P376" s="7"/>
      <c r="Q376" s="7"/>
      <c r="R376" s="7"/>
      <c r="S376" s="7"/>
      <c r="T376" s="7"/>
      <c r="U376" s="7"/>
      <c r="V376" s="7"/>
      <c r="W376" s="7"/>
      <c r="X376" s="7"/>
      <c r="Y376" s="7"/>
      <c r="Z376" s="7"/>
      <c r="AA376" s="7"/>
      <c r="AB376" s="7"/>
      <c r="AC376" s="7"/>
      <c r="AD376" s="7"/>
      <c r="AE376" s="7"/>
      <c r="AF376" s="7"/>
      <c r="AG376" s="7"/>
      <c r="AH376" s="7"/>
      <c r="AI376" s="7"/>
      <c r="AJ376" s="7"/>
    </row>
    <row r="377" spans="1:36" ht="15" customHeight="1">
      <c r="A377" s="7"/>
      <c r="B377" s="7"/>
      <c r="C377" s="7"/>
      <c r="D377" s="7"/>
      <c r="E377" s="7"/>
      <c r="F377" s="7"/>
      <c r="G377" s="7"/>
      <c r="H377" s="7"/>
      <c r="I377" s="7"/>
      <c r="J377" s="7"/>
      <c r="K377" s="7"/>
      <c r="L377" s="7"/>
      <c r="M377" s="7" t="str">
        <f t="shared" si="0"/>
        <v/>
      </c>
      <c r="N377" s="7"/>
      <c r="O377" s="7"/>
      <c r="P377" s="7"/>
      <c r="Q377" s="7"/>
      <c r="R377" s="7"/>
      <c r="S377" s="7"/>
      <c r="T377" s="7"/>
      <c r="U377" s="7"/>
      <c r="V377" s="7"/>
      <c r="W377" s="7"/>
      <c r="X377" s="7"/>
      <c r="Y377" s="7"/>
      <c r="Z377" s="7"/>
      <c r="AA377" s="7"/>
      <c r="AB377" s="7"/>
      <c r="AC377" s="7"/>
      <c r="AD377" s="7"/>
      <c r="AE377" s="7"/>
      <c r="AF377" s="7"/>
      <c r="AG377" s="7"/>
      <c r="AH377" s="7"/>
      <c r="AI377" s="7"/>
      <c r="AJ377" s="7"/>
    </row>
    <row r="378" spans="1:36" ht="15" customHeight="1">
      <c r="A378" s="7"/>
      <c r="B378" s="7"/>
      <c r="C378" s="7"/>
      <c r="D378" s="7"/>
      <c r="E378" s="7"/>
      <c r="F378" s="7"/>
      <c r="G378" s="7"/>
      <c r="H378" s="7"/>
      <c r="I378" s="7"/>
      <c r="J378" s="7"/>
      <c r="K378" s="7"/>
      <c r="L378" s="7"/>
      <c r="M378" s="7" t="str">
        <f t="shared" si="0"/>
        <v/>
      </c>
      <c r="N378" s="7"/>
      <c r="O378" s="7"/>
      <c r="P378" s="7"/>
      <c r="Q378" s="7"/>
      <c r="R378" s="7"/>
      <c r="S378" s="7"/>
      <c r="T378" s="7"/>
      <c r="U378" s="7"/>
      <c r="V378" s="7"/>
      <c r="W378" s="7"/>
      <c r="X378" s="7"/>
      <c r="Y378" s="7"/>
      <c r="Z378" s="7"/>
      <c r="AA378" s="7"/>
      <c r="AB378" s="7"/>
      <c r="AC378" s="7"/>
      <c r="AD378" s="7"/>
      <c r="AE378" s="7"/>
      <c r="AF378" s="7"/>
      <c r="AG378" s="7"/>
      <c r="AH378" s="7"/>
      <c r="AI378" s="7"/>
      <c r="AJ378" s="7"/>
    </row>
    <row r="379" spans="1:36" ht="15" customHeight="1">
      <c r="A379" s="7"/>
      <c r="B379" s="7"/>
      <c r="C379" s="7"/>
      <c r="D379" s="7"/>
      <c r="E379" s="7"/>
      <c r="F379" s="7"/>
      <c r="G379" s="7"/>
      <c r="H379" s="7"/>
      <c r="I379" s="7"/>
      <c r="J379" s="7"/>
      <c r="K379" s="7"/>
      <c r="L379" s="7"/>
      <c r="M379" s="7" t="str">
        <f t="shared" si="0"/>
        <v/>
      </c>
      <c r="N379" s="7"/>
      <c r="O379" s="7"/>
      <c r="P379" s="7"/>
      <c r="Q379" s="7"/>
      <c r="R379" s="7"/>
      <c r="S379" s="7"/>
      <c r="T379" s="7"/>
      <c r="U379" s="7"/>
      <c r="V379" s="7"/>
      <c r="W379" s="7"/>
      <c r="X379" s="7"/>
      <c r="Y379" s="7"/>
      <c r="Z379" s="7"/>
      <c r="AA379" s="7"/>
      <c r="AB379" s="7"/>
      <c r="AC379" s="7"/>
      <c r="AD379" s="7"/>
      <c r="AE379" s="7"/>
      <c r="AF379" s="7"/>
      <c r="AG379" s="7"/>
      <c r="AH379" s="7"/>
      <c r="AI379" s="7"/>
      <c r="AJ379" s="7"/>
    </row>
    <row r="380" spans="1:36" ht="15" customHeight="1">
      <c r="A380" s="7"/>
      <c r="B380" s="7"/>
      <c r="C380" s="7"/>
      <c r="D380" s="7"/>
      <c r="E380" s="7"/>
      <c r="F380" s="7"/>
      <c r="G380" s="7"/>
      <c r="H380" s="7"/>
      <c r="I380" s="7"/>
      <c r="J380" s="7"/>
      <c r="K380" s="7"/>
      <c r="L380" s="7"/>
      <c r="M380" s="7" t="str">
        <f t="shared" si="0"/>
        <v/>
      </c>
      <c r="N380" s="7"/>
      <c r="O380" s="7"/>
      <c r="P380" s="7"/>
      <c r="Q380" s="7"/>
      <c r="R380" s="7"/>
      <c r="S380" s="7"/>
      <c r="T380" s="7"/>
      <c r="U380" s="7"/>
      <c r="V380" s="7"/>
      <c r="W380" s="7"/>
      <c r="X380" s="7"/>
      <c r="Y380" s="7"/>
      <c r="Z380" s="7"/>
      <c r="AA380" s="7"/>
      <c r="AB380" s="7"/>
      <c r="AC380" s="7"/>
      <c r="AD380" s="7"/>
      <c r="AE380" s="7"/>
      <c r="AF380" s="7"/>
      <c r="AG380" s="7"/>
      <c r="AH380" s="7"/>
      <c r="AI380" s="7"/>
      <c r="AJ380" s="7"/>
    </row>
    <row r="381" spans="1:36" ht="15" customHeight="1">
      <c r="A381" s="7"/>
      <c r="B381" s="7"/>
      <c r="C381" s="7"/>
      <c r="D381" s="7"/>
      <c r="E381" s="7"/>
      <c r="F381" s="7"/>
      <c r="G381" s="7"/>
      <c r="H381" s="7"/>
      <c r="I381" s="7"/>
      <c r="J381" s="7"/>
      <c r="K381" s="7"/>
      <c r="L381" s="7"/>
      <c r="M381" s="7" t="str">
        <f t="shared" si="0"/>
        <v/>
      </c>
      <c r="N381" s="7"/>
      <c r="O381" s="7"/>
      <c r="P381" s="7"/>
      <c r="Q381" s="7"/>
      <c r="R381" s="7"/>
      <c r="S381" s="7"/>
      <c r="T381" s="7"/>
      <c r="U381" s="7"/>
      <c r="V381" s="7"/>
      <c r="W381" s="7"/>
      <c r="X381" s="7"/>
      <c r="Y381" s="7"/>
      <c r="Z381" s="7"/>
      <c r="AA381" s="7"/>
      <c r="AB381" s="7"/>
      <c r="AC381" s="7"/>
      <c r="AD381" s="7"/>
      <c r="AE381" s="7"/>
      <c r="AF381" s="7"/>
      <c r="AG381" s="7"/>
      <c r="AH381" s="7"/>
      <c r="AI381" s="7"/>
      <c r="AJ381" s="7"/>
    </row>
    <row r="382" spans="1:36" ht="15" customHeight="1">
      <c r="A382" s="7"/>
      <c r="B382" s="7"/>
      <c r="C382" s="7"/>
      <c r="D382" s="7"/>
      <c r="E382" s="7"/>
      <c r="F382" s="7"/>
      <c r="G382" s="7"/>
      <c r="H382" s="7"/>
      <c r="I382" s="7"/>
      <c r="J382" s="7"/>
      <c r="K382" s="7"/>
      <c r="L382" s="7"/>
      <c r="M382" s="7" t="str">
        <f t="shared" si="0"/>
        <v/>
      </c>
      <c r="N382" s="7"/>
      <c r="O382" s="7"/>
      <c r="P382" s="7"/>
      <c r="Q382" s="7"/>
      <c r="R382" s="7"/>
      <c r="S382" s="7"/>
      <c r="T382" s="7"/>
      <c r="U382" s="7"/>
      <c r="V382" s="7"/>
      <c r="W382" s="7"/>
      <c r="X382" s="7"/>
      <c r="Y382" s="7"/>
      <c r="Z382" s="7"/>
      <c r="AA382" s="7"/>
      <c r="AB382" s="7"/>
      <c r="AC382" s="7"/>
      <c r="AD382" s="7"/>
      <c r="AE382" s="7"/>
      <c r="AF382" s="7"/>
      <c r="AG382" s="7"/>
      <c r="AH382" s="7"/>
      <c r="AI382" s="7"/>
      <c r="AJ382" s="7"/>
    </row>
    <row r="383" spans="1:36" ht="15" customHeight="1">
      <c r="A383" s="7"/>
      <c r="B383" s="7"/>
      <c r="C383" s="7"/>
      <c r="D383" s="7"/>
      <c r="E383" s="7"/>
      <c r="F383" s="7"/>
      <c r="G383" s="7"/>
      <c r="H383" s="7"/>
      <c r="I383" s="7"/>
      <c r="J383" s="7"/>
      <c r="K383" s="7"/>
      <c r="L383" s="7"/>
      <c r="M383" s="7" t="str">
        <f t="shared" si="0"/>
        <v/>
      </c>
      <c r="N383" s="7"/>
      <c r="O383" s="7"/>
      <c r="P383" s="7"/>
      <c r="Q383" s="7"/>
      <c r="R383" s="7"/>
      <c r="S383" s="7"/>
      <c r="T383" s="7"/>
      <c r="U383" s="7"/>
      <c r="V383" s="7"/>
      <c r="W383" s="7"/>
      <c r="X383" s="7"/>
      <c r="Y383" s="7"/>
      <c r="Z383" s="7"/>
      <c r="AA383" s="7"/>
      <c r="AB383" s="7"/>
      <c r="AC383" s="7"/>
      <c r="AD383" s="7"/>
      <c r="AE383" s="7"/>
      <c r="AF383" s="7"/>
      <c r="AG383" s="7"/>
      <c r="AH383" s="7"/>
      <c r="AI383" s="7"/>
      <c r="AJ383" s="7"/>
    </row>
    <row r="384" spans="1:36" ht="15" customHeight="1">
      <c r="A384" s="7"/>
      <c r="B384" s="7"/>
      <c r="C384" s="7"/>
      <c r="D384" s="7"/>
      <c r="E384" s="7"/>
      <c r="F384" s="7"/>
      <c r="G384" s="7"/>
      <c r="H384" s="7"/>
      <c r="I384" s="7"/>
      <c r="J384" s="7"/>
      <c r="K384" s="7"/>
      <c r="L384" s="7"/>
      <c r="M384" s="7" t="str">
        <f t="shared" si="0"/>
        <v/>
      </c>
      <c r="N384" s="7"/>
      <c r="O384" s="7"/>
      <c r="P384" s="7"/>
      <c r="Q384" s="7"/>
      <c r="R384" s="7"/>
      <c r="S384" s="7"/>
      <c r="T384" s="7"/>
      <c r="U384" s="7"/>
      <c r="V384" s="7"/>
      <c r="W384" s="7"/>
      <c r="X384" s="7"/>
      <c r="Y384" s="7"/>
      <c r="Z384" s="7"/>
      <c r="AA384" s="7"/>
      <c r="AB384" s="7"/>
      <c r="AC384" s="7"/>
      <c r="AD384" s="7"/>
      <c r="AE384" s="7"/>
      <c r="AF384" s="7"/>
      <c r="AG384" s="7"/>
      <c r="AH384" s="7"/>
      <c r="AI384" s="7"/>
      <c r="AJ384" s="7"/>
    </row>
    <row r="385" spans="1:36" ht="15" customHeight="1">
      <c r="A385" s="7"/>
      <c r="B385" s="7"/>
      <c r="C385" s="7"/>
      <c r="D385" s="7"/>
      <c r="E385" s="7"/>
      <c r="F385" s="7"/>
      <c r="G385" s="7"/>
      <c r="H385" s="7"/>
      <c r="I385" s="7"/>
      <c r="J385" s="7"/>
      <c r="K385" s="7"/>
      <c r="L385" s="7"/>
      <c r="M385" s="7" t="str">
        <f t="shared" si="0"/>
        <v/>
      </c>
      <c r="N385" s="7"/>
      <c r="O385" s="7"/>
      <c r="P385" s="7"/>
      <c r="Q385" s="7"/>
      <c r="R385" s="7"/>
      <c r="S385" s="7"/>
      <c r="T385" s="7"/>
      <c r="U385" s="7"/>
      <c r="V385" s="7"/>
      <c r="W385" s="7"/>
      <c r="X385" s="7"/>
      <c r="Y385" s="7"/>
      <c r="Z385" s="7"/>
      <c r="AA385" s="7"/>
      <c r="AB385" s="7"/>
      <c r="AC385" s="7"/>
      <c r="AD385" s="7"/>
      <c r="AE385" s="7"/>
      <c r="AF385" s="7"/>
      <c r="AG385" s="7"/>
      <c r="AH385" s="7"/>
      <c r="AI385" s="7"/>
      <c r="AJ385" s="7"/>
    </row>
    <row r="386" spans="1:36" ht="15" customHeight="1">
      <c r="A386" s="7"/>
      <c r="B386" s="7"/>
      <c r="C386" s="7"/>
      <c r="D386" s="7"/>
      <c r="E386" s="7"/>
      <c r="F386" s="7"/>
      <c r="G386" s="7"/>
      <c r="H386" s="7"/>
      <c r="I386" s="7"/>
      <c r="J386" s="7"/>
      <c r="K386" s="7"/>
      <c r="L386" s="7"/>
      <c r="M386" s="7" t="str">
        <f t="shared" si="0"/>
        <v/>
      </c>
      <c r="N386" s="7"/>
      <c r="O386" s="7"/>
      <c r="P386" s="7"/>
      <c r="Q386" s="7"/>
      <c r="R386" s="7"/>
      <c r="S386" s="7"/>
      <c r="T386" s="7"/>
      <c r="U386" s="7"/>
      <c r="V386" s="7"/>
      <c r="W386" s="7"/>
      <c r="X386" s="7"/>
      <c r="Y386" s="7"/>
      <c r="Z386" s="7"/>
      <c r="AA386" s="7"/>
      <c r="AB386" s="7"/>
      <c r="AC386" s="7"/>
      <c r="AD386" s="7"/>
      <c r="AE386" s="7"/>
      <c r="AF386" s="7"/>
      <c r="AG386" s="7"/>
      <c r="AH386" s="7"/>
      <c r="AI386" s="7"/>
      <c r="AJ386" s="7"/>
    </row>
    <row r="387" spans="1:36" ht="15" customHeight="1">
      <c r="A387" s="7"/>
      <c r="B387" s="7"/>
      <c r="C387" s="7"/>
      <c r="D387" s="7"/>
      <c r="E387" s="7"/>
      <c r="F387" s="7"/>
      <c r="G387" s="7"/>
      <c r="H387" s="7"/>
      <c r="I387" s="7"/>
      <c r="J387" s="7"/>
      <c r="K387" s="7"/>
      <c r="L387" s="7"/>
      <c r="M387" s="7" t="str">
        <f t="shared" si="0"/>
        <v/>
      </c>
      <c r="N387" s="7"/>
      <c r="O387" s="7"/>
      <c r="P387" s="7"/>
      <c r="Q387" s="7"/>
      <c r="R387" s="7"/>
      <c r="S387" s="7"/>
      <c r="T387" s="7"/>
      <c r="U387" s="7"/>
      <c r="V387" s="7"/>
      <c r="W387" s="7"/>
      <c r="X387" s="7"/>
      <c r="Y387" s="7"/>
      <c r="Z387" s="7"/>
      <c r="AA387" s="7"/>
      <c r="AB387" s="7"/>
      <c r="AC387" s="7"/>
      <c r="AD387" s="7"/>
      <c r="AE387" s="7"/>
      <c r="AF387" s="7"/>
      <c r="AG387" s="7"/>
      <c r="AH387" s="7"/>
      <c r="AI387" s="7"/>
      <c r="AJ387" s="7"/>
    </row>
    <row r="388" spans="1:36" ht="15" customHeight="1">
      <c r="A388" s="7"/>
      <c r="B388" s="7"/>
      <c r="C388" s="7"/>
      <c r="D388" s="7"/>
      <c r="E388" s="7"/>
      <c r="F388" s="7"/>
      <c r="G388" s="7"/>
      <c r="H388" s="7"/>
      <c r="I388" s="7"/>
      <c r="J388" s="7"/>
      <c r="K388" s="7"/>
      <c r="L388" s="7"/>
      <c r="M388" s="7" t="str">
        <f t="shared" si="0"/>
        <v/>
      </c>
      <c r="N388" s="7"/>
      <c r="O388" s="7"/>
      <c r="P388" s="7"/>
      <c r="Q388" s="7"/>
      <c r="R388" s="7"/>
      <c r="S388" s="7"/>
      <c r="T388" s="7"/>
      <c r="U388" s="7"/>
      <c r="V388" s="7"/>
      <c r="W388" s="7"/>
      <c r="X388" s="7"/>
      <c r="Y388" s="7"/>
      <c r="Z388" s="7"/>
      <c r="AA388" s="7"/>
      <c r="AB388" s="7"/>
      <c r="AC388" s="7"/>
      <c r="AD388" s="7"/>
      <c r="AE388" s="7"/>
      <c r="AF388" s="7"/>
      <c r="AG388" s="7"/>
      <c r="AH388" s="7"/>
      <c r="AI388" s="7"/>
      <c r="AJ388" s="7"/>
    </row>
    <row r="389" spans="1:36" ht="15" customHeight="1">
      <c r="A389" s="7"/>
      <c r="B389" s="7"/>
      <c r="C389" s="7"/>
      <c r="D389" s="7"/>
      <c r="E389" s="7"/>
      <c r="F389" s="7"/>
      <c r="G389" s="7"/>
      <c r="H389" s="7"/>
      <c r="I389" s="7"/>
      <c r="J389" s="7"/>
      <c r="K389" s="7"/>
      <c r="L389" s="7"/>
      <c r="M389" s="7" t="str">
        <f t="shared" si="0"/>
        <v/>
      </c>
      <c r="N389" s="7"/>
      <c r="O389" s="7"/>
      <c r="P389" s="7"/>
      <c r="Q389" s="7"/>
      <c r="R389" s="7"/>
      <c r="S389" s="7"/>
      <c r="T389" s="7"/>
      <c r="U389" s="7"/>
      <c r="V389" s="7"/>
      <c r="W389" s="7"/>
      <c r="X389" s="7"/>
      <c r="Y389" s="7"/>
      <c r="Z389" s="7"/>
      <c r="AA389" s="7"/>
      <c r="AB389" s="7"/>
      <c r="AC389" s="7"/>
      <c r="AD389" s="7"/>
      <c r="AE389" s="7"/>
      <c r="AF389" s="7"/>
      <c r="AG389" s="7"/>
      <c r="AH389" s="7"/>
      <c r="AI389" s="7"/>
      <c r="AJ389" s="7"/>
    </row>
    <row r="390" spans="1:36" ht="15" customHeight="1">
      <c r="A390" s="7"/>
      <c r="B390" s="7"/>
      <c r="C390" s="7"/>
      <c r="D390" s="7"/>
      <c r="E390" s="7"/>
      <c r="F390" s="7"/>
      <c r="G390" s="7"/>
      <c r="H390" s="7"/>
      <c r="I390" s="7"/>
      <c r="J390" s="7"/>
      <c r="K390" s="7"/>
      <c r="L390" s="7"/>
      <c r="M390" s="7" t="str">
        <f t="shared" si="0"/>
        <v/>
      </c>
      <c r="N390" s="7"/>
      <c r="O390" s="7"/>
      <c r="P390" s="7"/>
      <c r="Q390" s="7"/>
      <c r="R390" s="7"/>
      <c r="S390" s="7"/>
      <c r="T390" s="7"/>
      <c r="U390" s="7"/>
      <c r="V390" s="7"/>
      <c r="W390" s="7"/>
      <c r="X390" s="7"/>
      <c r="Y390" s="7"/>
      <c r="Z390" s="7"/>
      <c r="AA390" s="7"/>
      <c r="AB390" s="7"/>
      <c r="AC390" s="7"/>
      <c r="AD390" s="7"/>
      <c r="AE390" s="7"/>
      <c r="AF390" s="7"/>
      <c r="AG390" s="7"/>
      <c r="AH390" s="7"/>
      <c r="AI390" s="7"/>
      <c r="AJ390" s="7"/>
    </row>
    <row r="391" spans="1:36" ht="15" customHeight="1">
      <c r="A391" s="7"/>
      <c r="B391" s="7"/>
      <c r="C391" s="7"/>
      <c r="D391" s="7"/>
      <c r="E391" s="7"/>
      <c r="F391" s="7"/>
      <c r="G391" s="7"/>
      <c r="H391" s="7"/>
      <c r="I391" s="7"/>
      <c r="J391" s="7"/>
      <c r="K391" s="7"/>
      <c r="L391" s="7"/>
      <c r="M391" s="7" t="str">
        <f t="shared" si="0"/>
        <v/>
      </c>
      <c r="N391" s="7"/>
      <c r="O391" s="7"/>
      <c r="P391" s="7"/>
      <c r="Q391" s="7"/>
      <c r="R391" s="7"/>
      <c r="S391" s="7"/>
      <c r="T391" s="7"/>
      <c r="U391" s="7"/>
      <c r="V391" s="7"/>
      <c r="W391" s="7"/>
      <c r="X391" s="7"/>
      <c r="Y391" s="7"/>
      <c r="Z391" s="7"/>
      <c r="AA391" s="7"/>
      <c r="AB391" s="7"/>
      <c r="AC391" s="7"/>
      <c r="AD391" s="7"/>
      <c r="AE391" s="7"/>
      <c r="AF391" s="7"/>
      <c r="AG391" s="7"/>
      <c r="AH391" s="7"/>
      <c r="AI391" s="7"/>
      <c r="AJ391" s="7"/>
    </row>
    <row r="392" spans="1:36" ht="15" customHeight="1">
      <c r="A392" s="7"/>
      <c r="B392" s="7"/>
      <c r="C392" s="7"/>
      <c r="D392" s="7"/>
      <c r="E392" s="7"/>
      <c r="F392" s="7"/>
      <c r="G392" s="7"/>
      <c r="H392" s="7"/>
      <c r="I392" s="7"/>
      <c r="J392" s="7"/>
      <c r="K392" s="7"/>
      <c r="L392" s="7"/>
      <c r="M392" s="7" t="str">
        <f t="shared" si="0"/>
        <v/>
      </c>
      <c r="N392" s="7"/>
      <c r="O392" s="7"/>
      <c r="P392" s="7"/>
      <c r="Q392" s="7"/>
      <c r="R392" s="7"/>
      <c r="S392" s="7"/>
      <c r="T392" s="7"/>
      <c r="U392" s="7"/>
      <c r="V392" s="7"/>
      <c r="W392" s="7"/>
      <c r="X392" s="7"/>
      <c r="Y392" s="7"/>
      <c r="Z392" s="7"/>
      <c r="AA392" s="7"/>
      <c r="AB392" s="7"/>
      <c r="AC392" s="7"/>
      <c r="AD392" s="7"/>
      <c r="AE392" s="7"/>
      <c r="AF392" s="7"/>
      <c r="AG392" s="7"/>
      <c r="AH392" s="7"/>
      <c r="AI392" s="7"/>
      <c r="AJ392" s="7"/>
    </row>
    <row r="393" spans="1:36" ht="15" customHeight="1">
      <c r="A393" s="7"/>
      <c r="B393" s="7"/>
      <c r="C393" s="7"/>
      <c r="D393" s="7"/>
      <c r="E393" s="7"/>
      <c r="F393" s="7"/>
      <c r="G393" s="7"/>
      <c r="H393" s="7"/>
      <c r="I393" s="7"/>
      <c r="J393" s="7"/>
      <c r="K393" s="7"/>
      <c r="L393" s="7"/>
      <c r="M393" s="7" t="str">
        <f t="shared" si="0"/>
        <v/>
      </c>
      <c r="N393" s="7"/>
      <c r="O393" s="7"/>
      <c r="P393" s="7"/>
      <c r="Q393" s="7"/>
      <c r="R393" s="7"/>
      <c r="S393" s="7"/>
      <c r="T393" s="7"/>
      <c r="U393" s="7"/>
      <c r="V393" s="7"/>
      <c r="W393" s="7"/>
      <c r="X393" s="7"/>
      <c r="Y393" s="7"/>
      <c r="Z393" s="7"/>
      <c r="AA393" s="7"/>
      <c r="AB393" s="7"/>
      <c r="AC393" s="7"/>
      <c r="AD393" s="7"/>
      <c r="AE393" s="7"/>
      <c r="AF393" s="7"/>
      <c r="AG393" s="7"/>
      <c r="AH393" s="7"/>
      <c r="AI393" s="7"/>
      <c r="AJ393" s="7"/>
    </row>
    <row r="394" spans="1:36" ht="15" customHeight="1">
      <c r="A394" s="7"/>
      <c r="B394" s="7"/>
      <c r="C394" s="7"/>
      <c r="D394" s="7"/>
      <c r="E394" s="7"/>
      <c r="F394" s="7"/>
      <c r="G394" s="7"/>
      <c r="H394" s="7"/>
      <c r="I394" s="7"/>
      <c r="J394" s="7"/>
      <c r="K394" s="7"/>
      <c r="L394" s="7"/>
      <c r="M394" s="7" t="str">
        <f t="shared" si="0"/>
        <v/>
      </c>
      <c r="N394" s="7"/>
      <c r="O394" s="7"/>
      <c r="P394" s="7"/>
      <c r="Q394" s="7"/>
      <c r="R394" s="7"/>
      <c r="S394" s="7"/>
      <c r="T394" s="7"/>
      <c r="U394" s="7"/>
      <c r="V394" s="7"/>
      <c r="W394" s="7"/>
      <c r="X394" s="7"/>
      <c r="Y394" s="7"/>
      <c r="Z394" s="7"/>
      <c r="AA394" s="7"/>
      <c r="AB394" s="7"/>
      <c r="AC394" s="7"/>
      <c r="AD394" s="7"/>
      <c r="AE394" s="7"/>
      <c r="AF394" s="7"/>
      <c r="AG394" s="7"/>
      <c r="AH394" s="7"/>
      <c r="AI394" s="7"/>
      <c r="AJ394" s="7"/>
    </row>
    <row r="395" spans="1:36" ht="15" customHeight="1">
      <c r="A395" s="7"/>
      <c r="B395" s="7"/>
      <c r="C395" s="7"/>
      <c r="D395" s="7"/>
      <c r="E395" s="7"/>
      <c r="F395" s="7"/>
      <c r="G395" s="7"/>
      <c r="H395" s="7"/>
      <c r="I395" s="7"/>
      <c r="J395" s="7"/>
      <c r="K395" s="7"/>
      <c r="L395" s="7"/>
      <c r="M395" s="7" t="str">
        <f t="shared" si="0"/>
        <v/>
      </c>
      <c r="N395" s="7"/>
      <c r="O395" s="7"/>
      <c r="P395" s="7"/>
      <c r="Q395" s="7"/>
      <c r="R395" s="7"/>
      <c r="S395" s="7"/>
      <c r="T395" s="7"/>
      <c r="U395" s="7"/>
      <c r="V395" s="7"/>
      <c r="W395" s="7"/>
      <c r="X395" s="7"/>
      <c r="Y395" s="7"/>
      <c r="Z395" s="7"/>
      <c r="AA395" s="7"/>
      <c r="AB395" s="7"/>
      <c r="AC395" s="7"/>
      <c r="AD395" s="7"/>
      <c r="AE395" s="7"/>
      <c r="AF395" s="7"/>
      <c r="AG395" s="7"/>
      <c r="AH395" s="7"/>
      <c r="AI395" s="7"/>
      <c r="AJ395" s="7"/>
    </row>
    <row r="396" spans="1:36" ht="15" customHeight="1">
      <c r="A396" s="7"/>
      <c r="B396" s="7"/>
      <c r="C396" s="7"/>
      <c r="D396" s="7"/>
      <c r="E396" s="7"/>
      <c r="F396" s="7"/>
      <c r="G396" s="7"/>
      <c r="H396" s="7"/>
      <c r="I396" s="7"/>
      <c r="J396" s="7"/>
      <c r="K396" s="7"/>
      <c r="L396" s="7"/>
      <c r="M396" s="7" t="str">
        <f t="shared" si="0"/>
        <v/>
      </c>
      <c r="N396" s="7"/>
      <c r="O396" s="7"/>
      <c r="P396" s="7"/>
      <c r="Q396" s="7"/>
      <c r="R396" s="7"/>
      <c r="S396" s="7"/>
      <c r="T396" s="7"/>
      <c r="U396" s="7"/>
      <c r="V396" s="7"/>
      <c r="W396" s="7"/>
      <c r="X396" s="7"/>
      <c r="Y396" s="7"/>
      <c r="Z396" s="7"/>
      <c r="AA396" s="7"/>
      <c r="AB396" s="7"/>
      <c r="AC396" s="7"/>
      <c r="AD396" s="7"/>
      <c r="AE396" s="7"/>
      <c r="AF396" s="7"/>
      <c r="AG396" s="7"/>
      <c r="AH396" s="7"/>
      <c r="AI396" s="7"/>
      <c r="AJ396" s="7"/>
    </row>
    <row r="397" spans="1:36" ht="15" customHeight="1">
      <c r="A397" s="7"/>
      <c r="B397" s="7"/>
      <c r="C397" s="7"/>
      <c r="D397" s="7"/>
      <c r="E397" s="7"/>
      <c r="F397" s="7"/>
      <c r="G397" s="7"/>
      <c r="H397" s="7"/>
      <c r="I397" s="7"/>
      <c r="J397" s="7"/>
      <c r="K397" s="7"/>
      <c r="L397" s="7"/>
      <c r="M397" s="7" t="str">
        <f t="shared" si="0"/>
        <v/>
      </c>
      <c r="N397" s="7"/>
      <c r="O397" s="7"/>
      <c r="P397" s="7"/>
      <c r="Q397" s="7"/>
      <c r="R397" s="7"/>
      <c r="S397" s="7"/>
      <c r="T397" s="7"/>
      <c r="U397" s="7"/>
      <c r="V397" s="7"/>
      <c r="W397" s="7"/>
      <c r="X397" s="7"/>
      <c r="Y397" s="7"/>
      <c r="Z397" s="7"/>
      <c r="AA397" s="7"/>
      <c r="AB397" s="7"/>
      <c r="AC397" s="7"/>
      <c r="AD397" s="7"/>
      <c r="AE397" s="7"/>
      <c r="AF397" s="7"/>
      <c r="AG397" s="7"/>
      <c r="AH397" s="7"/>
      <c r="AI397" s="7"/>
      <c r="AJ397" s="7"/>
    </row>
    <row r="398" spans="1:36" ht="15" customHeight="1">
      <c r="A398" s="7"/>
      <c r="B398" s="7"/>
      <c r="C398" s="7"/>
      <c r="D398" s="7"/>
      <c r="E398" s="7"/>
      <c r="F398" s="7"/>
      <c r="G398" s="7"/>
      <c r="H398" s="7"/>
      <c r="I398" s="7"/>
      <c r="J398" s="7"/>
      <c r="K398" s="7"/>
      <c r="L398" s="7"/>
      <c r="M398" s="7" t="str">
        <f t="shared" si="0"/>
        <v/>
      </c>
      <c r="N398" s="7"/>
      <c r="O398" s="7"/>
      <c r="P398" s="7"/>
      <c r="Q398" s="7"/>
      <c r="R398" s="7"/>
      <c r="S398" s="7"/>
      <c r="T398" s="7"/>
      <c r="U398" s="7"/>
      <c r="V398" s="7"/>
      <c r="W398" s="7"/>
      <c r="X398" s="7"/>
      <c r="Y398" s="7"/>
      <c r="Z398" s="7"/>
      <c r="AA398" s="7"/>
      <c r="AB398" s="7"/>
      <c r="AC398" s="7"/>
      <c r="AD398" s="7"/>
      <c r="AE398" s="7"/>
      <c r="AF398" s="7"/>
      <c r="AG398" s="7"/>
      <c r="AH398" s="7"/>
      <c r="AI398" s="7"/>
      <c r="AJ398" s="7"/>
    </row>
    <row r="399" spans="1:36" ht="15" customHeight="1">
      <c r="A399" s="7"/>
      <c r="B399" s="7"/>
      <c r="C399" s="7"/>
      <c r="D399" s="7"/>
      <c r="E399" s="7"/>
      <c r="F399" s="7"/>
      <c r="G399" s="7"/>
      <c r="H399" s="7"/>
      <c r="I399" s="7"/>
      <c r="J399" s="7"/>
      <c r="K399" s="7"/>
      <c r="L399" s="7"/>
      <c r="M399" s="7" t="str">
        <f t="shared" si="0"/>
        <v/>
      </c>
      <c r="N399" s="7"/>
      <c r="O399" s="7"/>
      <c r="P399" s="7"/>
      <c r="Q399" s="7"/>
      <c r="R399" s="7"/>
      <c r="S399" s="7"/>
      <c r="T399" s="7"/>
      <c r="U399" s="7"/>
      <c r="V399" s="7"/>
      <c r="W399" s="7"/>
      <c r="X399" s="7"/>
      <c r="Y399" s="7"/>
      <c r="Z399" s="7"/>
      <c r="AA399" s="7"/>
      <c r="AB399" s="7"/>
      <c r="AC399" s="7"/>
      <c r="AD399" s="7"/>
      <c r="AE399" s="7"/>
      <c r="AF399" s="7"/>
      <c r="AG399" s="7"/>
      <c r="AH399" s="7"/>
      <c r="AI399" s="7"/>
      <c r="AJ399" s="7"/>
    </row>
    <row r="400" spans="1:36" ht="15" customHeight="1">
      <c r="A400" s="7"/>
      <c r="B400" s="7"/>
      <c r="C400" s="7"/>
      <c r="D400" s="7"/>
      <c r="E400" s="7"/>
      <c r="F400" s="7"/>
      <c r="G400" s="7"/>
      <c r="H400" s="7"/>
      <c r="I400" s="7"/>
      <c r="J400" s="7"/>
      <c r="K400" s="7"/>
      <c r="L400" s="7"/>
      <c r="M400" s="7" t="str">
        <f t="shared" si="0"/>
        <v/>
      </c>
      <c r="N400" s="7"/>
      <c r="O400" s="7"/>
      <c r="P400" s="7"/>
      <c r="Q400" s="7"/>
      <c r="R400" s="7"/>
      <c r="S400" s="7"/>
      <c r="T400" s="7"/>
      <c r="U400" s="7"/>
      <c r="V400" s="7"/>
      <c r="W400" s="7"/>
      <c r="X400" s="7"/>
      <c r="Y400" s="7"/>
      <c r="Z400" s="7"/>
      <c r="AA400" s="7"/>
      <c r="AB400" s="7"/>
      <c r="AC400" s="7"/>
      <c r="AD400" s="7"/>
      <c r="AE400" s="7"/>
      <c r="AF400" s="7"/>
      <c r="AG400" s="7"/>
      <c r="AH400" s="7"/>
      <c r="AI400" s="7"/>
      <c r="AJ400" s="7"/>
    </row>
    <row r="401" spans="1:36" ht="15" customHeight="1">
      <c r="A401" s="7"/>
      <c r="B401" s="7"/>
      <c r="C401" s="7"/>
      <c r="D401" s="7"/>
      <c r="E401" s="7"/>
      <c r="F401" s="7"/>
      <c r="G401" s="7"/>
      <c r="H401" s="7"/>
      <c r="I401" s="7"/>
      <c r="J401" s="7"/>
      <c r="K401" s="7"/>
      <c r="L401" s="7"/>
      <c r="M401" s="7" t="str">
        <f t="shared" si="0"/>
        <v/>
      </c>
      <c r="N401" s="7"/>
      <c r="O401" s="7"/>
      <c r="P401" s="7"/>
      <c r="Q401" s="7"/>
      <c r="R401" s="7"/>
      <c r="S401" s="7"/>
      <c r="T401" s="7"/>
      <c r="U401" s="7"/>
      <c r="V401" s="7"/>
      <c r="W401" s="7"/>
      <c r="X401" s="7"/>
      <c r="Y401" s="7"/>
      <c r="Z401" s="7"/>
      <c r="AA401" s="7"/>
      <c r="AB401" s="7"/>
      <c r="AC401" s="7"/>
      <c r="AD401" s="7"/>
      <c r="AE401" s="7"/>
      <c r="AF401" s="7"/>
      <c r="AG401" s="7"/>
      <c r="AH401" s="7"/>
      <c r="AI401" s="7"/>
      <c r="AJ401" s="7"/>
    </row>
    <row r="402" spans="1:36" ht="15" customHeight="1">
      <c r="A402" s="7"/>
      <c r="B402" s="7"/>
      <c r="C402" s="7"/>
      <c r="D402" s="7"/>
      <c r="E402" s="7"/>
      <c r="F402" s="7"/>
      <c r="G402" s="7"/>
      <c r="H402" s="7"/>
      <c r="I402" s="7"/>
      <c r="J402" s="7"/>
      <c r="K402" s="7"/>
      <c r="L402" s="7"/>
      <c r="M402" s="7" t="str">
        <f t="shared" si="0"/>
        <v/>
      </c>
      <c r="N402" s="7"/>
      <c r="O402" s="7"/>
      <c r="P402" s="7"/>
      <c r="Q402" s="7"/>
      <c r="R402" s="7"/>
      <c r="S402" s="7"/>
      <c r="T402" s="7"/>
      <c r="U402" s="7"/>
      <c r="V402" s="7"/>
      <c r="W402" s="7"/>
      <c r="X402" s="7"/>
      <c r="Y402" s="7"/>
      <c r="Z402" s="7"/>
      <c r="AA402" s="7"/>
      <c r="AB402" s="7"/>
      <c r="AC402" s="7"/>
      <c r="AD402" s="7"/>
      <c r="AE402" s="7"/>
      <c r="AF402" s="7"/>
      <c r="AG402" s="7"/>
      <c r="AH402" s="7"/>
      <c r="AI402" s="7"/>
      <c r="AJ402" s="7"/>
    </row>
    <row r="403" spans="1:36" ht="15" customHeight="1">
      <c r="A403" s="7"/>
      <c r="B403" s="7"/>
      <c r="C403" s="7"/>
      <c r="D403" s="7"/>
      <c r="E403" s="7"/>
      <c r="F403" s="7"/>
      <c r="G403" s="7"/>
      <c r="H403" s="7"/>
      <c r="I403" s="7"/>
      <c r="J403" s="7"/>
      <c r="K403" s="7"/>
      <c r="L403" s="7"/>
      <c r="M403" s="7" t="str">
        <f t="shared" si="0"/>
        <v/>
      </c>
      <c r="N403" s="7"/>
      <c r="O403" s="7"/>
      <c r="P403" s="7"/>
      <c r="Q403" s="7"/>
      <c r="R403" s="7"/>
      <c r="S403" s="7"/>
      <c r="T403" s="7"/>
      <c r="U403" s="7"/>
      <c r="V403" s="7"/>
      <c r="W403" s="7"/>
      <c r="X403" s="7"/>
      <c r="Y403" s="7"/>
      <c r="Z403" s="7"/>
      <c r="AA403" s="7"/>
      <c r="AB403" s="7"/>
      <c r="AC403" s="7"/>
      <c r="AD403" s="7"/>
      <c r="AE403" s="7"/>
      <c r="AF403" s="7"/>
      <c r="AG403" s="7"/>
      <c r="AH403" s="7"/>
      <c r="AI403" s="7"/>
      <c r="AJ403" s="7"/>
    </row>
    <row r="404" spans="1:36" ht="15" customHeight="1">
      <c r="A404" s="7"/>
      <c r="B404" s="7"/>
      <c r="C404" s="7"/>
      <c r="D404" s="7"/>
      <c r="E404" s="7"/>
      <c r="F404" s="7"/>
      <c r="G404" s="7"/>
      <c r="H404" s="7"/>
      <c r="I404" s="7"/>
      <c r="J404" s="7"/>
      <c r="K404" s="7"/>
      <c r="L404" s="7"/>
      <c r="M404" s="7" t="str">
        <f t="shared" si="0"/>
        <v/>
      </c>
      <c r="N404" s="7"/>
      <c r="O404" s="7"/>
      <c r="P404" s="7"/>
      <c r="Q404" s="7"/>
      <c r="R404" s="7"/>
      <c r="S404" s="7"/>
      <c r="T404" s="7"/>
      <c r="U404" s="7"/>
      <c r="V404" s="7"/>
      <c r="W404" s="7"/>
      <c r="X404" s="7"/>
      <c r="Y404" s="7"/>
      <c r="Z404" s="7"/>
      <c r="AA404" s="7"/>
      <c r="AB404" s="7"/>
      <c r="AC404" s="7"/>
      <c r="AD404" s="7"/>
      <c r="AE404" s="7"/>
      <c r="AF404" s="7"/>
      <c r="AG404" s="7"/>
      <c r="AH404" s="7"/>
      <c r="AI404" s="7"/>
      <c r="AJ404" s="7"/>
    </row>
    <row r="405" spans="1:3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row>
    <row r="406" spans="1:3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row>
    <row r="407" spans="1:3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row>
    <row r="408" spans="1:3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row>
    <row r="409" spans="1:3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row>
    <row r="410" spans="1:3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row>
    <row r="411" spans="1:3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row>
    <row r="412" spans="1:3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row>
    <row r="413" spans="1:3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row>
    <row r="414" spans="1:3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row>
    <row r="415" spans="1:3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row>
    <row r="416" spans="1:3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row>
    <row r="417" spans="1:3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row>
    <row r="418" spans="1:3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row>
    <row r="419" spans="1:3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row>
    <row r="420" spans="1:3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row>
    <row r="421" spans="1:3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row>
    <row r="422" spans="1:3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row>
    <row r="423" spans="1:3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row>
    <row r="424" spans="1:3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row>
    <row r="425" spans="1:3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row>
    <row r="426" spans="1:3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row>
    <row r="427" spans="1:3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row>
    <row r="428" spans="1:3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row>
    <row r="429" spans="1:3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row>
    <row r="430" spans="1:3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row>
    <row r="431" spans="1:3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row>
    <row r="432" spans="1:3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row>
    <row r="433" spans="1:3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row>
    <row r="434" spans="1:3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row>
    <row r="435" spans="1:3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row>
    <row r="436" spans="1: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row>
    <row r="437" spans="1:3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row>
    <row r="438" spans="1:3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row>
    <row r="439" spans="1:3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row>
    <row r="440" spans="1:3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row>
    <row r="441" spans="1:3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row>
    <row r="442" spans="1:3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row>
    <row r="443" spans="1:3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row>
    <row r="444" spans="1:3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row>
    <row r="445" spans="1:3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row>
    <row r="446" spans="1:3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row>
    <row r="447" spans="1:3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row>
    <row r="448" spans="1:3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row>
    <row r="449" spans="1:3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row>
    <row r="450" spans="1:3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row>
    <row r="451" spans="1:3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row>
    <row r="452" spans="1:3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row>
    <row r="453" spans="1:3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row>
    <row r="454" spans="1:3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row>
    <row r="455" spans="1:3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row>
    <row r="456" spans="1:3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row>
    <row r="457" spans="1:3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row>
    <row r="458" spans="1:3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row>
    <row r="459" spans="1:3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row>
    <row r="460" spans="1:3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row>
    <row r="461" spans="1:3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row>
    <row r="462" spans="1:3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row>
    <row r="463" spans="1:3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row>
    <row r="464" spans="1:3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row>
    <row r="465" spans="1:3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row>
    <row r="466" spans="1:3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row>
    <row r="467" spans="1:3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row>
    <row r="468" spans="1:3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row>
    <row r="469" spans="1:3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row>
    <row r="470" spans="1:3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row>
    <row r="471" spans="1:3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row>
    <row r="472" spans="1:3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row>
    <row r="473" spans="1:3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row>
    <row r="474" spans="1:3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row>
    <row r="475" spans="1:3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row>
    <row r="476" spans="1:3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row>
    <row r="477" spans="1:3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row>
    <row r="478" spans="1:3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row>
    <row r="479" spans="1:3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row>
    <row r="480" spans="1:3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row>
    <row r="481" spans="1:3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row>
    <row r="482" spans="1:3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row>
    <row r="483" spans="1:3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row>
    <row r="484" spans="1:3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row>
    <row r="485" spans="1:3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row>
    <row r="486" spans="1:3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row>
    <row r="487" spans="1:3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row>
    <row r="488" spans="1:3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row>
    <row r="489" spans="1:3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row>
    <row r="490" spans="1:3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row>
    <row r="491" spans="1:3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row>
    <row r="492" spans="1:3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row>
    <row r="493" spans="1:3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row>
    <row r="494" spans="1:3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row>
    <row r="495" spans="1:3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row>
    <row r="496" spans="1:3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row>
    <row r="497" spans="1:3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row>
    <row r="498" spans="1:3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row>
    <row r="499" spans="1:3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row>
    <row r="500" spans="1:3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row>
    <row r="501" spans="1:3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row>
    <row r="502" spans="1:3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row>
    <row r="503" spans="1:3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row>
    <row r="504" spans="1:3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row>
    <row r="505" spans="1:3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row>
    <row r="506" spans="1:3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row>
    <row r="507" spans="1:3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row>
    <row r="508" spans="1:3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row>
    <row r="509" spans="1:3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row>
    <row r="510" spans="1:3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row>
    <row r="511" spans="1:3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row>
    <row r="512" spans="1:3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row>
    <row r="513" spans="1:3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row>
    <row r="514" spans="1:3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row>
    <row r="515" spans="1:3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row>
    <row r="516" spans="1:3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row>
    <row r="517" spans="1:3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row>
    <row r="518" spans="1:3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row>
    <row r="519" spans="1:3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row>
    <row r="520" spans="1:3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row>
    <row r="521" spans="1:3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row>
    <row r="522" spans="1:3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row>
    <row r="523" spans="1:3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row>
    <row r="524" spans="1:3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row>
    <row r="525" spans="1:3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row>
    <row r="526" spans="1:3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row>
    <row r="527" spans="1:3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row>
    <row r="528" spans="1:3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row>
    <row r="529" spans="1:3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row>
    <row r="530" spans="1:3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row>
    <row r="531" spans="1:3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row>
    <row r="532" spans="1:3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row>
    <row r="533" spans="1:3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row>
    <row r="534" spans="1:3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row>
    <row r="535" spans="1:3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row>
    <row r="536" spans="1: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row>
    <row r="537" spans="1:3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row>
    <row r="538" spans="1:3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row>
    <row r="539" spans="1:3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row>
    <row r="540" spans="1:3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row>
    <row r="541" spans="1:3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row>
    <row r="542" spans="1:3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row>
    <row r="543" spans="1:3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row>
    <row r="544" spans="1:3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row>
    <row r="545" spans="1:3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row>
    <row r="546" spans="1:3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row>
    <row r="547" spans="1:3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row>
    <row r="548" spans="1:3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row>
    <row r="549" spans="1:3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row>
    <row r="550" spans="1:3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row>
    <row r="551" spans="1:3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row>
    <row r="552" spans="1:3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row>
    <row r="553" spans="1:3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row>
    <row r="554" spans="1:3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row>
    <row r="555" spans="1:3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row>
    <row r="556" spans="1:3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row>
    <row r="557" spans="1:3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row>
    <row r="558" spans="1:3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row>
    <row r="559" spans="1:3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row>
    <row r="560" spans="1:3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row>
    <row r="561" spans="1:3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row>
    <row r="562" spans="1:3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row>
    <row r="563" spans="1:3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row>
    <row r="564" spans="1:3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row>
    <row r="565" spans="1:3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row>
    <row r="566" spans="1:3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row>
    <row r="567" spans="1:3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row>
    <row r="568" spans="1:3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row>
    <row r="569" spans="1:3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row>
    <row r="570" spans="1:3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row>
    <row r="571" spans="1:3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row>
    <row r="572" spans="1:3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row>
    <row r="573" spans="1:3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row>
    <row r="574" spans="1:3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row>
    <row r="575" spans="1:3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row>
    <row r="576" spans="1:3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row>
    <row r="577" spans="1:3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row>
    <row r="578" spans="1:3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row>
    <row r="579" spans="1:3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row>
    <row r="580" spans="1:3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row>
    <row r="581" spans="1:3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row>
    <row r="582" spans="1:3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row>
    <row r="583" spans="1:3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row>
    <row r="584" spans="1:3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row>
    <row r="585" spans="1:3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row>
    <row r="586" spans="1:3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row>
    <row r="587" spans="1:3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row>
    <row r="588" spans="1:3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row>
    <row r="589" spans="1:3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row>
    <row r="590" spans="1:3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row>
    <row r="591" spans="1:3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row>
    <row r="592" spans="1:3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row>
    <row r="593" spans="1:3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row>
    <row r="594" spans="1:3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row>
    <row r="595" spans="1:3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row>
    <row r="596" spans="1:3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row>
    <row r="597" spans="1:3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row>
    <row r="598" spans="1:3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row>
    <row r="599" spans="1:3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row>
    <row r="600" spans="1:3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row>
    <row r="601" spans="1:3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row>
    <row r="602" spans="1:3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row>
    <row r="603" spans="1:3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row>
    <row r="604" spans="1:3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row>
    <row r="605" spans="1:3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row>
    <row r="606" spans="1:3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row>
    <row r="607" spans="1:3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row>
    <row r="608" spans="1:3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row>
    <row r="609" spans="1:3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row>
    <row r="610" spans="1:3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row>
    <row r="611" spans="1:3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row>
    <row r="612" spans="1:3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row>
    <row r="613" spans="1:3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row>
    <row r="614" spans="1:3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row>
    <row r="615" spans="1:3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row>
    <row r="616" spans="1:3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row>
    <row r="617" spans="1:3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row>
    <row r="618" spans="1:3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row>
    <row r="619" spans="1:3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row>
    <row r="620" spans="1:3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row>
    <row r="621" spans="1:3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row>
    <row r="622" spans="1:3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row>
    <row r="623" spans="1:3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row>
    <row r="624" spans="1:3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row>
    <row r="625" spans="1:3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row>
    <row r="626" spans="1:3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row>
    <row r="627" spans="1:3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row>
    <row r="628" spans="1:3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row>
    <row r="629" spans="1:3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row>
    <row r="630" spans="1:3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row>
    <row r="631" spans="1:3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row>
    <row r="632" spans="1:3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row>
    <row r="633" spans="1:3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row>
    <row r="634" spans="1:3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row>
    <row r="635" spans="1:3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row>
    <row r="636" spans="1: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row>
    <row r="637" spans="1:3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row>
    <row r="638" spans="1:3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row>
    <row r="639" spans="1:3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row>
    <row r="640" spans="1:3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row>
    <row r="641" spans="1:3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row>
    <row r="642" spans="1:3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row>
    <row r="643" spans="1:3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row>
    <row r="644" spans="1:3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row>
    <row r="645" spans="1:3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row>
    <row r="646" spans="1:3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row>
    <row r="647" spans="1:3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row>
    <row r="648" spans="1:3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row>
    <row r="649" spans="1:3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row>
    <row r="650" spans="1:3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row>
    <row r="651" spans="1:3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row>
    <row r="652" spans="1:3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row>
    <row r="653" spans="1:3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row>
    <row r="654" spans="1:3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row>
    <row r="655" spans="1:3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row>
    <row r="656" spans="1:3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row>
    <row r="657" spans="1:3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row>
    <row r="658" spans="1:3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row>
    <row r="659" spans="1:3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row>
    <row r="660" spans="1:3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row>
    <row r="661" spans="1:3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row>
    <row r="662" spans="1:3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row>
    <row r="663" spans="1:3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row>
    <row r="664" spans="1:3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row>
    <row r="665" spans="1:3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row>
    <row r="666" spans="1:3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row>
    <row r="667" spans="1:3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row>
    <row r="668" spans="1:3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row>
    <row r="669" spans="1:3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row>
    <row r="670" spans="1:3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row>
    <row r="671" spans="1:3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row>
    <row r="672" spans="1:3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row>
    <row r="673" spans="1:3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row>
    <row r="674" spans="1:3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row>
    <row r="675" spans="1:3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row>
    <row r="676" spans="1:3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row>
    <row r="677" spans="1:3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row>
    <row r="678" spans="1:3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row>
    <row r="679" spans="1:3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row>
    <row r="680" spans="1:3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row>
    <row r="681" spans="1:3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row>
    <row r="682" spans="1:3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row>
    <row r="683" spans="1:3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row>
    <row r="684" spans="1:3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row>
    <row r="685" spans="1:3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row>
    <row r="686" spans="1:3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row>
    <row r="687" spans="1:3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row>
    <row r="688" spans="1:3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row>
    <row r="689" spans="1:3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row>
    <row r="690" spans="1:3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row>
    <row r="691" spans="1:3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row>
    <row r="692" spans="1:3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row>
    <row r="693" spans="1:3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row>
    <row r="694" spans="1:3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row>
    <row r="695" spans="1:3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row>
    <row r="696" spans="1:3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row>
    <row r="697" spans="1:3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row>
    <row r="698" spans="1:3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row>
    <row r="699" spans="1:3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row>
    <row r="700" spans="1:3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row>
    <row r="701" spans="1:3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row>
    <row r="702" spans="1:3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row>
    <row r="703" spans="1:3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row>
    <row r="704" spans="1:3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row>
    <row r="705" spans="1:3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row>
    <row r="706" spans="1:3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row>
    <row r="707" spans="1:3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row>
    <row r="708" spans="1:3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row>
    <row r="709" spans="1:3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row>
    <row r="710" spans="1:3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row>
    <row r="711" spans="1:3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row>
    <row r="712" spans="1:3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row>
    <row r="713" spans="1:3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row>
    <row r="714" spans="1:3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row>
    <row r="715" spans="1:3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row>
    <row r="716" spans="1:3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row>
    <row r="717" spans="1:3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row>
    <row r="718" spans="1:3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row>
    <row r="719" spans="1:3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row>
    <row r="720" spans="1:3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row>
    <row r="721" spans="1:3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row>
    <row r="722" spans="1:3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row>
    <row r="723" spans="1:3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row>
    <row r="724" spans="1:3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row>
    <row r="725" spans="1:3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row>
    <row r="726" spans="1:3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row>
    <row r="727" spans="1:3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row>
    <row r="728" spans="1:3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row>
    <row r="729" spans="1:3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row>
    <row r="730" spans="1:3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row>
    <row r="731" spans="1:3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row>
    <row r="732" spans="1:3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row>
    <row r="733" spans="1:3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row>
    <row r="734" spans="1:3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row>
    <row r="735" spans="1:3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row>
    <row r="736" spans="1: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row>
    <row r="737" spans="1:3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row>
    <row r="738" spans="1:3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row>
    <row r="739" spans="1:3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row>
    <row r="740" spans="1:3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row>
    <row r="741" spans="1:3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row>
    <row r="742" spans="1:3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row>
    <row r="743" spans="1:3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row>
    <row r="744" spans="1:3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row>
    <row r="745" spans="1:3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row>
    <row r="746" spans="1:3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row>
    <row r="747" spans="1:3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row>
    <row r="748" spans="1:3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row>
    <row r="749" spans="1:3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row>
    <row r="750" spans="1:3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row>
    <row r="751" spans="1:3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row>
    <row r="752" spans="1:3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row>
    <row r="753" spans="1:3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row>
    <row r="754" spans="1:3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row>
    <row r="755" spans="1:3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row>
    <row r="756" spans="1:3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row>
    <row r="757" spans="1:3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row>
    <row r="758" spans="1:3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row>
    <row r="759" spans="1:3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row>
    <row r="760" spans="1:3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row>
    <row r="761" spans="1:3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row>
    <row r="762" spans="1:3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row>
    <row r="763" spans="1:3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row>
    <row r="764" spans="1:3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row>
    <row r="765" spans="1:3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row>
    <row r="766" spans="1:3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row>
    <row r="767" spans="1:3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row>
    <row r="768" spans="1:3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row>
    <row r="769" spans="1:3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row>
    <row r="770" spans="1:3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row>
    <row r="771" spans="1:3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row>
    <row r="772" spans="1:3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row>
    <row r="773" spans="1:3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row>
    <row r="774" spans="1:3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row>
    <row r="775" spans="1:3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row>
    <row r="776" spans="1:3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row>
    <row r="777" spans="1:3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row>
    <row r="778" spans="1:3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row>
    <row r="779" spans="1:3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row>
    <row r="780" spans="1:3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row>
    <row r="781" spans="1:3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row>
    <row r="782" spans="1:3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row>
    <row r="783" spans="1:3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row>
    <row r="784" spans="1:3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row>
    <row r="785" spans="1:3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row>
    <row r="786" spans="1:3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row>
    <row r="787" spans="1:3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row>
    <row r="788" spans="1:3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row>
    <row r="789" spans="1:3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row>
    <row r="790" spans="1:3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row>
    <row r="791" spans="1:3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row>
    <row r="792" spans="1:3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row>
    <row r="793" spans="1:3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row>
    <row r="794" spans="1:3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row>
    <row r="795" spans="1:3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row>
    <row r="796" spans="1:3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row>
    <row r="797" spans="1:3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row>
    <row r="798" spans="1:3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row>
    <row r="799" spans="1:3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row>
    <row r="800" spans="1:3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row>
    <row r="801" spans="1:3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row>
    <row r="802" spans="1:3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row>
    <row r="803" spans="1:3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row>
    <row r="804" spans="1:3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row>
    <row r="805" spans="1:3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row>
    <row r="806" spans="1:3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row>
    <row r="807" spans="1:3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row>
    <row r="808" spans="1:3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row>
    <row r="809" spans="1:3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row>
    <row r="810" spans="1:3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row>
    <row r="811" spans="1:3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row>
    <row r="812" spans="1:3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row>
    <row r="813" spans="1:3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row>
    <row r="814" spans="1:3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row>
    <row r="815" spans="1:3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row>
    <row r="816" spans="1:3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row>
    <row r="817" spans="1:3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row>
    <row r="818" spans="1:3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row>
    <row r="819" spans="1:3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row>
    <row r="820" spans="1:3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row>
    <row r="821" spans="1:3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row>
    <row r="822" spans="1:3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row>
    <row r="823" spans="1:3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row>
    <row r="824" spans="1:3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row>
    <row r="825" spans="1:3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row>
    <row r="826" spans="1:3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row>
    <row r="827" spans="1:3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row>
    <row r="828" spans="1:3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row>
    <row r="829" spans="1:3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row>
    <row r="830" spans="1:3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row>
    <row r="831" spans="1:3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row>
    <row r="832" spans="1:3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row>
    <row r="833" spans="1:3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row>
    <row r="834" spans="1:3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row>
    <row r="835" spans="1:3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row>
    <row r="836" spans="1: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row>
    <row r="837" spans="1:3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row>
    <row r="838" spans="1:3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row>
    <row r="839" spans="1:3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row>
    <row r="840" spans="1:3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row>
    <row r="841" spans="1:3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row>
    <row r="842" spans="1:3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row>
    <row r="843" spans="1:3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row>
    <row r="844" spans="1:3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row>
    <row r="845" spans="1:3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row>
    <row r="846" spans="1:3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row>
    <row r="847" spans="1:3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row>
    <row r="848" spans="1:3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row>
    <row r="849" spans="1:3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row>
    <row r="850" spans="1:3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row>
    <row r="851" spans="1:3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row>
    <row r="852" spans="1:3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row>
    <row r="853" spans="1:3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row>
    <row r="854" spans="1:3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row>
    <row r="855" spans="1:3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row>
    <row r="856" spans="1:3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row>
    <row r="857" spans="1:3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row>
    <row r="858" spans="1:3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row>
    <row r="859" spans="1:3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row>
    <row r="860" spans="1:3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row>
    <row r="861" spans="1:3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row>
    <row r="862" spans="1:3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row>
    <row r="863" spans="1:3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row>
    <row r="864" spans="1:3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row>
    <row r="865" spans="1:3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row>
    <row r="866" spans="1:3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row>
    <row r="867" spans="1:3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row>
    <row r="868" spans="1:3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row>
    <row r="869" spans="1:3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row>
    <row r="870" spans="1:3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row>
    <row r="871" spans="1:3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row>
    <row r="872" spans="1:3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row>
    <row r="873" spans="1:3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row>
    <row r="874" spans="1:3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row>
    <row r="875" spans="1:3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row>
    <row r="876" spans="1:3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row>
    <row r="877" spans="1:3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row>
    <row r="878" spans="1:3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row>
    <row r="879" spans="1:3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row>
    <row r="880" spans="1:3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row>
    <row r="881" spans="1:3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row>
    <row r="882" spans="1:3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row>
    <row r="883" spans="1:3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row>
    <row r="884" spans="1:3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row>
    <row r="885" spans="1:3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row>
    <row r="886" spans="1:3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row>
    <row r="887" spans="1:3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row>
    <row r="888" spans="1:3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row>
    <row r="889" spans="1:3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row>
    <row r="890" spans="1:3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row>
    <row r="891" spans="1:3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row>
    <row r="892" spans="1:3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row>
    <row r="893" spans="1:3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row>
    <row r="894" spans="1:3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row>
    <row r="895" spans="1:3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row>
    <row r="896" spans="1:3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row>
    <row r="897" spans="1:3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row>
    <row r="898" spans="1:3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row>
    <row r="899" spans="1:3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row>
    <row r="900" spans="1:3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row>
    <row r="901" spans="1:3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row>
    <row r="902" spans="1:3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row>
    <row r="903" spans="1:3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row>
    <row r="904" spans="1:3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row>
    <row r="905" spans="1:3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row>
    <row r="906" spans="1:3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row>
    <row r="907" spans="1:3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row>
    <row r="908" spans="1:3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row>
    <row r="909" spans="1:3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row>
    <row r="910" spans="1:3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row>
    <row r="911" spans="1:3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row>
    <row r="912" spans="1:3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row>
    <row r="913" spans="1:3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row>
    <row r="914" spans="1:3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row>
    <row r="915" spans="1:3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row>
    <row r="916" spans="1:3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row>
    <row r="917" spans="1:3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row>
    <row r="918" spans="1:3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row>
    <row r="919" spans="1:3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row>
    <row r="920" spans="1:3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row>
    <row r="921" spans="1:3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row>
    <row r="922" spans="1:3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row>
    <row r="923" spans="1:3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row>
    <row r="924" spans="1:3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row>
    <row r="925" spans="1:3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row>
    <row r="926" spans="1:3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row>
    <row r="927" spans="1:3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row>
    <row r="928" spans="1:3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row>
    <row r="929" spans="1:3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row>
    <row r="930" spans="1:3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row>
    <row r="931" spans="1:3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row>
    <row r="932" spans="1:3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row>
    <row r="933" spans="1:3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row>
    <row r="934" spans="1:3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row>
    <row r="935" spans="1:3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row>
    <row r="936" spans="1: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row>
    <row r="937" spans="1:3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row>
    <row r="938" spans="1:3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row>
    <row r="939" spans="1:3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row>
    <row r="940" spans="1:3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row>
    <row r="941" spans="1:3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row>
    <row r="942" spans="1:3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row>
    <row r="943" spans="1:3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row>
    <row r="944" spans="1:3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row>
    <row r="945" spans="1:3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row>
    <row r="946" spans="1:3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row>
    <row r="947" spans="1:3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row>
    <row r="948" spans="1:3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row>
    <row r="949" spans="1:3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row>
    <row r="950" spans="1:3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row>
    <row r="951" spans="1:3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row>
    <row r="952" spans="1:3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row>
    <row r="953" spans="1:3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row>
    <row r="954" spans="1:3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row>
    <row r="955" spans="1:3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row>
    <row r="956" spans="1:3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row>
    <row r="957" spans="1:3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row>
    <row r="958" spans="1:3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row>
    <row r="959" spans="1:3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row>
    <row r="960" spans="1:3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row>
    <row r="961" spans="1:3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row>
    <row r="962" spans="1:3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row>
    <row r="963" spans="1:3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row>
    <row r="964" spans="1:3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row>
    <row r="965" spans="1:3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row>
    <row r="966" spans="1:3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row>
    <row r="967" spans="1:3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row>
    <row r="968" spans="1:3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row>
    <row r="969" spans="1:3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row>
    <row r="970" spans="1:3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row>
    <row r="971" spans="1:3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row>
    <row r="972" spans="1:3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row>
    <row r="973" spans="1:3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row>
    <row r="974" spans="1:3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row>
    <row r="975" spans="1:3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row>
    <row r="976" spans="1:3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row>
    <row r="977" spans="1:3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row>
    <row r="978" spans="1:3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row>
    <row r="979" spans="1:3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row>
    <row r="980" spans="1:3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row>
    <row r="981" spans="1:3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row>
    <row r="982" spans="1:3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row>
    <row r="983" spans="1:3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row>
    <row r="984" spans="1:3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row>
    <row r="985" spans="1:3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row>
    <row r="986" spans="1:3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row>
    <row r="987" spans="1:3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row>
    <row r="988" spans="1:3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row>
    <row r="989" spans="1:3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row>
    <row r="990" spans="1:3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row>
    <row r="991" spans="1:3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row>
    <row r="992" spans="1:3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row>
    <row r="993" spans="1:3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row>
    <row r="994" spans="1:3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row>
    <row r="995" spans="1:3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row>
    <row r="996" spans="1:3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row>
    <row r="997" spans="1:3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row>
    <row r="998" spans="1:3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row>
    <row r="999" spans="1:3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row>
    <row r="1000" spans="1:3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row>
  </sheetData>
  <mergeCells count="4">
    <mergeCell ref="A2:AI2"/>
    <mergeCell ref="A3:U3"/>
    <mergeCell ref="V3:AG3"/>
    <mergeCell ref="AH3:AJ3"/>
  </mergeCells>
  <dataValidations count="12">
    <dataValidation type="list" allowBlank="1" sqref="Q5:Q405" xr:uid="{00000000-0002-0000-0300-000000000000}">
      <formula1>"UK-S,UK-A,UK-U"</formula1>
    </dataValidation>
    <dataValidation type="list" allowBlank="1" sqref="I5:L405 AH5:AH405" xr:uid="{00000000-0002-0000-0300-000001000000}">
      <formula1>"Y,N"</formula1>
    </dataValidation>
    <dataValidation type="list" allowBlank="1" sqref="W5:W405" xr:uid="{00000000-0002-0000-0300-000002000000}">
      <formula1>"CP-APP,CP-WEB,CP-IOT,CP-WEAR,CP-OS,CP-SENS,CP-VEH,CP-PLAT,CP-3P,CP-OTH"</formula1>
    </dataValidation>
    <dataValidation type="list" allowBlank="1" sqref="F5:F405" xr:uid="{00000000-0002-0000-0300-000003000000}">
      <formula1>"AUT-EPI,AUT-DEC,AUT-VOL,AUT-BEH,AUT-OPP,AUT-DOM"</formula1>
    </dataValidation>
    <dataValidation type="list" allowBlank="1" sqref="H5:H405" xr:uid="{00000000-0002-0000-0300-000004000000}">
      <formula1>"Facilitation,Intensification,Concealment/Power"</formula1>
    </dataValidation>
    <dataValidation type="list" allowBlank="1" sqref="R5:R405" xr:uid="{00000000-0002-0000-0300-000005000000}">
      <formula1>"H,M,L"</formula1>
    </dataValidation>
    <dataValidation type="list" allowBlank="1" sqref="AB5:AB405" xr:uid="{00000000-0002-0000-0300-000006000000}">
      <formula1>"TM-SOLD,TM-LIC,TM-SHARE,TM-RTB,TM-BROKER,TM-BREACH,TM-UNK"</formula1>
    </dataValidation>
    <dataValidation type="list" allowBlank="1" sqref="AE5:AE405" xr:uid="{00000000-0002-0000-0300-000007000000}">
      <formula1>"TG-GEN,TG-CHILD,TG-DEMO,TG-VULN,TG-POL,TG-HEALTH,TG-CONS,TG-WORK,TG-PROT,TG-OTH"</formula1>
    </dataValidation>
    <dataValidation type="list" allowBlank="1" sqref="X5:X405" xr:uid="{00000000-0002-0000-0300-000008000000}">
      <formula1>"CM-SDK,CM-COOK,CM-FP,CM-TEL,CM-ACCT,CM-NET,CM-LOC,CM-INF,CM-SCR,CM-PUR,CM-OTH"</formula1>
    </dataValidation>
    <dataValidation type="list" allowBlank="1" sqref="AA5:AA405" xr:uid="{00000000-0002-0000-0300-000009000000}">
      <formula1>"RC-FIRST,RC-BROKER,RC-EXCH,RC-ADV,RC-POL,RC-ANALYTICS,RC-GOV,RC-OTH,RC-UNK"</formula1>
    </dataValidation>
    <dataValidation type="list" allowBlank="1" sqref="O5:O405" xr:uid="{00000000-0002-0000-0300-00000A000000}">
      <formula1>"1,2,3"</formula1>
    </dataValidation>
    <dataValidation type="list" allowBlank="1" sqref="AI5:AI405" xr:uid="{00000000-0002-0000-0300-00000B000000}">
      <formula1>"Y,N,partial"</formula1>
    </dataValidation>
  </dataValidations>
  <pageMargins left="0.75" right="0.75" top="1" bottom="1"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workbookViewId="0">
      <pane ySplit="4" topLeftCell="A5" activePane="bottomLeft" state="frozen"/>
      <selection pane="bottomLeft" activeCell="M87" sqref="M87"/>
    </sheetView>
  </sheetViews>
  <sheetFormatPr defaultColWidth="14.42578125" defaultRowHeight="15" customHeight="1"/>
  <cols>
    <col min="1" max="1" width="10" style="2" customWidth="1"/>
    <col min="2" max="2" width="14" customWidth="1"/>
    <col min="3" max="3" width="16" customWidth="1"/>
    <col min="4" max="4" width="12" customWidth="1"/>
    <col min="5" max="5" width="14" customWidth="1"/>
    <col min="6" max="9" width="11" customWidth="1"/>
    <col min="10" max="10" width="14" customWidth="1"/>
    <col min="11" max="11" width="12" customWidth="1"/>
    <col min="12" max="13" width="22" customWidth="1"/>
    <col min="14" max="14" width="12" customWidth="1"/>
    <col min="15" max="26" width="8.7109375" customWidth="1"/>
  </cols>
  <sheetData>
    <row r="1" spans="1:14" ht="17.25" customHeight="1">
      <c r="A1" s="1" t="s">
        <v>2852</v>
      </c>
      <c r="B1" s="2"/>
      <c r="C1" s="2"/>
      <c r="D1" s="2"/>
      <c r="E1" s="2"/>
      <c r="F1" s="2"/>
      <c r="G1" s="2"/>
      <c r="H1" s="2"/>
      <c r="I1" s="2"/>
      <c r="J1" s="2"/>
      <c r="K1" s="2"/>
      <c r="L1" s="2"/>
      <c r="M1" s="2"/>
      <c r="N1" s="2"/>
    </row>
    <row r="2" spans="1:14" ht="15" customHeight="1">
      <c r="A2" s="30" t="s">
        <v>2853</v>
      </c>
      <c r="B2" s="37"/>
      <c r="C2" s="37"/>
      <c r="D2" s="37"/>
      <c r="E2" s="37"/>
      <c r="F2" s="37"/>
      <c r="G2" s="37"/>
      <c r="H2" s="37"/>
      <c r="I2" s="37"/>
      <c r="J2" s="37"/>
      <c r="K2" s="37"/>
      <c r="L2" s="37"/>
      <c r="M2" s="37"/>
      <c r="N2" s="37"/>
    </row>
    <row r="3" spans="1:14">
      <c r="B3" s="2"/>
      <c r="C3" s="2"/>
      <c r="D3" s="2"/>
      <c r="E3" s="2"/>
      <c r="F3" s="2"/>
      <c r="G3" s="2"/>
      <c r="H3" s="2"/>
      <c r="I3" s="2"/>
      <c r="J3" s="2"/>
      <c r="K3" s="2"/>
      <c r="L3" s="2"/>
      <c r="M3" s="2"/>
      <c r="N3" s="2"/>
    </row>
    <row r="4" spans="1:14" ht="39.75" customHeight="1">
      <c r="A4" s="5" t="s">
        <v>2854</v>
      </c>
      <c r="B4" s="5" t="s">
        <v>1108</v>
      </c>
      <c r="C4" s="5" t="s">
        <v>1109</v>
      </c>
      <c r="D4" s="5" t="s">
        <v>2855</v>
      </c>
      <c r="E4" s="5" t="s">
        <v>2856</v>
      </c>
      <c r="F4" s="5" t="s">
        <v>2857</v>
      </c>
      <c r="G4" s="5" t="s">
        <v>2858</v>
      </c>
      <c r="H4" s="5" t="s">
        <v>2859</v>
      </c>
      <c r="I4" s="5" t="s">
        <v>2860</v>
      </c>
      <c r="J4" s="5" t="s">
        <v>2861</v>
      </c>
      <c r="K4" s="5" t="s">
        <v>2862</v>
      </c>
      <c r="L4" s="5" t="s">
        <v>2863</v>
      </c>
      <c r="M4" s="5" t="s">
        <v>2864</v>
      </c>
      <c r="N4" s="5" t="s">
        <v>2865</v>
      </c>
    </row>
    <row r="5" spans="1:14" ht="14.25" customHeight="1">
      <c r="A5" s="7" t="s">
        <v>2866</v>
      </c>
      <c r="B5" s="7" t="s">
        <v>99</v>
      </c>
      <c r="C5" s="7" t="s">
        <v>65</v>
      </c>
      <c r="D5" s="7">
        <f>COUNTIFS(Evidence_Items!E:E,B5,Evidence_Items!F:F,C5,Evidence_Items!M:M,"include")</f>
        <v>4</v>
      </c>
      <c r="E5" s="14">
        <f>SUMIFS(Evidence_Items!O:O,Evidence_Items!E:E,B5,Evidence_Items!F:F,C5,Evidence_Items!M:M,"include")</f>
        <v>11</v>
      </c>
      <c r="F5" s="7">
        <f>COUNTIFS(Evidence_Items!E:E,B5,Evidence_Items!F:F,C5,Evidence_Items!M:M,"include",Evidence_Items!O:O,3)</f>
        <v>3</v>
      </c>
      <c r="G5" s="7">
        <f>COUNTIFS(Evidence_Items!E:E,B5,Evidence_Items!F:F,C5,Evidence_Items!M:M,"include",Evidence_Items!O:O,2)</f>
        <v>1</v>
      </c>
      <c r="H5" s="7">
        <f>COUNTIFS(Evidence_Items!E:E,B5,Evidence_Items!F:F,C5,Evidence_Items!M:M,"include",Evidence_Items!O:O,1)</f>
        <v>0</v>
      </c>
      <c r="I5" s="7">
        <f t="shared" ref="I5:I82" si="0">IFERROR(E5/D5,"")</f>
        <v>2.75</v>
      </c>
      <c r="J5" s="7">
        <f t="shared" ref="J5:J82" si="1">F5*3+G5*2</f>
        <v>11</v>
      </c>
      <c r="K5" s="7">
        <f t="shared" ref="K5:K82" si="2">IF(D5&gt;0,1,0)</f>
        <v>1</v>
      </c>
      <c r="L5" s="7" t="str">
        <f t="array" ref="L5">IFERROR(INDEX(Evidence_Items!P:P,MATCH(1,(Evidence_Items!E:E=B5)*(Evidence_Items!F:F=C5)*(Evidence_Items!M:M="include"),0)),"")</f>
        <v>Technical audit</v>
      </c>
      <c r="M5" s="7" t="str">
        <f t="array" ref="M5">IFERROR(INDEX(Evidence_Items!G:G,MATCH(1,(Evidence_Items!E:E=B5)*(Evidence_Items!F:F=C5)*(Evidence_Items!M:M="include"),0)),"")</f>
        <v>E11 OBSCURES_VISIBILITY</v>
      </c>
      <c r="N5" s="7">
        <f>COUNTIFS(Evidence_Items!E:E,B5,Evidence_Items!F:F,C5,Evidence_Items!M:M,"include",Evidence_Items!Q:Q,"UK-S")</f>
        <v>0</v>
      </c>
    </row>
    <row r="6" spans="1:14" ht="14.25" customHeight="1">
      <c r="A6" s="7" t="s">
        <v>2867</v>
      </c>
      <c r="B6" s="7" t="s">
        <v>99</v>
      </c>
      <c r="C6" s="7" t="s">
        <v>70</v>
      </c>
      <c r="D6" s="7">
        <f>COUNTIFS(Evidence_Items!E:E,B6,Evidence_Items!F:F,C6,Evidence_Items!M:M,"include")</f>
        <v>2</v>
      </c>
      <c r="E6" s="14">
        <f>SUMIFS(Evidence_Items!O:O,Evidence_Items!E:E,B6,Evidence_Items!F:F,C6,Evidence_Items!M:M,"include")</f>
        <v>2</v>
      </c>
      <c r="F6" s="7">
        <f>COUNTIFS(Evidence_Items!E:E,B6,Evidence_Items!F:F,C6,Evidence_Items!M:M,"include",Evidence_Items!O:O,3)</f>
        <v>0</v>
      </c>
      <c r="G6" s="7">
        <f>COUNTIFS(Evidence_Items!E:E,B6,Evidence_Items!F:F,C6,Evidence_Items!M:M,"include",Evidence_Items!O:O,2)</f>
        <v>0</v>
      </c>
      <c r="H6" s="7">
        <f>COUNTIFS(Evidence_Items!E:E,B6,Evidence_Items!F:F,C6,Evidence_Items!M:M,"include",Evidence_Items!O:O,1)</f>
        <v>2</v>
      </c>
      <c r="I6" s="7">
        <f t="shared" si="0"/>
        <v>1</v>
      </c>
      <c r="J6" s="7">
        <f t="shared" si="1"/>
        <v>0</v>
      </c>
      <c r="K6" s="7">
        <f t="shared" si="2"/>
        <v>1</v>
      </c>
      <c r="L6" s="7" t="str">
        <f t="array" ref="L6">IFERROR(INDEX(Evidence_Items!P:P,MATCH(1,(Evidence_Items!E:E=B6)*(Evidence_Items!F:F=C6)*(Evidence_Items!M:M="include"),0)),"")</f>
        <v>Theoretical / conceptual</v>
      </c>
      <c r="M6" s="7" t="str">
        <f t="array" ref="M6">IFERROR(INDEX(Evidence_Items!G:G,MATCH(1,(Evidence_Items!E:E=B6)*(Evidence_Items!F:F=C6)*(Evidence_Items!M:M="include"),0)),"")</f>
        <v>E12 INCREASES_ASYMMETRY</v>
      </c>
      <c r="N6" s="7">
        <f>COUNTIFS(Evidence_Items!E:E,B6,Evidence_Items!F:F,C6,Evidence_Items!M:M,"include",Evidence_Items!Q:Q,"UK-S")</f>
        <v>0</v>
      </c>
    </row>
    <row r="7" spans="1:14" ht="14.25" customHeight="1">
      <c r="A7" s="7" t="s">
        <v>2868</v>
      </c>
      <c r="B7" s="7" t="s">
        <v>99</v>
      </c>
      <c r="C7" s="7" t="s">
        <v>75</v>
      </c>
      <c r="D7" s="7">
        <f>COUNTIFS(Evidence_Items!E:E,B7,Evidence_Items!F:F,C7,Evidence_Items!M:M,"include")</f>
        <v>2</v>
      </c>
      <c r="E7" s="14">
        <f>SUMIFS(Evidence_Items!O:O,Evidence_Items!E:E,B7,Evidence_Items!F:F,C7,Evidence_Items!M:M,"include")</f>
        <v>4</v>
      </c>
      <c r="F7" s="7">
        <f>COUNTIFS(Evidence_Items!E:E,B7,Evidence_Items!F:F,C7,Evidence_Items!M:M,"include",Evidence_Items!O:O,3)</f>
        <v>1</v>
      </c>
      <c r="G7" s="7">
        <f>COUNTIFS(Evidence_Items!E:E,B7,Evidence_Items!F:F,C7,Evidence_Items!M:M,"include",Evidence_Items!O:O,2)</f>
        <v>0</v>
      </c>
      <c r="H7" s="7">
        <f>COUNTIFS(Evidence_Items!E:E,B7,Evidence_Items!F:F,C7,Evidence_Items!M:M,"include",Evidence_Items!O:O,1)</f>
        <v>1</v>
      </c>
      <c r="I7" s="7">
        <f t="shared" si="0"/>
        <v>2</v>
      </c>
      <c r="J7" s="7">
        <f t="shared" si="1"/>
        <v>3</v>
      </c>
      <c r="K7" s="7">
        <f t="shared" si="2"/>
        <v>1</v>
      </c>
      <c r="L7" s="7" t="str">
        <f t="array" ref="L7">IFERROR(INDEX(Evidence_Items!P:P,MATCH(1,(Evidence_Items!E:E=B7)*(Evidence_Items!F:F=C7)*(Evidence_Items!M:M="include"),0)),"")</f>
        <v>Theoretical / conceptual</v>
      </c>
      <c r="M7" s="7" t="str">
        <f t="array" ref="M7">IFERROR(INDEX(Evidence_Items!G:G,MATCH(1,(Evidence_Items!E:E=B7)*(Evidence_Items!F:F=C7)*(Evidence_Items!M:M="include"),0)),"")</f>
        <v>E01 ENABLES</v>
      </c>
      <c r="N7" s="7">
        <f>COUNTIFS(Evidence_Items!E:E,B7,Evidence_Items!F:F,C7,Evidence_Items!M:M,"include",Evidence_Items!Q:Q,"UK-S")</f>
        <v>0</v>
      </c>
    </row>
    <row r="8" spans="1:14" ht="14.25" customHeight="1">
      <c r="A8" s="7" t="s">
        <v>2869</v>
      </c>
      <c r="B8" s="7" t="s">
        <v>99</v>
      </c>
      <c r="C8" s="7" t="s">
        <v>80</v>
      </c>
      <c r="D8" s="7">
        <f>COUNTIFS(Evidence_Items!E:E,B8,Evidence_Items!F:F,C8,Evidence_Items!M:M,"include")</f>
        <v>3</v>
      </c>
      <c r="E8" s="14">
        <f>SUMIFS(Evidence_Items!O:O,Evidence_Items!E:E,B8,Evidence_Items!F:F,C8,Evidence_Items!M:M,"include")</f>
        <v>6</v>
      </c>
      <c r="F8" s="7">
        <f>COUNTIFS(Evidence_Items!E:E,B8,Evidence_Items!F:F,C8,Evidence_Items!M:M,"include",Evidence_Items!O:O,3)</f>
        <v>0</v>
      </c>
      <c r="G8" s="7">
        <f>COUNTIFS(Evidence_Items!E:E,B8,Evidence_Items!F:F,C8,Evidence_Items!M:M,"include",Evidence_Items!O:O,2)</f>
        <v>3</v>
      </c>
      <c r="H8" s="7">
        <f>COUNTIFS(Evidence_Items!E:E,B8,Evidence_Items!F:F,C8,Evidence_Items!M:M,"include",Evidence_Items!O:O,1)</f>
        <v>0</v>
      </c>
      <c r="I8" s="7">
        <f t="shared" si="0"/>
        <v>2</v>
      </c>
      <c r="J8" s="7">
        <f t="shared" si="1"/>
        <v>6</v>
      </c>
      <c r="K8" s="7">
        <f t="shared" si="2"/>
        <v>1</v>
      </c>
      <c r="L8" s="7" t="str">
        <f t="array" ref="L8">IFERROR(INDEX(Evidence_Items!P:P,MATCH(1,(Evidence_Items!E:E=B8)*(Evidence_Items!F:F=C8)*(Evidence_Items!M:M="include"),0)),"")</f>
        <v>Empirical-quantitative</v>
      </c>
      <c r="M8" s="7" t="str">
        <f t="array" ref="M8">IFERROR(INDEX(Evidence_Items!G:G,MATCH(1,(Evidence_Items!E:E=B8)*(Evidence_Items!F:F=C8)*(Evidence_Items!M:M="include"),0)),"")</f>
        <v>E01 ENABLES</v>
      </c>
      <c r="N8" s="7">
        <f>COUNTIFS(Evidence_Items!E:E,B8,Evidence_Items!F:F,C8,Evidence_Items!M:M,"include",Evidence_Items!Q:Q,"UK-S")</f>
        <v>0</v>
      </c>
    </row>
    <row r="9" spans="1:14" ht="14.25" customHeight="1">
      <c r="A9" s="7" t="s">
        <v>2870</v>
      </c>
      <c r="B9" s="7" t="s">
        <v>99</v>
      </c>
      <c r="C9" s="7" t="s">
        <v>85</v>
      </c>
      <c r="D9" s="7">
        <f>COUNTIFS(Evidence_Items!E:E,B9,Evidence_Items!F:F,C9,Evidence_Items!M:M,"include")</f>
        <v>1</v>
      </c>
      <c r="E9" s="14">
        <f>SUMIFS(Evidence_Items!O:O,Evidence_Items!E:E,B9,Evidence_Items!F:F,C9,Evidence_Items!M:M,"include")</f>
        <v>3</v>
      </c>
      <c r="F9" s="7">
        <f>COUNTIFS(Evidence_Items!E:E,B9,Evidence_Items!F:F,C9,Evidence_Items!M:M,"include",Evidence_Items!O:O,3)</f>
        <v>1</v>
      </c>
      <c r="G9" s="7">
        <f>COUNTIFS(Evidence_Items!E:E,B9,Evidence_Items!F:F,C9,Evidence_Items!M:M,"include",Evidence_Items!O:O,2)</f>
        <v>0</v>
      </c>
      <c r="H9" s="7">
        <f>COUNTIFS(Evidence_Items!E:E,B9,Evidence_Items!F:F,C9,Evidence_Items!M:M,"include",Evidence_Items!O:O,1)</f>
        <v>0</v>
      </c>
      <c r="I9" s="7">
        <f t="shared" si="0"/>
        <v>3</v>
      </c>
      <c r="J9" s="7">
        <f t="shared" si="1"/>
        <v>3</v>
      </c>
      <c r="K9" s="7">
        <f t="shared" si="2"/>
        <v>1</v>
      </c>
      <c r="L9" s="7" t="str">
        <f t="array" ref="L9">IFERROR(INDEX(Evidence_Items!P:P,MATCH(1,(Evidence_Items!E:E=B9)*(Evidence_Items!F:F=C9)*(Evidence_Items!M:M="include"),0)),"")</f>
        <v>Technical audit</v>
      </c>
      <c r="M9" s="7" t="str">
        <f t="array" ref="M9">IFERROR(INDEX(Evidence_Items!G:G,MATCH(1,(Evidence_Items!E:E=B9)*(Evidence_Items!F:F=C9)*(Evidence_Items!M:M="include"),0)),"")</f>
        <v>E05 AMPLIFIES</v>
      </c>
      <c r="N9" s="7">
        <f>COUNTIFS(Evidence_Items!E:E,B9,Evidence_Items!F:F,C9,Evidence_Items!M:M,"include",Evidence_Items!Q:Q,"UK-S")</f>
        <v>0</v>
      </c>
    </row>
    <row r="10" spans="1:14" ht="14.25" customHeight="1">
      <c r="A10" s="7" t="s">
        <v>2871</v>
      </c>
      <c r="B10" s="7" t="s">
        <v>99</v>
      </c>
      <c r="C10" s="7" t="s">
        <v>90</v>
      </c>
      <c r="D10" s="7">
        <f>COUNTIFS(Evidence_Items!E:E,B10,Evidence_Items!F:F,C10,Evidence_Items!M:M,"include")</f>
        <v>7</v>
      </c>
      <c r="E10" s="14">
        <f>SUMIFS(Evidence_Items!O:O,Evidence_Items!E:E,B10,Evidence_Items!F:F,C10,Evidence_Items!M:M,"include")</f>
        <v>13</v>
      </c>
      <c r="F10" s="7">
        <f>COUNTIFS(Evidence_Items!E:E,B10,Evidence_Items!F:F,C10,Evidence_Items!M:M,"include",Evidence_Items!O:O,3)</f>
        <v>1</v>
      </c>
      <c r="G10" s="7">
        <f>COUNTIFS(Evidence_Items!E:E,B10,Evidence_Items!F:F,C10,Evidence_Items!M:M,"include",Evidence_Items!O:O,2)</f>
        <v>4</v>
      </c>
      <c r="H10" s="7">
        <f>COUNTIFS(Evidence_Items!E:E,B10,Evidence_Items!F:F,C10,Evidence_Items!M:M,"include",Evidence_Items!O:O,1)</f>
        <v>2</v>
      </c>
      <c r="I10" s="7">
        <f t="shared" si="0"/>
        <v>1.8571428571428572</v>
      </c>
      <c r="J10" s="7">
        <f t="shared" si="1"/>
        <v>11</v>
      </c>
      <c r="K10" s="7">
        <f t="shared" si="2"/>
        <v>1</v>
      </c>
      <c r="L10" s="7" t="str">
        <f t="array" ref="L10">IFERROR(INDEX(Evidence_Items!P:P,MATCH(1,(Evidence_Items!E:E=B10)*(Evidence_Items!F:F=C10)*(Evidence_Items!M:M="include"),0)),"")</f>
        <v>Theoretical / conceptual</v>
      </c>
      <c r="M10" s="7" t="str">
        <f t="array" ref="M10">IFERROR(INDEX(Evidence_Items!G:G,MATCH(1,(Evidence_Items!E:E=B10)*(Evidence_Items!F:F=C10)*(Evidence_Items!M:M="include"),0)),"")</f>
        <v>E12 INCREASES_ASYMMETRY</v>
      </c>
      <c r="N10" s="7">
        <f>COUNTIFS(Evidence_Items!E:E,B10,Evidence_Items!F:F,C10,Evidence_Items!M:M,"include",Evidence_Items!Q:Q,"UK-S")</f>
        <v>3</v>
      </c>
    </row>
    <row r="11" spans="1:14" ht="14.25" customHeight="1">
      <c r="A11" s="7" t="s">
        <v>2872</v>
      </c>
      <c r="B11" s="7" t="s">
        <v>103</v>
      </c>
      <c r="C11" s="7" t="s">
        <v>65</v>
      </c>
      <c r="D11" s="7">
        <f>COUNTIFS(Evidence_Items!E:E,B11,Evidence_Items!F:F,C11,Evidence_Items!M:M,"include")</f>
        <v>4</v>
      </c>
      <c r="E11" s="14">
        <f>SUMIFS(Evidence_Items!O:O,Evidence_Items!E:E,B11,Evidence_Items!F:F,C11,Evidence_Items!M:M,"include")</f>
        <v>11</v>
      </c>
      <c r="F11" s="7">
        <f>COUNTIFS(Evidence_Items!E:E,B11,Evidence_Items!F:F,C11,Evidence_Items!M:M,"include",Evidence_Items!O:O,3)</f>
        <v>3</v>
      </c>
      <c r="G11" s="7">
        <f>COUNTIFS(Evidence_Items!E:E,B11,Evidence_Items!F:F,C11,Evidence_Items!M:M,"include",Evidence_Items!O:O,2)</f>
        <v>1</v>
      </c>
      <c r="H11" s="7">
        <f>COUNTIFS(Evidence_Items!E:E,B11,Evidence_Items!F:F,C11,Evidence_Items!M:M,"include",Evidence_Items!O:O,1)</f>
        <v>0</v>
      </c>
      <c r="I11" s="7">
        <f t="shared" si="0"/>
        <v>2.75</v>
      </c>
      <c r="J11" s="7">
        <f t="shared" si="1"/>
        <v>11</v>
      </c>
      <c r="K11" s="7">
        <f t="shared" si="2"/>
        <v>1</v>
      </c>
      <c r="L11" s="7" t="str">
        <f t="array" ref="L11">IFERROR(INDEX(Evidence_Items!P:P,MATCH(1,(Evidence_Items!E:E=B11)*(Evidence_Items!F:F=C11)*(Evidence_Items!M:M="include"),0)),"")</f>
        <v>Technical audit</v>
      </c>
      <c r="M11" s="7" t="str">
        <f t="array" ref="M11">IFERROR(INDEX(Evidence_Items!G:G,MATCH(1,(Evidence_Items!E:E=B11)*(Evidence_Items!F:F=C11)*(Evidence_Items!M:M="include"),0)),"")</f>
        <v>E11 OBSCURES_VISIBILITY</v>
      </c>
      <c r="N11" s="7">
        <f>COUNTIFS(Evidence_Items!E:E,B11,Evidence_Items!F:F,C11,Evidence_Items!M:M,"include",Evidence_Items!Q:Q,"UK-S")</f>
        <v>0</v>
      </c>
    </row>
    <row r="12" spans="1:14" ht="14.25" customHeight="1">
      <c r="A12" s="7" t="s">
        <v>2873</v>
      </c>
      <c r="B12" s="7" t="s">
        <v>103</v>
      </c>
      <c r="C12" s="7" t="s">
        <v>70</v>
      </c>
      <c r="D12" s="7">
        <f>COUNTIFS(Evidence_Items!E:E,B12,Evidence_Items!F:F,C12,Evidence_Items!M:M,"include")</f>
        <v>0</v>
      </c>
      <c r="E12" s="14">
        <f>SUMIFS(Evidence_Items!O:O,Evidence_Items!E:E,B12,Evidence_Items!F:F,C12,Evidence_Items!M:M,"include")</f>
        <v>0</v>
      </c>
      <c r="F12" s="7">
        <f>COUNTIFS(Evidence_Items!E:E,B12,Evidence_Items!F:F,C12,Evidence_Items!M:M,"include",Evidence_Items!O:O,3)</f>
        <v>0</v>
      </c>
      <c r="G12" s="7">
        <f>COUNTIFS(Evidence_Items!E:E,B12,Evidence_Items!F:F,C12,Evidence_Items!M:M,"include",Evidence_Items!O:O,2)</f>
        <v>0</v>
      </c>
      <c r="H12" s="7">
        <f>COUNTIFS(Evidence_Items!E:E,B12,Evidence_Items!F:F,C12,Evidence_Items!M:M,"include",Evidence_Items!O:O,1)</f>
        <v>0</v>
      </c>
      <c r="I12" s="7" t="str">
        <f t="shared" si="0"/>
        <v/>
      </c>
      <c r="J12" s="7">
        <f t="shared" si="1"/>
        <v>0</v>
      </c>
      <c r="K12" s="7">
        <f t="shared" si="2"/>
        <v>0</v>
      </c>
      <c r="L12" s="7" t="str">
        <f t="array" ref="L12">IFERROR(INDEX(Evidence_Items!P:P,MATCH(1,(Evidence_Items!E:E=B12)*(Evidence_Items!F:F=C12)*(Evidence_Items!M:M="include"),0)),"")</f>
        <v/>
      </c>
      <c r="M12" s="7" t="str">
        <f t="array" ref="M12">IFERROR(INDEX(Evidence_Items!G:G,MATCH(1,(Evidence_Items!E:E=B12)*(Evidence_Items!F:F=C12)*(Evidence_Items!M:M="include"),0)),"")</f>
        <v/>
      </c>
      <c r="N12" s="7">
        <f>COUNTIFS(Evidence_Items!E:E,B12,Evidence_Items!F:F,C12,Evidence_Items!M:M,"include",Evidence_Items!Q:Q,"UK-S")</f>
        <v>0</v>
      </c>
    </row>
    <row r="13" spans="1:14" ht="14.25" customHeight="1">
      <c r="A13" s="7" t="s">
        <v>2874</v>
      </c>
      <c r="B13" s="7" t="s">
        <v>103</v>
      </c>
      <c r="C13" s="7" t="s">
        <v>75</v>
      </c>
      <c r="D13" s="7">
        <f>COUNTIFS(Evidence_Items!E:E,B13,Evidence_Items!F:F,C13,Evidence_Items!M:M,"include")</f>
        <v>0</v>
      </c>
      <c r="E13" s="14">
        <f>SUMIFS(Evidence_Items!O:O,Evidence_Items!E:E,B13,Evidence_Items!F:F,C13,Evidence_Items!M:M,"include")</f>
        <v>0</v>
      </c>
      <c r="F13" s="7">
        <f>COUNTIFS(Evidence_Items!E:E,B13,Evidence_Items!F:F,C13,Evidence_Items!M:M,"include",Evidence_Items!O:O,3)</f>
        <v>0</v>
      </c>
      <c r="G13" s="7">
        <f>COUNTIFS(Evidence_Items!E:E,B13,Evidence_Items!F:F,C13,Evidence_Items!M:M,"include",Evidence_Items!O:O,2)</f>
        <v>0</v>
      </c>
      <c r="H13" s="7">
        <f>COUNTIFS(Evidence_Items!E:E,B13,Evidence_Items!F:F,C13,Evidence_Items!M:M,"include",Evidence_Items!O:O,1)</f>
        <v>0</v>
      </c>
      <c r="I13" s="7" t="str">
        <f t="shared" si="0"/>
        <v/>
      </c>
      <c r="J13" s="7">
        <f t="shared" si="1"/>
        <v>0</v>
      </c>
      <c r="K13" s="7">
        <f t="shared" si="2"/>
        <v>0</v>
      </c>
      <c r="L13" s="7" t="str">
        <f t="array" ref="L13">IFERROR(INDEX(Evidence_Items!P:P,MATCH(1,(Evidence_Items!E:E=B13)*(Evidence_Items!F:F=C13)*(Evidence_Items!M:M="include"),0)),"")</f>
        <v/>
      </c>
      <c r="M13" s="7" t="str">
        <f t="array" ref="M13">IFERROR(INDEX(Evidence_Items!G:G,MATCH(1,(Evidence_Items!E:E=B13)*(Evidence_Items!F:F=C13)*(Evidence_Items!M:M="include"),0)),"")</f>
        <v/>
      </c>
      <c r="N13" s="7">
        <f>COUNTIFS(Evidence_Items!E:E,B13,Evidence_Items!F:F,C13,Evidence_Items!M:M,"include",Evidence_Items!Q:Q,"UK-S")</f>
        <v>0</v>
      </c>
    </row>
    <row r="14" spans="1:14" ht="14.25" customHeight="1">
      <c r="A14" s="7" t="s">
        <v>2875</v>
      </c>
      <c r="B14" s="7" t="s">
        <v>103</v>
      </c>
      <c r="C14" s="7" t="s">
        <v>80</v>
      </c>
      <c r="D14" s="7">
        <f>COUNTIFS(Evidence_Items!E:E,B14,Evidence_Items!F:F,C14,Evidence_Items!M:M,"include")</f>
        <v>0</v>
      </c>
      <c r="E14" s="14">
        <f>SUMIFS(Evidence_Items!O:O,Evidence_Items!E:E,B14,Evidence_Items!F:F,C14,Evidence_Items!M:M,"include")</f>
        <v>0</v>
      </c>
      <c r="F14" s="7">
        <f>COUNTIFS(Evidence_Items!E:E,B14,Evidence_Items!F:F,C14,Evidence_Items!M:M,"include",Evidence_Items!O:O,3)</f>
        <v>0</v>
      </c>
      <c r="G14" s="7">
        <f>COUNTIFS(Evidence_Items!E:E,B14,Evidence_Items!F:F,C14,Evidence_Items!M:M,"include",Evidence_Items!O:O,2)</f>
        <v>0</v>
      </c>
      <c r="H14" s="7">
        <f>COUNTIFS(Evidence_Items!E:E,B14,Evidence_Items!F:F,C14,Evidence_Items!M:M,"include",Evidence_Items!O:O,1)</f>
        <v>0</v>
      </c>
      <c r="I14" s="7" t="str">
        <f t="shared" si="0"/>
        <v/>
      </c>
      <c r="J14" s="7">
        <f t="shared" si="1"/>
        <v>0</v>
      </c>
      <c r="K14" s="7">
        <f t="shared" si="2"/>
        <v>0</v>
      </c>
      <c r="L14" s="7" t="str">
        <f t="array" ref="L14">IFERROR(INDEX(Evidence_Items!P:P,MATCH(1,(Evidence_Items!E:E=B14)*(Evidence_Items!F:F=C14)*(Evidence_Items!M:M="include"),0)),"")</f>
        <v/>
      </c>
      <c r="M14" s="7" t="str">
        <f t="array" ref="M14">IFERROR(INDEX(Evidence_Items!G:G,MATCH(1,(Evidence_Items!E:E=B14)*(Evidence_Items!F:F=C14)*(Evidence_Items!M:M="include"),0)),"")</f>
        <v/>
      </c>
      <c r="N14" s="7">
        <f>COUNTIFS(Evidence_Items!E:E,B14,Evidence_Items!F:F,C14,Evidence_Items!M:M,"include",Evidence_Items!Q:Q,"UK-S")</f>
        <v>0</v>
      </c>
    </row>
    <row r="15" spans="1:14" ht="14.25" customHeight="1">
      <c r="A15" s="7" t="s">
        <v>2876</v>
      </c>
      <c r="B15" s="7" t="s">
        <v>103</v>
      </c>
      <c r="C15" s="7" t="s">
        <v>85</v>
      </c>
      <c r="D15" s="7">
        <f>COUNTIFS(Evidence_Items!E:E,B15,Evidence_Items!F:F,C15,Evidence_Items!M:M,"include")</f>
        <v>0</v>
      </c>
      <c r="E15" s="14">
        <f>SUMIFS(Evidence_Items!O:O,Evidence_Items!E:E,B15,Evidence_Items!F:F,C15,Evidence_Items!M:M,"include")</f>
        <v>0</v>
      </c>
      <c r="F15" s="7">
        <f>COUNTIFS(Evidence_Items!E:E,B15,Evidence_Items!F:F,C15,Evidence_Items!M:M,"include",Evidence_Items!O:O,3)</f>
        <v>0</v>
      </c>
      <c r="G15" s="7">
        <f>COUNTIFS(Evidence_Items!E:E,B15,Evidence_Items!F:F,C15,Evidence_Items!M:M,"include",Evidence_Items!O:O,2)</f>
        <v>0</v>
      </c>
      <c r="H15" s="7">
        <f>COUNTIFS(Evidence_Items!E:E,B15,Evidence_Items!F:F,C15,Evidence_Items!M:M,"include",Evidence_Items!O:O,1)</f>
        <v>0</v>
      </c>
      <c r="I15" s="7" t="str">
        <f t="shared" si="0"/>
        <v/>
      </c>
      <c r="J15" s="7">
        <f t="shared" si="1"/>
        <v>0</v>
      </c>
      <c r="K15" s="7">
        <f t="shared" si="2"/>
        <v>0</v>
      </c>
      <c r="L15" s="7" t="str">
        <f t="array" ref="L15">IFERROR(INDEX(Evidence_Items!P:P,MATCH(1,(Evidence_Items!E:E=B15)*(Evidence_Items!F:F=C15)*(Evidence_Items!M:M="include"),0)),"")</f>
        <v/>
      </c>
      <c r="M15" s="7" t="str">
        <f t="array" ref="M15">IFERROR(INDEX(Evidence_Items!G:G,MATCH(1,(Evidence_Items!E:E=B15)*(Evidence_Items!F:F=C15)*(Evidence_Items!M:M="include"),0)),"")</f>
        <v/>
      </c>
      <c r="N15" s="7">
        <f>COUNTIFS(Evidence_Items!E:E,B15,Evidence_Items!F:F,C15,Evidence_Items!M:M,"include",Evidence_Items!Q:Q,"UK-S")</f>
        <v>0</v>
      </c>
    </row>
    <row r="16" spans="1:14" ht="14.25" customHeight="1">
      <c r="A16" s="7" t="s">
        <v>2877</v>
      </c>
      <c r="B16" s="7" t="s">
        <v>103</v>
      </c>
      <c r="C16" s="7" t="s">
        <v>90</v>
      </c>
      <c r="D16" s="7">
        <f>COUNTIFS(Evidence_Items!E:E,B16,Evidence_Items!F:F,C16,Evidence_Items!M:M,"include")</f>
        <v>1</v>
      </c>
      <c r="E16" s="14">
        <f>SUMIFS(Evidence_Items!O:O,Evidence_Items!E:E,B16,Evidence_Items!F:F,C16,Evidence_Items!M:M,"include")</f>
        <v>2</v>
      </c>
      <c r="F16" s="7">
        <f>COUNTIFS(Evidence_Items!E:E,B16,Evidence_Items!F:F,C16,Evidence_Items!M:M,"include",Evidence_Items!O:O,3)</f>
        <v>0</v>
      </c>
      <c r="G16" s="7">
        <f>COUNTIFS(Evidence_Items!E:E,B16,Evidence_Items!F:F,C16,Evidence_Items!M:M,"include",Evidence_Items!O:O,2)</f>
        <v>1</v>
      </c>
      <c r="H16" s="7">
        <f>COUNTIFS(Evidence_Items!E:E,B16,Evidence_Items!F:F,C16,Evidence_Items!M:M,"include",Evidence_Items!O:O,1)</f>
        <v>0</v>
      </c>
      <c r="I16" s="7">
        <f t="shared" si="0"/>
        <v>2</v>
      </c>
      <c r="J16" s="7">
        <f t="shared" si="1"/>
        <v>2</v>
      </c>
      <c r="K16" s="7">
        <f t="shared" si="2"/>
        <v>1</v>
      </c>
      <c r="L16" s="7" t="str">
        <f t="array" ref="L16">IFERROR(INDEX(Evidence_Items!P:P,MATCH(1,(Evidence_Items!E:E=B16)*(Evidence_Items!F:F=C16)*(Evidence_Items!M:M="include"),0)),"")</f>
        <v>Regulatory / legal</v>
      </c>
      <c r="M16" s="7" t="str">
        <f t="array" ref="M16">IFERROR(INDEX(Evidence_Items!G:G,MATCH(1,(Evidence_Items!E:E=B16)*(Evidence_Items!F:F=C16)*(Evidence_Items!M:M="include"),0)),"")</f>
        <v>E12 INCREASES_ASYMMETRY</v>
      </c>
      <c r="N16" s="7">
        <f>COUNTIFS(Evidence_Items!E:E,B16,Evidence_Items!F:F,C16,Evidence_Items!M:M,"include",Evidence_Items!Q:Q,"UK-S")</f>
        <v>0</v>
      </c>
    </row>
    <row r="17" spans="1:14" ht="14.25" customHeight="1">
      <c r="A17" s="7" t="s">
        <v>2878</v>
      </c>
      <c r="B17" s="7" t="s">
        <v>106</v>
      </c>
      <c r="C17" s="7" t="s">
        <v>65</v>
      </c>
      <c r="D17" s="7">
        <f>COUNTIFS(Evidence_Items!E:E,B17,Evidence_Items!F:F,C17,Evidence_Items!M:M,"include")</f>
        <v>1</v>
      </c>
      <c r="E17" s="14">
        <f>SUMIFS(Evidence_Items!O:O,Evidence_Items!E:E,B17,Evidence_Items!F:F,C17,Evidence_Items!M:M,"include")</f>
        <v>3</v>
      </c>
      <c r="F17" s="7">
        <f>COUNTIFS(Evidence_Items!E:E,B17,Evidence_Items!F:F,C17,Evidence_Items!M:M,"include",Evidence_Items!O:O,3)</f>
        <v>1</v>
      </c>
      <c r="G17" s="7">
        <f>COUNTIFS(Evidence_Items!E:E,B17,Evidence_Items!F:F,C17,Evidence_Items!M:M,"include",Evidence_Items!O:O,2)</f>
        <v>0</v>
      </c>
      <c r="H17" s="7">
        <f>COUNTIFS(Evidence_Items!E:E,B17,Evidence_Items!F:F,C17,Evidence_Items!M:M,"include",Evidence_Items!O:O,1)</f>
        <v>0</v>
      </c>
      <c r="I17" s="7">
        <f t="shared" si="0"/>
        <v>3</v>
      </c>
      <c r="J17" s="7">
        <f t="shared" si="1"/>
        <v>3</v>
      </c>
      <c r="K17" s="7">
        <f t="shared" si="2"/>
        <v>1</v>
      </c>
      <c r="L17" s="7" t="str">
        <f t="array" ref="L17">IFERROR(INDEX(Evidence_Items!P:P,MATCH(1,(Evidence_Items!E:E=B17)*(Evidence_Items!F:F=C17)*(Evidence_Items!M:M="include"),0)),"")</f>
        <v>Empirical-quantitative</v>
      </c>
      <c r="M17" s="7" t="str">
        <f t="array" ref="M17">IFERROR(INDEX(Evidence_Items!G:G,MATCH(1,(Evidence_Items!E:E=B17)*(Evidence_Items!F:F=C17)*(Evidence_Items!M:M="include"),0)),"")</f>
        <v>E07 INCREASES_PRECISION</v>
      </c>
      <c r="N17" s="7">
        <f>COUNTIFS(Evidence_Items!E:E,B17,Evidence_Items!F:F,C17,Evidence_Items!M:M,"include",Evidence_Items!Q:Q,"UK-S")</f>
        <v>0</v>
      </c>
    </row>
    <row r="18" spans="1:14" ht="14.25" customHeight="1">
      <c r="A18" s="7" t="s">
        <v>2879</v>
      </c>
      <c r="B18" s="7" t="s">
        <v>106</v>
      </c>
      <c r="C18" s="7" t="s">
        <v>70</v>
      </c>
      <c r="D18" s="7">
        <f>COUNTIFS(Evidence_Items!E:E,B18,Evidence_Items!F:F,C18,Evidence_Items!M:M,"include")</f>
        <v>11</v>
      </c>
      <c r="E18" s="14">
        <f>SUMIFS(Evidence_Items!O:O,Evidence_Items!E:E,B18,Evidence_Items!F:F,C18,Evidence_Items!M:M,"include")</f>
        <v>25</v>
      </c>
      <c r="F18" s="7">
        <f>COUNTIFS(Evidence_Items!E:E,B18,Evidence_Items!F:F,C18,Evidence_Items!M:M,"include",Evidence_Items!O:O,3)</f>
        <v>6</v>
      </c>
      <c r="G18" s="7">
        <f>COUNTIFS(Evidence_Items!E:E,B18,Evidence_Items!F:F,C18,Evidence_Items!M:M,"include",Evidence_Items!O:O,2)</f>
        <v>2</v>
      </c>
      <c r="H18" s="7">
        <f>COUNTIFS(Evidence_Items!E:E,B18,Evidence_Items!F:F,C18,Evidence_Items!M:M,"include",Evidence_Items!O:O,1)</f>
        <v>3</v>
      </c>
      <c r="I18" s="7">
        <f t="shared" si="0"/>
        <v>2.2727272727272729</v>
      </c>
      <c r="J18" s="7">
        <f t="shared" si="1"/>
        <v>22</v>
      </c>
      <c r="K18" s="7">
        <f t="shared" si="2"/>
        <v>1</v>
      </c>
      <c r="L18" s="7" t="str">
        <f t="array" ref="L18">IFERROR(INDEX(Evidence_Items!P:P,MATCH(1,(Evidence_Items!E:E=B18)*(Evidence_Items!F:F=C18)*(Evidence_Items!M:M="include"),0)),"")</f>
        <v>Theoretical / conceptual</v>
      </c>
      <c r="M18" s="7" t="str">
        <f t="array" ref="M18">IFERROR(INDEX(Evidence_Items!G:G,MATCH(1,(Evidence_Items!E:E=B18)*(Evidence_Items!F:F=C18)*(Evidence_Items!M:M="include"),0)),"")</f>
        <v>E07 INCREASES_PRECISION</v>
      </c>
      <c r="N18" s="7">
        <f>COUNTIFS(Evidence_Items!E:E,B18,Evidence_Items!F:F,C18,Evidence_Items!M:M,"include",Evidence_Items!Q:Q,"UK-S")</f>
        <v>1</v>
      </c>
    </row>
    <row r="19" spans="1:14" ht="14.25" customHeight="1">
      <c r="A19" s="7" t="s">
        <v>2880</v>
      </c>
      <c r="B19" s="7" t="s">
        <v>106</v>
      </c>
      <c r="C19" s="7" t="s">
        <v>75</v>
      </c>
      <c r="D19" s="7">
        <f>COUNTIFS(Evidence_Items!E:E,B19,Evidence_Items!F:F,C19,Evidence_Items!M:M,"include")</f>
        <v>0</v>
      </c>
      <c r="E19" s="14">
        <f>SUMIFS(Evidence_Items!O:O,Evidence_Items!E:E,B19,Evidence_Items!F:F,C19,Evidence_Items!M:M,"include")</f>
        <v>0</v>
      </c>
      <c r="F19" s="7">
        <f>COUNTIFS(Evidence_Items!E:E,B19,Evidence_Items!F:F,C19,Evidence_Items!M:M,"include",Evidence_Items!O:O,3)</f>
        <v>0</v>
      </c>
      <c r="G19" s="7">
        <f>COUNTIFS(Evidence_Items!E:E,B19,Evidence_Items!F:F,C19,Evidence_Items!M:M,"include",Evidence_Items!O:O,2)</f>
        <v>0</v>
      </c>
      <c r="H19" s="7">
        <f>COUNTIFS(Evidence_Items!E:E,B19,Evidence_Items!F:F,C19,Evidence_Items!M:M,"include",Evidence_Items!O:O,1)</f>
        <v>0</v>
      </c>
      <c r="I19" s="7" t="str">
        <f t="shared" si="0"/>
        <v/>
      </c>
      <c r="J19" s="7">
        <f t="shared" si="1"/>
        <v>0</v>
      </c>
      <c r="K19" s="7">
        <f t="shared" si="2"/>
        <v>0</v>
      </c>
      <c r="L19" s="7" t="str">
        <f t="array" ref="L19">IFERROR(INDEX(Evidence_Items!P:P,MATCH(1,(Evidence_Items!E:E=B19)*(Evidence_Items!F:F=C19)*(Evidence_Items!M:M="include"),0)),"")</f>
        <v/>
      </c>
      <c r="M19" s="7" t="str">
        <f t="array" ref="M19">IFERROR(INDEX(Evidence_Items!G:G,MATCH(1,(Evidence_Items!E:E=B19)*(Evidence_Items!F:F=C19)*(Evidence_Items!M:M="include"),0)),"")</f>
        <v/>
      </c>
      <c r="N19" s="7">
        <f>COUNTIFS(Evidence_Items!E:E,B19,Evidence_Items!F:F,C19,Evidence_Items!M:M,"include",Evidence_Items!Q:Q,"UK-S")</f>
        <v>0</v>
      </c>
    </row>
    <row r="20" spans="1:14" ht="14.25" customHeight="1">
      <c r="A20" s="7" t="s">
        <v>2881</v>
      </c>
      <c r="B20" s="7" t="s">
        <v>106</v>
      </c>
      <c r="C20" s="7" t="s">
        <v>80</v>
      </c>
      <c r="D20" s="7">
        <f>COUNTIFS(Evidence_Items!E:E,B20,Evidence_Items!F:F,C20,Evidence_Items!M:M,"include")</f>
        <v>1</v>
      </c>
      <c r="E20" s="14">
        <f>SUMIFS(Evidence_Items!O:O,Evidence_Items!E:E,B20,Evidence_Items!F:F,C20,Evidence_Items!M:M,"include")</f>
        <v>3</v>
      </c>
      <c r="F20" s="7">
        <f>COUNTIFS(Evidence_Items!E:E,B20,Evidence_Items!F:F,C20,Evidence_Items!M:M,"include",Evidence_Items!O:O,3)</f>
        <v>1</v>
      </c>
      <c r="G20" s="7">
        <f>COUNTIFS(Evidence_Items!E:E,B20,Evidence_Items!F:F,C20,Evidence_Items!M:M,"include",Evidence_Items!O:O,2)</f>
        <v>0</v>
      </c>
      <c r="H20" s="7">
        <f>COUNTIFS(Evidence_Items!E:E,B20,Evidence_Items!F:F,C20,Evidence_Items!M:M,"include",Evidence_Items!O:O,1)</f>
        <v>0</v>
      </c>
      <c r="I20" s="7">
        <f t="shared" si="0"/>
        <v>3</v>
      </c>
      <c r="J20" s="7">
        <f t="shared" si="1"/>
        <v>3</v>
      </c>
      <c r="K20" s="7">
        <f t="shared" si="2"/>
        <v>1</v>
      </c>
      <c r="L20" s="7" t="str">
        <f t="array" ref="L20">IFERROR(INDEX(Evidence_Items!P:P,MATCH(1,(Evidence_Items!E:E=B20)*(Evidence_Items!F:F=C20)*(Evidence_Items!M:M="include"),0)),"")</f>
        <v>Empirical-quantitative</v>
      </c>
      <c r="M20" s="7" t="str">
        <f t="array" ref="M20">IFERROR(INDEX(Evidence_Items!G:G,MATCH(1,(Evidence_Items!E:E=B20)*(Evidence_Items!F:F=C20)*(Evidence_Items!M:M="include"),0)),"")</f>
        <v>E13 INVITES</v>
      </c>
      <c r="N20" s="7">
        <f>COUNTIFS(Evidence_Items!E:E,B20,Evidence_Items!F:F,C20,Evidence_Items!M:M,"include",Evidence_Items!Q:Q,"UK-S")</f>
        <v>0</v>
      </c>
    </row>
    <row r="21" spans="1:14" ht="14.25" customHeight="1">
      <c r="A21" s="7" t="s">
        <v>2882</v>
      </c>
      <c r="B21" s="7" t="s">
        <v>106</v>
      </c>
      <c r="C21" s="7" t="s">
        <v>85</v>
      </c>
      <c r="D21" s="7">
        <f>COUNTIFS(Evidence_Items!E:E,B21,Evidence_Items!F:F,C21,Evidence_Items!M:M,"include")</f>
        <v>3</v>
      </c>
      <c r="E21" s="14">
        <f>SUMIFS(Evidence_Items!O:O,Evidence_Items!E:E,B21,Evidence_Items!F:F,C21,Evidence_Items!M:M,"include")</f>
        <v>9</v>
      </c>
      <c r="F21" s="7">
        <f>COUNTIFS(Evidence_Items!E:E,B21,Evidence_Items!F:F,C21,Evidence_Items!M:M,"include",Evidence_Items!O:O,3)</f>
        <v>3</v>
      </c>
      <c r="G21" s="7">
        <f>COUNTIFS(Evidence_Items!E:E,B21,Evidence_Items!F:F,C21,Evidence_Items!M:M,"include",Evidence_Items!O:O,2)</f>
        <v>0</v>
      </c>
      <c r="H21" s="7">
        <f>COUNTIFS(Evidence_Items!E:E,B21,Evidence_Items!F:F,C21,Evidence_Items!M:M,"include",Evidence_Items!O:O,1)</f>
        <v>0</v>
      </c>
      <c r="I21" s="7">
        <f t="shared" si="0"/>
        <v>3</v>
      </c>
      <c r="J21" s="7">
        <f t="shared" si="1"/>
        <v>9</v>
      </c>
      <c r="K21" s="7">
        <f t="shared" si="2"/>
        <v>1</v>
      </c>
      <c r="L21" s="7" t="str">
        <f t="array" ref="L21">IFERROR(INDEX(Evidence_Items!P:P,MATCH(1,(Evidence_Items!E:E=B21)*(Evidence_Items!F:F=C21)*(Evidence_Items!M:M="include"),0)),"")</f>
        <v>Technical audit</v>
      </c>
      <c r="M21" s="7" t="str">
        <f t="array" ref="M21">IFERROR(INDEX(Evidence_Items!G:G,MATCH(1,(Evidence_Items!E:E=B21)*(Evidence_Items!F:F=C21)*(Evidence_Items!M:M="include"),0)),"")</f>
        <v>E01 ENABLES</v>
      </c>
      <c r="N21" s="7">
        <f>COUNTIFS(Evidence_Items!E:E,B21,Evidence_Items!F:F,C21,Evidence_Items!M:M,"include",Evidence_Items!Q:Q,"UK-S")</f>
        <v>0</v>
      </c>
    </row>
    <row r="22" spans="1:14" ht="14.25" customHeight="1">
      <c r="A22" s="7" t="s">
        <v>2883</v>
      </c>
      <c r="B22" s="7" t="s">
        <v>106</v>
      </c>
      <c r="C22" s="7" t="s">
        <v>90</v>
      </c>
      <c r="D22" s="7">
        <f>COUNTIFS(Evidence_Items!E:E,B22,Evidence_Items!F:F,C22,Evidence_Items!M:M,"include")</f>
        <v>0</v>
      </c>
      <c r="E22" s="14">
        <f>SUMIFS(Evidence_Items!O:O,Evidence_Items!E:E,B22,Evidence_Items!F:F,C22,Evidence_Items!M:M,"include")</f>
        <v>0</v>
      </c>
      <c r="F22" s="7">
        <f>COUNTIFS(Evidence_Items!E:E,B22,Evidence_Items!F:F,C22,Evidence_Items!M:M,"include",Evidence_Items!O:O,3)</f>
        <v>0</v>
      </c>
      <c r="G22" s="7">
        <f>COUNTIFS(Evidence_Items!E:E,B22,Evidence_Items!F:F,C22,Evidence_Items!M:M,"include",Evidence_Items!O:O,2)</f>
        <v>0</v>
      </c>
      <c r="H22" s="7">
        <f>COUNTIFS(Evidence_Items!E:E,B22,Evidence_Items!F:F,C22,Evidence_Items!M:M,"include",Evidence_Items!O:O,1)</f>
        <v>0</v>
      </c>
      <c r="I22" s="7" t="str">
        <f t="shared" si="0"/>
        <v/>
      </c>
      <c r="J22" s="7">
        <f t="shared" si="1"/>
        <v>0</v>
      </c>
      <c r="K22" s="7">
        <f t="shared" si="2"/>
        <v>0</v>
      </c>
      <c r="L22" s="7" t="str">
        <f t="array" ref="L22">IFERROR(INDEX(Evidence_Items!P:P,MATCH(1,(Evidence_Items!E:E=B22)*(Evidence_Items!F:F=C22)*(Evidence_Items!M:M="include"),0)),"")</f>
        <v/>
      </c>
      <c r="M22" s="7" t="str">
        <f t="array" ref="M22">IFERROR(INDEX(Evidence_Items!G:G,MATCH(1,(Evidence_Items!E:E=B22)*(Evidence_Items!F:F=C22)*(Evidence_Items!M:M="include"),0)),"")</f>
        <v/>
      </c>
      <c r="N22" s="7">
        <f>COUNTIFS(Evidence_Items!E:E,B22,Evidence_Items!F:F,C22,Evidence_Items!M:M,"include",Evidence_Items!Q:Q,"UK-S")</f>
        <v>0</v>
      </c>
    </row>
    <row r="23" spans="1:14" ht="14.25" customHeight="1">
      <c r="A23" s="7" t="s">
        <v>2884</v>
      </c>
      <c r="B23" s="7" t="s">
        <v>109</v>
      </c>
      <c r="C23" s="7" t="s">
        <v>65</v>
      </c>
      <c r="D23" s="7">
        <f>COUNTIFS(Evidence_Items!E:E,B23,Evidence_Items!F:F,C23,Evidence_Items!M:M,"include")</f>
        <v>2</v>
      </c>
      <c r="E23" s="14">
        <f>SUMIFS(Evidence_Items!O:O,Evidence_Items!E:E,B23,Evidence_Items!F:F,C23,Evidence_Items!M:M,"include")</f>
        <v>6</v>
      </c>
      <c r="F23" s="7">
        <f>COUNTIFS(Evidence_Items!E:E,B23,Evidence_Items!F:F,C23,Evidence_Items!M:M,"include",Evidence_Items!O:O,3)</f>
        <v>2</v>
      </c>
      <c r="G23" s="7">
        <f>COUNTIFS(Evidence_Items!E:E,B23,Evidence_Items!F:F,C23,Evidence_Items!M:M,"include",Evidence_Items!O:O,2)</f>
        <v>0</v>
      </c>
      <c r="H23" s="7">
        <f>COUNTIFS(Evidence_Items!E:E,B23,Evidence_Items!F:F,C23,Evidence_Items!M:M,"include",Evidence_Items!O:O,1)</f>
        <v>0</v>
      </c>
      <c r="I23" s="7">
        <f t="shared" si="0"/>
        <v>3</v>
      </c>
      <c r="J23" s="7">
        <f t="shared" si="1"/>
        <v>6</v>
      </c>
      <c r="K23" s="7">
        <f t="shared" si="2"/>
        <v>1</v>
      </c>
      <c r="L23" s="7" t="str">
        <f t="array" ref="L23">IFERROR(INDEX(Evidence_Items!P:P,MATCH(1,(Evidence_Items!E:E=B23)*(Evidence_Items!F:F=C23)*(Evidence_Items!M:M="include"),0)),"")</f>
        <v>Regulatory / legal</v>
      </c>
      <c r="M23" s="7" t="str">
        <f t="array" ref="M23">IFERROR(INDEX(Evidence_Items!G:G,MATCH(1,(Evidence_Items!E:E=B23)*(Evidence_Items!F:F=C23)*(Evidence_Items!M:M="include"),0)),"")</f>
        <v>E11 OBSCURES_VISIBILITY</v>
      </c>
      <c r="N23" s="7">
        <f>COUNTIFS(Evidence_Items!E:E,B23,Evidence_Items!F:F,C23,Evidence_Items!M:M,"include",Evidence_Items!Q:Q,"UK-S")</f>
        <v>1</v>
      </c>
    </row>
    <row r="24" spans="1:14" ht="14.25" customHeight="1">
      <c r="A24" s="7" t="s">
        <v>2885</v>
      </c>
      <c r="B24" s="7" t="s">
        <v>109</v>
      </c>
      <c r="C24" s="7" t="s">
        <v>70</v>
      </c>
      <c r="D24" s="7">
        <f>COUNTIFS(Evidence_Items!E:E,B24,Evidence_Items!F:F,C24,Evidence_Items!M:M,"include")</f>
        <v>0</v>
      </c>
      <c r="E24" s="14">
        <f>SUMIFS(Evidence_Items!O:O,Evidence_Items!E:E,B24,Evidence_Items!F:F,C24,Evidence_Items!M:M,"include")</f>
        <v>0</v>
      </c>
      <c r="F24" s="7">
        <f>COUNTIFS(Evidence_Items!E:E,B24,Evidence_Items!F:F,C24,Evidence_Items!M:M,"include",Evidence_Items!O:O,3)</f>
        <v>0</v>
      </c>
      <c r="G24" s="7">
        <f>COUNTIFS(Evidence_Items!E:E,B24,Evidence_Items!F:F,C24,Evidence_Items!M:M,"include",Evidence_Items!O:O,2)</f>
        <v>0</v>
      </c>
      <c r="H24" s="7">
        <f>COUNTIFS(Evidence_Items!E:E,B24,Evidence_Items!F:F,C24,Evidence_Items!M:M,"include",Evidence_Items!O:O,1)</f>
        <v>0</v>
      </c>
      <c r="I24" s="7" t="str">
        <f t="shared" si="0"/>
        <v/>
      </c>
      <c r="J24" s="7">
        <f t="shared" si="1"/>
        <v>0</v>
      </c>
      <c r="K24" s="7">
        <f t="shared" si="2"/>
        <v>0</v>
      </c>
      <c r="L24" s="7" t="str">
        <f t="array" ref="L24">IFERROR(INDEX(Evidence_Items!P:P,MATCH(1,(Evidence_Items!E:E=B24)*(Evidence_Items!F:F=C24)*(Evidence_Items!M:M="include"),0)),"")</f>
        <v/>
      </c>
      <c r="M24" s="7" t="str">
        <f t="array" ref="M24">IFERROR(INDEX(Evidence_Items!G:G,MATCH(1,(Evidence_Items!E:E=B24)*(Evidence_Items!F:F=C24)*(Evidence_Items!M:M="include"),0)),"")</f>
        <v/>
      </c>
      <c r="N24" s="7">
        <f>COUNTIFS(Evidence_Items!E:E,B24,Evidence_Items!F:F,C24,Evidence_Items!M:M,"include",Evidence_Items!Q:Q,"UK-S")</f>
        <v>0</v>
      </c>
    </row>
    <row r="25" spans="1:14" ht="14.25" customHeight="1">
      <c r="A25" s="7" t="s">
        <v>2886</v>
      </c>
      <c r="B25" s="7" t="s">
        <v>109</v>
      </c>
      <c r="C25" s="7" t="s">
        <v>75</v>
      </c>
      <c r="D25" s="7">
        <f>COUNTIFS(Evidence_Items!E:E,B25,Evidence_Items!F:F,C25,Evidence_Items!M:M,"include")</f>
        <v>0</v>
      </c>
      <c r="E25" s="14">
        <f>SUMIFS(Evidence_Items!O:O,Evidence_Items!E:E,B25,Evidence_Items!F:F,C25,Evidence_Items!M:M,"include")</f>
        <v>0</v>
      </c>
      <c r="F25" s="7">
        <f>COUNTIFS(Evidence_Items!E:E,B25,Evidence_Items!F:F,C25,Evidence_Items!M:M,"include",Evidence_Items!O:O,3)</f>
        <v>0</v>
      </c>
      <c r="G25" s="7">
        <f>COUNTIFS(Evidence_Items!E:E,B25,Evidence_Items!F:F,C25,Evidence_Items!M:M,"include",Evidence_Items!O:O,2)</f>
        <v>0</v>
      </c>
      <c r="H25" s="7">
        <f>COUNTIFS(Evidence_Items!E:E,B25,Evidence_Items!F:F,C25,Evidence_Items!M:M,"include",Evidence_Items!O:O,1)</f>
        <v>0</v>
      </c>
      <c r="I25" s="7" t="str">
        <f t="shared" si="0"/>
        <v/>
      </c>
      <c r="J25" s="7">
        <f t="shared" si="1"/>
        <v>0</v>
      </c>
      <c r="K25" s="7">
        <f t="shared" si="2"/>
        <v>0</v>
      </c>
      <c r="L25" s="7" t="str">
        <f t="array" ref="L25">IFERROR(INDEX(Evidence_Items!P:P,MATCH(1,(Evidence_Items!E:E=B25)*(Evidence_Items!F:F=C25)*(Evidence_Items!M:M="include"),0)),"")</f>
        <v/>
      </c>
      <c r="M25" s="7" t="str">
        <f t="array" ref="M25">IFERROR(INDEX(Evidence_Items!G:G,MATCH(1,(Evidence_Items!E:E=B25)*(Evidence_Items!F:F=C25)*(Evidence_Items!M:M="include"),0)),"")</f>
        <v/>
      </c>
      <c r="N25" s="7">
        <f>COUNTIFS(Evidence_Items!E:E,B25,Evidence_Items!F:F,C25,Evidence_Items!M:M,"include",Evidence_Items!Q:Q,"UK-S")</f>
        <v>0</v>
      </c>
    </row>
    <row r="26" spans="1:14" ht="14.25" customHeight="1">
      <c r="A26" s="7" t="s">
        <v>2887</v>
      </c>
      <c r="B26" s="7" t="s">
        <v>109</v>
      </c>
      <c r="C26" s="7" t="s">
        <v>80</v>
      </c>
      <c r="D26" s="7">
        <f>COUNTIFS(Evidence_Items!E:E,B26,Evidence_Items!F:F,C26,Evidence_Items!M:M,"include")</f>
        <v>0</v>
      </c>
      <c r="E26" s="14">
        <f>SUMIFS(Evidence_Items!O:O,Evidence_Items!E:E,B26,Evidence_Items!F:F,C26,Evidence_Items!M:M,"include")</f>
        <v>0</v>
      </c>
      <c r="F26" s="7">
        <f>COUNTIFS(Evidence_Items!E:E,B26,Evidence_Items!F:F,C26,Evidence_Items!M:M,"include",Evidence_Items!O:O,3)</f>
        <v>0</v>
      </c>
      <c r="G26" s="7">
        <f>COUNTIFS(Evidence_Items!E:E,B26,Evidence_Items!F:F,C26,Evidence_Items!M:M,"include",Evidence_Items!O:O,2)</f>
        <v>0</v>
      </c>
      <c r="H26" s="7">
        <f>COUNTIFS(Evidence_Items!E:E,B26,Evidence_Items!F:F,C26,Evidence_Items!M:M,"include",Evidence_Items!O:O,1)</f>
        <v>0</v>
      </c>
      <c r="I26" s="7" t="str">
        <f t="shared" si="0"/>
        <v/>
      </c>
      <c r="J26" s="7">
        <f t="shared" si="1"/>
        <v>0</v>
      </c>
      <c r="K26" s="7">
        <f t="shared" si="2"/>
        <v>0</v>
      </c>
      <c r="L26" s="7" t="str">
        <f t="array" ref="L26">IFERROR(INDEX(Evidence_Items!P:P,MATCH(1,(Evidence_Items!E:E=B26)*(Evidence_Items!F:F=C26)*(Evidence_Items!M:M="include"),0)),"")</f>
        <v/>
      </c>
      <c r="M26" s="7" t="str">
        <f t="array" ref="M26">IFERROR(INDEX(Evidence_Items!G:G,MATCH(1,(Evidence_Items!E:E=B26)*(Evidence_Items!F:F=C26)*(Evidence_Items!M:M="include"),0)),"")</f>
        <v/>
      </c>
      <c r="N26" s="7">
        <f>COUNTIFS(Evidence_Items!E:E,B26,Evidence_Items!F:F,C26,Evidence_Items!M:M,"include",Evidence_Items!Q:Q,"UK-S")</f>
        <v>0</v>
      </c>
    </row>
    <row r="27" spans="1:14" ht="14.25" customHeight="1">
      <c r="A27" s="7" t="s">
        <v>2888</v>
      </c>
      <c r="B27" s="7" t="s">
        <v>109</v>
      </c>
      <c r="C27" s="7" t="s">
        <v>85</v>
      </c>
      <c r="D27" s="7">
        <f>COUNTIFS(Evidence_Items!E:E,B27,Evidence_Items!F:F,C27,Evidence_Items!M:M,"include")</f>
        <v>0</v>
      </c>
      <c r="E27" s="14">
        <f>SUMIFS(Evidence_Items!O:O,Evidence_Items!E:E,B27,Evidence_Items!F:F,C27,Evidence_Items!M:M,"include")</f>
        <v>0</v>
      </c>
      <c r="F27" s="7">
        <f>COUNTIFS(Evidence_Items!E:E,B27,Evidence_Items!F:F,C27,Evidence_Items!M:M,"include",Evidence_Items!O:O,3)</f>
        <v>0</v>
      </c>
      <c r="G27" s="7">
        <f>COUNTIFS(Evidence_Items!E:E,B27,Evidence_Items!F:F,C27,Evidence_Items!M:M,"include",Evidence_Items!O:O,2)</f>
        <v>0</v>
      </c>
      <c r="H27" s="7">
        <f>COUNTIFS(Evidence_Items!E:E,B27,Evidence_Items!F:F,C27,Evidence_Items!M:M,"include",Evidence_Items!O:O,1)</f>
        <v>0</v>
      </c>
      <c r="I27" s="7" t="str">
        <f t="shared" si="0"/>
        <v/>
      </c>
      <c r="J27" s="7">
        <f t="shared" si="1"/>
        <v>0</v>
      </c>
      <c r="K27" s="7">
        <f t="shared" si="2"/>
        <v>0</v>
      </c>
      <c r="L27" s="7" t="str">
        <f t="array" ref="L27">IFERROR(INDEX(Evidence_Items!P:P,MATCH(1,(Evidence_Items!E:E=B27)*(Evidence_Items!F:F=C27)*(Evidence_Items!M:M="include"),0)),"")</f>
        <v/>
      </c>
      <c r="M27" s="7" t="str">
        <f t="array" ref="M27">IFERROR(INDEX(Evidence_Items!G:G,MATCH(1,(Evidence_Items!E:E=B27)*(Evidence_Items!F:F=C27)*(Evidence_Items!M:M="include"),0)),"")</f>
        <v/>
      </c>
      <c r="N27" s="7">
        <f>COUNTIFS(Evidence_Items!E:E,B27,Evidence_Items!F:F,C27,Evidence_Items!M:M,"include",Evidence_Items!Q:Q,"UK-S")</f>
        <v>0</v>
      </c>
    </row>
    <row r="28" spans="1:14" ht="14.25" customHeight="1">
      <c r="A28" s="7" t="s">
        <v>2889</v>
      </c>
      <c r="B28" s="7" t="s">
        <v>109</v>
      </c>
      <c r="C28" s="7" t="s">
        <v>90</v>
      </c>
      <c r="D28" s="7">
        <f>COUNTIFS(Evidence_Items!E:E,B28,Evidence_Items!F:F,C28,Evidence_Items!M:M,"include")</f>
        <v>1</v>
      </c>
      <c r="E28" s="14">
        <f>SUMIFS(Evidence_Items!O:O,Evidence_Items!E:E,B28,Evidence_Items!F:F,C28,Evidence_Items!M:M,"include")</f>
        <v>1</v>
      </c>
      <c r="F28" s="7">
        <f>COUNTIFS(Evidence_Items!E:E,B28,Evidence_Items!F:F,C28,Evidence_Items!M:M,"include",Evidence_Items!O:O,3)</f>
        <v>0</v>
      </c>
      <c r="G28" s="7">
        <f>COUNTIFS(Evidence_Items!E:E,B28,Evidence_Items!F:F,C28,Evidence_Items!M:M,"include",Evidence_Items!O:O,2)</f>
        <v>0</v>
      </c>
      <c r="H28" s="7">
        <f>COUNTIFS(Evidence_Items!E:E,B28,Evidence_Items!F:F,C28,Evidence_Items!M:M,"include",Evidence_Items!O:O,1)</f>
        <v>1</v>
      </c>
      <c r="I28" s="7">
        <f t="shared" si="0"/>
        <v>1</v>
      </c>
      <c r="J28" s="7">
        <f t="shared" si="1"/>
        <v>0</v>
      </c>
      <c r="K28" s="7">
        <f t="shared" si="2"/>
        <v>1</v>
      </c>
      <c r="L28" s="7" t="str">
        <f t="array" ref="L28">IFERROR(INDEX(Evidence_Items!P:P,MATCH(1,(Evidence_Items!E:E=B28)*(Evidence_Items!F:F=C28)*(Evidence_Items!M:M="include"),0)),"")</f>
        <v>Theoretical / conceptual</v>
      </c>
      <c r="M28" s="7" t="str">
        <f t="array" ref="M28">IFERROR(INDEX(Evidence_Items!G:G,MATCH(1,(Evidence_Items!E:E=B28)*(Evidence_Items!F:F=C28)*(Evidence_Items!M:M="include"),0)),"")</f>
        <v>E12 INCREASES_ASYMMETRY</v>
      </c>
      <c r="N28" s="7">
        <f>COUNTIFS(Evidence_Items!E:E,B28,Evidence_Items!F:F,C28,Evidence_Items!M:M,"include",Evidence_Items!Q:Q,"UK-S")</f>
        <v>0</v>
      </c>
    </row>
    <row r="29" spans="1:14" ht="14.25" customHeight="1">
      <c r="A29" s="7" t="s">
        <v>2890</v>
      </c>
      <c r="B29" s="7" t="s">
        <v>112</v>
      </c>
      <c r="C29" s="7" t="s">
        <v>65</v>
      </c>
      <c r="D29" s="7">
        <f>COUNTIFS(Evidence_Items!E:E,B29,Evidence_Items!F:F,C29,Evidence_Items!M:M,"include")</f>
        <v>6</v>
      </c>
      <c r="E29" s="14">
        <f>SUMIFS(Evidence_Items!O:O,Evidence_Items!E:E,B29,Evidence_Items!F:F,C29,Evidence_Items!M:M,"include")</f>
        <v>12</v>
      </c>
      <c r="F29" s="7">
        <f>COUNTIFS(Evidence_Items!E:E,B29,Evidence_Items!F:F,C29,Evidence_Items!M:M,"include",Evidence_Items!O:O,3)</f>
        <v>2</v>
      </c>
      <c r="G29" s="7">
        <f>COUNTIFS(Evidence_Items!E:E,B29,Evidence_Items!F:F,C29,Evidence_Items!M:M,"include",Evidence_Items!O:O,2)</f>
        <v>2</v>
      </c>
      <c r="H29" s="7">
        <f>COUNTIFS(Evidence_Items!E:E,B29,Evidence_Items!F:F,C29,Evidence_Items!M:M,"include",Evidence_Items!O:O,1)</f>
        <v>2</v>
      </c>
      <c r="I29" s="7">
        <f t="shared" si="0"/>
        <v>2</v>
      </c>
      <c r="J29" s="7">
        <f t="shared" si="1"/>
        <v>10</v>
      </c>
      <c r="K29" s="7">
        <f t="shared" si="2"/>
        <v>1</v>
      </c>
      <c r="L29" s="7" t="str">
        <f t="array" ref="L29">IFERROR(INDEX(Evidence_Items!P:P,MATCH(1,(Evidence_Items!E:E=B29)*(Evidence_Items!F:F=C29)*(Evidence_Items!M:M="include"),0)),"")</f>
        <v>Empirical-quantitative</v>
      </c>
      <c r="M29" s="7" t="str">
        <f t="array" ref="M29">IFERROR(INDEX(Evidence_Items!G:G,MATCH(1,(Evidence_Items!E:E=B29)*(Evidence_Items!F:F=C29)*(Evidence_Items!M:M="include"),0)),"")</f>
        <v>E12 INCREASES_ASYMMETRY</v>
      </c>
      <c r="N29" s="7">
        <f>COUNTIFS(Evidence_Items!E:E,B29,Evidence_Items!F:F,C29,Evidence_Items!M:M,"include",Evidence_Items!Q:Q,"UK-S")</f>
        <v>0</v>
      </c>
    </row>
    <row r="30" spans="1:14" ht="14.25" customHeight="1">
      <c r="A30" s="7" t="s">
        <v>2891</v>
      </c>
      <c r="B30" s="7" t="s">
        <v>112</v>
      </c>
      <c r="C30" s="7" t="s">
        <v>70</v>
      </c>
      <c r="D30" s="7">
        <f>COUNTIFS(Evidence_Items!E:E,B30,Evidence_Items!F:F,C30,Evidence_Items!M:M,"include")</f>
        <v>2</v>
      </c>
      <c r="E30" s="14">
        <f>SUMIFS(Evidence_Items!O:O,Evidence_Items!E:E,B30,Evidence_Items!F:F,C30,Evidence_Items!M:M,"include")</f>
        <v>3</v>
      </c>
      <c r="F30" s="7">
        <f>COUNTIFS(Evidence_Items!E:E,B30,Evidence_Items!F:F,C30,Evidence_Items!M:M,"include",Evidence_Items!O:O,3)</f>
        <v>0</v>
      </c>
      <c r="G30" s="7">
        <f>COUNTIFS(Evidence_Items!E:E,B30,Evidence_Items!F:F,C30,Evidence_Items!M:M,"include",Evidence_Items!O:O,2)</f>
        <v>1</v>
      </c>
      <c r="H30" s="7">
        <f>COUNTIFS(Evidence_Items!E:E,B30,Evidence_Items!F:F,C30,Evidence_Items!M:M,"include",Evidence_Items!O:O,1)</f>
        <v>1</v>
      </c>
      <c r="I30" s="7">
        <f t="shared" si="0"/>
        <v>1.5</v>
      </c>
      <c r="J30" s="7">
        <f t="shared" si="1"/>
        <v>2</v>
      </c>
      <c r="K30" s="7">
        <f t="shared" si="2"/>
        <v>1</v>
      </c>
      <c r="L30" s="7" t="str">
        <f t="array" ref="L30">IFERROR(INDEX(Evidence_Items!P:P,MATCH(1,(Evidence_Items!E:E=B30)*(Evidence_Items!F:F=C30)*(Evidence_Items!M:M="include"),0)),"")</f>
        <v>Theoretical / conceptual</v>
      </c>
      <c r="M30" s="7" t="str">
        <f t="array" ref="M30">IFERROR(INDEX(Evidence_Items!G:G,MATCH(1,(Evidence_Items!E:E=B30)*(Evidence_Items!F:F=C30)*(Evidence_Items!M:M="include"),0)),"")</f>
        <v>E12 INCREASES_ASYMMETRY</v>
      </c>
      <c r="N30" s="7">
        <f>COUNTIFS(Evidence_Items!E:E,B30,Evidence_Items!F:F,C30,Evidence_Items!M:M,"include",Evidence_Items!Q:Q,"UK-S")</f>
        <v>1</v>
      </c>
    </row>
    <row r="31" spans="1:14" ht="14.25" customHeight="1">
      <c r="A31" s="7" t="s">
        <v>2892</v>
      </c>
      <c r="B31" s="7" t="s">
        <v>112</v>
      </c>
      <c r="C31" s="7" t="s">
        <v>75</v>
      </c>
      <c r="D31" s="7">
        <f>COUNTIFS(Evidence_Items!E:E,B31,Evidence_Items!F:F,C31,Evidence_Items!M:M,"include")</f>
        <v>5</v>
      </c>
      <c r="E31" s="14">
        <f>SUMIFS(Evidence_Items!O:O,Evidence_Items!E:E,B31,Evidence_Items!F:F,C31,Evidence_Items!M:M,"include")</f>
        <v>5</v>
      </c>
      <c r="F31" s="7">
        <f>COUNTIFS(Evidence_Items!E:E,B31,Evidence_Items!F:F,C31,Evidence_Items!M:M,"include",Evidence_Items!O:O,3)</f>
        <v>0</v>
      </c>
      <c r="G31" s="7">
        <f>COUNTIFS(Evidence_Items!E:E,B31,Evidence_Items!F:F,C31,Evidence_Items!M:M,"include",Evidence_Items!O:O,2)</f>
        <v>0</v>
      </c>
      <c r="H31" s="7">
        <f>COUNTIFS(Evidence_Items!E:E,B31,Evidence_Items!F:F,C31,Evidence_Items!M:M,"include",Evidence_Items!O:O,1)</f>
        <v>5</v>
      </c>
      <c r="I31" s="7">
        <f t="shared" si="0"/>
        <v>1</v>
      </c>
      <c r="J31" s="7">
        <f t="shared" si="1"/>
        <v>0</v>
      </c>
      <c r="K31" s="7">
        <f t="shared" si="2"/>
        <v>1</v>
      </c>
      <c r="L31" s="7" t="str">
        <f t="array" ref="L31">IFERROR(INDEX(Evidence_Items!P:P,MATCH(1,(Evidence_Items!E:E=B31)*(Evidence_Items!F:F=C31)*(Evidence_Items!M:M="include"),0)),"")</f>
        <v>Theoretical / conceptual</v>
      </c>
      <c r="M31" s="7" t="str">
        <f t="array" ref="M31">IFERROR(INDEX(Evidence_Items!G:G,MATCH(1,(Evidence_Items!E:E=B31)*(Evidence_Items!F:F=C31)*(Evidence_Items!M:M="include"),0)),"")</f>
        <v>E13 INVITES</v>
      </c>
      <c r="N31" s="7">
        <f>COUNTIFS(Evidence_Items!E:E,B31,Evidence_Items!F:F,C31,Evidence_Items!M:M,"include",Evidence_Items!Q:Q,"UK-S")</f>
        <v>0</v>
      </c>
    </row>
    <row r="32" spans="1:14" ht="14.25" customHeight="1">
      <c r="A32" s="7" t="s">
        <v>2893</v>
      </c>
      <c r="B32" s="7" t="s">
        <v>112</v>
      </c>
      <c r="C32" s="7" t="s">
        <v>80</v>
      </c>
      <c r="D32" s="7">
        <f>COUNTIFS(Evidence_Items!E:E,B32,Evidence_Items!F:F,C32,Evidence_Items!M:M,"include")</f>
        <v>0</v>
      </c>
      <c r="E32" s="14">
        <f>SUMIFS(Evidence_Items!O:O,Evidence_Items!E:E,B32,Evidence_Items!F:F,C32,Evidence_Items!M:M,"include")</f>
        <v>0</v>
      </c>
      <c r="F32" s="7">
        <f>COUNTIFS(Evidence_Items!E:E,B32,Evidence_Items!F:F,C32,Evidence_Items!M:M,"include",Evidence_Items!O:O,3)</f>
        <v>0</v>
      </c>
      <c r="G32" s="7">
        <f>COUNTIFS(Evidence_Items!E:E,B32,Evidence_Items!F:F,C32,Evidence_Items!M:M,"include",Evidence_Items!O:O,2)</f>
        <v>0</v>
      </c>
      <c r="H32" s="7">
        <f>COUNTIFS(Evidence_Items!E:E,B32,Evidence_Items!F:F,C32,Evidence_Items!M:M,"include",Evidence_Items!O:O,1)</f>
        <v>0</v>
      </c>
      <c r="I32" s="7" t="str">
        <f t="shared" si="0"/>
        <v/>
      </c>
      <c r="J32" s="7">
        <f t="shared" si="1"/>
        <v>0</v>
      </c>
      <c r="K32" s="7">
        <f t="shared" si="2"/>
        <v>0</v>
      </c>
      <c r="L32" s="7" t="str">
        <f t="array" ref="L32">IFERROR(INDEX(Evidence_Items!P:P,MATCH(1,(Evidence_Items!E:E=B32)*(Evidence_Items!F:F=C32)*(Evidence_Items!M:M="include"),0)),"")</f>
        <v/>
      </c>
      <c r="M32" s="7" t="str">
        <f t="array" ref="M32">IFERROR(INDEX(Evidence_Items!G:G,MATCH(1,(Evidence_Items!E:E=B32)*(Evidence_Items!F:F=C32)*(Evidence_Items!M:M="include"),0)),"")</f>
        <v/>
      </c>
      <c r="N32" s="7">
        <f>COUNTIFS(Evidence_Items!E:E,B32,Evidence_Items!F:F,C32,Evidence_Items!M:M,"include",Evidence_Items!Q:Q,"UK-S")</f>
        <v>0</v>
      </c>
    </row>
    <row r="33" spans="1:14" ht="14.25" customHeight="1">
      <c r="A33" s="7" t="s">
        <v>2894</v>
      </c>
      <c r="B33" s="7" t="s">
        <v>112</v>
      </c>
      <c r="C33" s="7" t="s">
        <v>85</v>
      </c>
      <c r="D33" s="7">
        <f>COUNTIFS(Evidence_Items!E:E,B33,Evidence_Items!F:F,C33,Evidence_Items!M:M,"include")</f>
        <v>6</v>
      </c>
      <c r="E33" s="14">
        <f>SUMIFS(Evidence_Items!O:O,Evidence_Items!E:E,B33,Evidence_Items!F:F,C33,Evidence_Items!M:M,"include")</f>
        <v>10</v>
      </c>
      <c r="F33" s="7">
        <f>COUNTIFS(Evidence_Items!E:E,B33,Evidence_Items!F:F,C33,Evidence_Items!M:M,"include",Evidence_Items!O:O,3)</f>
        <v>1</v>
      </c>
      <c r="G33" s="7">
        <f>COUNTIFS(Evidence_Items!E:E,B33,Evidence_Items!F:F,C33,Evidence_Items!M:M,"include",Evidence_Items!O:O,2)</f>
        <v>2</v>
      </c>
      <c r="H33" s="7">
        <f>COUNTIFS(Evidence_Items!E:E,B33,Evidence_Items!F:F,C33,Evidence_Items!M:M,"include",Evidence_Items!O:O,1)</f>
        <v>3</v>
      </c>
      <c r="I33" s="7">
        <f t="shared" si="0"/>
        <v>1.6666666666666667</v>
      </c>
      <c r="J33" s="7">
        <f t="shared" si="1"/>
        <v>7</v>
      </c>
      <c r="K33" s="7">
        <f t="shared" si="2"/>
        <v>1</v>
      </c>
      <c r="L33" s="7" t="str">
        <f t="array" ref="L33">IFERROR(INDEX(Evidence_Items!P:P,MATCH(1,(Evidence_Items!E:E=B33)*(Evidence_Items!F:F=C33)*(Evidence_Items!M:M="include"),0)),"")</f>
        <v>Technical audit</v>
      </c>
      <c r="M33" s="7" t="str">
        <f t="array" ref="M33">IFERROR(INDEX(Evidence_Items!G:G,MATCH(1,(Evidence_Items!E:E=B33)*(Evidence_Items!F:F=C33)*(Evidence_Items!M:M="include"),0)),"")</f>
        <v>E01 ENABLES</v>
      </c>
      <c r="N33" s="7">
        <f>COUNTIFS(Evidence_Items!E:E,B33,Evidence_Items!F:F,C33,Evidence_Items!M:M,"include",Evidence_Items!Q:Q,"UK-S")</f>
        <v>1</v>
      </c>
    </row>
    <row r="34" spans="1:14" ht="14.25" customHeight="1">
      <c r="A34" s="7" t="s">
        <v>2895</v>
      </c>
      <c r="B34" s="7" t="s">
        <v>112</v>
      </c>
      <c r="C34" s="7" t="s">
        <v>90</v>
      </c>
      <c r="D34" s="7">
        <f>COUNTIFS(Evidence_Items!E:E,B34,Evidence_Items!F:F,C34,Evidence_Items!M:M,"include")</f>
        <v>3</v>
      </c>
      <c r="E34" s="14">
        <f>SUMIFS(Evidence_Items!O:O,Evidence_Items!E:E,B34,Evidence_Items!F:F,C34,Evidence_Items!M:M,"include")</f>
        <v>6</v>
      </c>
      <c r="F34" s="7">
        <f>COUNTIFS(Evidence_Items!E:E,B34,Evidence_Items!F:F,C34,Evidence_Items!M:M,"include",Evidence_Items!O:O,3)</f>
        <v>1</v>
      </c>
      <c r="G34" s="7">
        <f>COUNTIFS(Evidence_Items!E:E,B34,Evidence_Items!F:F,C34,Evidence_Items!M:M,"include",Evidence_Items!O:O,2)</f>
        <v>1</v>
      </c>
      <c r="H34" s="7">
        <f>COUNTIFS(Evidence_Items!E:E,B34,Evidence_Items!F:F,C34,Evidence_Items!M:M,"include",Evidence_Items!O:O,1)</f>
        <v>1</v>
      </c>
      <c r="I34" s="7">
        <f t="shared" si="0"/>
        <v>2</v>
      </c>
      <c r="J34" s="7">
        <f t="shared" si="1"/>
        <v>5</v>
      </c>
      <c r="K34" s="7">
        <f t="shared" si="2"/>
        <v>1</v>
      </c>
      <c r="L34" s="7" t="str">
        <f t="array" ref="L34">IFERROR(INDEX(Evidence_Items!P:P,MATCH(1,(Evidence_Items!E:E=B34)*(Evidence_Items!F:F=C34)*(Evidence_Items!M:M="include"),0)),"")</f>
        <v>Theoretical / conceptual</v>
      </c>
      <c r="M34" s="7" t="str">
        <f t="array" ref="M34">IFERROR(INDEX(Evidence_Items!G:G,MATCH(1,(Evidence_Items!E:E=B34)*(Evidence_Items!F:F=C34)*(Evidence_Items!M:M="include"),0)),"")</f>
        <v>E12 INCREASES_ASYMMETRY</v>
      </c>
      <c r="N34" s="7">
        <f>COUNTIFS(Evidence_Items!E:E,B34,Evidence_Items!F:F,C34,Evidence_Items!M:M,"include",Evidence_Items!Q:Q,"UK-S")</f>
        <v>0</v>
      </c>
    </row>
    <row r="35" spans="1:14" ht="14.25" customHeight="1">
      <c r="A35" s="7" t="s">
        <v>2896</v>
      </c>
      <c r="B35" s="7" t="s">
        <v>115</v>
      </c>
      <c r="C35" s="7" t="s">
        <v>65</v>
      </c>
      <c r="D35" s="7">
        <f>COUNTIFS(Evidence_Items!E:E,B35,Evidence_Items!F:F,C35,Evidence_Items!M:M,"include")</f>
        <v>5</v>
      </c>
      <c r="E35" s="14">
        <f>SUMIFS(Evidence_Items!O:O,Evidence_Items!E:E,B35,Evidence_Items!F:F,C35,Evidence_Items!M:M,"include")</f>
        <v>11</v>
      </c>
      <c r="F35" s="7">
        <f>COUNTIFS(Evidence_Items!E:E,B35,Evidence_Items!F:F,C35,Evidence_Items!M:M,"include",Evidence_Items!O:O,3)</f>
        <v>3</v>
      </c>
      <c r="G35" s="7">
        <f>COUNTIFS(Evidence_Items!E:E,B35,Evidence_Items!F:F,C35,Evidence_Items!M:M,"include",Evidence_Items!O:O,2)</f>
        <v>0</v>
      </c>
      <c r="H35" s="7">
        <f>COUNTIFS(Evidence_Items!E:E,B35,Evidence_Items!F:F,C35,Evidence_Items!M:M,"include",Evidence_Items!O:O,1)</f>
        <v>2</v>
      </c>
      <c r="I35" s="7">
        <f t="shared" si="0"/>
        <v>2.2000000000000002</v>
      </c>
      <c r="J35" s="7">
        <f t="shared" si="1"/>
        <v>9</v>
      </c>
      <c r="K35" s="7">
        <f t="shared" si="2"/>
        <v>1</v>
      </c>
      <c r="L35" s="7" t="str">
        <f t="array" ref="L35">IFERROR(INDEX(Evidence_Items!P:P,MATCH(1,(Evidence_Items!E:E=B35)*(Evidence_Items!F:F=C35)*(Evidence_Items!M:M="include"),0)),"")</f>
        <v>Empirical-quantitative</v>
      </c>
      <c r="M35" s="7" t="str">
        <f t="array" ref="M35">IFERROR(INDEX(Evidence_Items!G:G,MATCH(1,(Evidence_Items!E:E=B35)*(Evidence_Items!F:F=C35)*(Evidence_Items!M:M="include"),0)),"")</f>
        <v>E11 OBSCURES_VISIBILITY</v>
      </c>
      <c r="N35" s="7">
        <f>COUNTIFS(Evidence_Items!E:E,B35,Evidence_Items!F:F,C35,Evidence_Items!M:M,"include",Evidence_Items!Q:Q,"UK-S")</f>
        <v>0</v>
      </c>
    </row>
    <row r="36" spans="1:14" ht="14.25" customHeight="1">
      <c r="A36" s="7" t="s">
        <v>2897</v>
      </c>
      <c r="B36" s="7" t="s">
        <v>115</v>
      </c>
      <c r="C36" s="7" t="s">
        <v>70</v>
      </c>
      <c r="D36" s="7">
        <f>COUNTIFS(Evidence_Items!E:E,B36,Evidence_Items!F:F,C36,Evidence_Items!M:M,"include")</f>
        <v>4</v>
      </c>
      <c r="E36" s="14">
        <f>SUMIFS(Evidence_Items!O:O,Evidence_Items!E:E,B36,Evidence_Items!F:F,C36,Evidence_Items!M:M,"include")</f>
        <v>8</v>
      </c>
      <c r="F36" s="7">
        <f>COUNTIFS(Evidence_Items!E:E,B36,Evidence_Items!F:F,C36,Evidence_Items!M:M,"include",Evidence_Items!O:O,3)</f>
        <v>2</v>
      </c>
      <c r="G36" s="7">
        <f>COUNTIFS(Evidence_Items!E:E,B36,Evidence_Items!F:F,C36,Evidence_Items!M:M,"include",Evidence_Items!O:O,2)</f>
        <v>0</v>
      </c>
      <c r="H36" s="7">
        <f>COUNTIFS(Evidence_Items!E:E,B36,Evidence_Items!F:F,C36,Evidence_Items!M:M,"include",Evidence_Items!O:O,1)</f>
        <v>2</v>
      </c>
      <c r="I36" s="7">
        <f t="shared" si="0"/>
        <v>2</v>
      </c>
      <c r="J36" s="7">
        <f t="shared" si="1"/>
        <v>6</v>
      </c>
      <c r="K36" s="7">
        <f t="shared" si="2"/>
        <v>1</v>
      </c>
      <c r="L36" s="7" t="str">
        <f t="array" ref="L36">IFERROR(INDEX(Evidence_Items!P:P,MATCH(1,(Evidence_Items!E:E=B36)*(Evidence_Items!F:F=C36)*(Evidence_Items!M:M="include"),0)),"")</f>
        <v>Theoretical / conceptual</v>
      </c>
      <c r="M36" s="7" t="str">
        <f t="array" ref="M36">IFERROR(INDEX(Evidence_Items!G:G,MATCH(1,(Evidence_Items!E:E=B36)*(Evidence_Items!F:F=C36)*(Evidence_Items!M:M="include"),0)),"")</f>
        <v>E07 INCREASES_PRECISION</v>
      </c>
      <c r="N36" s="7">
        <f>COUNTIFS(Evidence_Items!E:E,B36,Evidence_Items!F:F,C36,Evidence_Items!M:M,"include",Evidence_Items!Q:Q,"UK-S")</f>
        <v>0</v>
      </c>
    </row>
    <row r="37" spans="1:14" ht="14.25" customHeight="1">
      <c r="A37" s="7" t="s">
        <v>2898</v>
      </c>
      <c r="B37" s="7" t="s">
        <v>115</v>
      </c>
      <c r="C37" s="7" t="s">
        <v>75</v>
      </c>
      <c r="D37" s="7">
        <f>COUNTIFS(Evidence_Items!E:E,B37,Evidence_Items!F:F,C37,Evidence_Items!M:M,"include")</f>
        <v>1</v>
      </c>
      <c r="E37" s="14">
        <f>SUMIFS(Evidence_Items!O:O,Evidence_Items!E:E,B37,Evidence_Items!F:F,C37,Evidence_Items!M:M,"include")</f>
        <v>1</v>
      </c>
      <c r="F37" s="7">
        <f>COUNTIFS(Evidence_Items!E:E,B37,Evidence_Items!F:F,C37,Evidence_Items!M:M,"include",Evidence_Items!O:O,3)</f>
        <v>0</v>
      </c>
      <c r="G37" s="7">
        <f>COUNTIFS(Evidence_Items!E:E,B37,Evidence_Items!F:F,C37,Evidence_Items!M:M,"include",Evidence_Items!O:O,2)</f>
        <v>0</v>
      </c>
      <c r="H37" s="7">
        <f>COUNTIFS(Evidence_Items!E:E,B37,Evidence_Items!F:F,C37,Evidence_Items!M:M,"include",Evidence_Items!O:O,1)</f>
        <v>1</v>
      </c>
      <c r="I37" s="7">
        <f t="shared" si="0"/>
        <v>1</v>
      </c>
      <c r="J37" s="7">
        <f t="shared" si="1"/>
        <v>0</v>
      </c>
      <c r="K37" s="7">
        <f t="shared" si="2"/>
        <v>1</v>
      </c>
      <c r="L37" s="7" t="str">
        <f t="array" ref="L37">IFERROR(INDEX(Evidence_Items!P:P,MATCH(1,(Evidence_Items!E:E=B37)*(Evidence_Items!F:F=C37)*(Evidence_Items!M:M="include"),0)),"")</f>
        <v>Theoretical / conceptual</v>
      </c>
      <c r="M37" s="7" t="str">
        <f t="array" ref="M37">IFERROR(INDEX(Evidence_Items!G:G,MATCH(1,(Evidence_Items!E:E=B37)*(Evidence_Items!F:F=C37)*(Evidence_Items!M:M="include"),0)),"")</f>
        <v>E13 INVITES</v>
      </c>
      <c r="N37" s="7">
        <f>COUNTIFS(Evidence_Items!E:E,B37,Evidence_Items!F:F,C37,Evidence_Items!M:M,"include",Evidence_Items!Q:Q,"UK-S")</f>
        <v>0</v>
      </c>
    </row>
    <row r="38" spans="1:14" ht="14.25" customHeight="1">
      <c r="A38" s="7" t="s">
        <v>2899</v>
      </c>
      <c r="B38" s="7" t="s">
        <v>115</v>
      </c>
      <c r="C38" s="7" t="s">
        <v>80</v>
      </c>
      <c r="D38" s="7">
        <f>COUNTIFS(Evidence_Items!E:E,B38,Evidence_Items!F:F,C38,Evidence_Items!M:M,"include")</f>
        <v>4</v>
      </c>
      <c r="E38" s="14">
        <f>SUMIFS(Evidence_Items!O:O,Evidence_Items!E:E,B38,Evidence_Items!F:F,C38,Evidence_Items!M:M,"include")</f>
        <v>8</v>
      </c>
      <c r="F38" s="7">
        <f>COUNTIFS(Evidence_Items!E:E,B38,Evidence_Items!F:F,C38,Evidence_Items!M:M,"include",Evidence_Items!O:O,3)</f>
        <v>2</v>
      </c>
      <c r="G38" s="7">
        <f>COUNTIFS(Evidence_Items!E:E,B38,Evidence_Items!F:F,C38,Evidence_Items!M:M,"include",Evidence_Items!O:O,2)</f>
        <v>0</v>
      </c>
      <c r="H38" s="7">
        <f>COUNTIFS(Evidence_Items!E:E,B38,Evidence_Items!F:F,C38,Evidence_Items!M:M,"include",Evidence_Items!O:O,1)</f>
        <v>2</v>
      </c>
      <c r="I38" s="7">
        <f t="shared" si="0"/>
        <v>2</v>
      </c>
      <c r="J38" s="7">
        <f t="shared" si="1"/>
        <v>6</v>
      </c>
      <c r="K38" s="7">
        <f t="shared" si="2"/>
        <v>1</v>
      </c>
      <c r="L38" s="7" t="str">
        <f t="array" ref="L38">IFERROR(INDEX(Evidence_Items!P:P,MATCH(1,(Evidence_Items!E:E=B38)*(Evidence_Items!F:F=C38)*(Evidence_Items!M:M="include"),0)),"")</f>
        <v>Empirical-quantitative</v>
      </c>
      <c r="M38" s="7" t="str">
        <f t="array" ref="M38">IFERROR(INDEX(Evidence_Items!G:G,MATCH(1,(Evidence_Items!E:E=B38)*(Evidence_Items!F:F=C38)*(Evidence_Items!M:M="include"),0)),"")</f>
        <v>E05 AMPLIFIES</v>
      </c>
      <c r="N38" s="7">
        <f>COUNTIFS(Evidence_Items!E:E,B38,Evidence_Items!F:F,C38,Evidence_Items!M:M,"include",Evidence_Items!Q:Q,"UK-S")</f>
        <v>0</v>
      </c>
    </row>
    <row r="39" spans="1:14" ht="14.25" customHeight="1">
      <c r="A39" s="7" t="s">
        <v>2900</v>
      </c>
      <c r="B39" s="7" t="s">
        <v>115</v>
      </c>
      <c r="C39" s="7" t="s">
        <v>85</v>
      </c>
      <c r="D39" s="7">
        <f>COUNTIFS(Evidence_Items!E:E,B39,Evidence_Items!F:F,C39,Evidence_Items!M:M,"include")</f>
        <v>2</v>
      </c>
      <c r="E39" s="14">
        <f>SUMIFS(Evidence_Items!O:O,Evidence_Items!E:E,B39,Evidence_Items!F:F,C39,Evidence_Items!M:M,"include")</f>
        <v>5</v>
      </c>
      <c r="F39" s="7">
        <f>COUNTIFS(Evidence_Items!E:E,B39,Evidence_Items!F:F,C39,Evidence_Items!M:M,"include",Evidence_Items!O:O,3)</f>
        <v>1</v>
      </c>
      <c r="G39" s="7">
        <f>COUNTIFS(Evidence_Items!E:E,B39,Evidence_Items!F:F,C39,Evidence_Items!M:M,"include",Evidence_Items!O:O,2)</f>
        <v>1</v>
      </c>
      <c r="H39" s="7">
        <f>COUNTIFS(Evidence_Items!E:E,B39,Evidence_Items!F:F,C39,Evidence_Items!M:M,"include",Evidence_Items!O:O,1)</f>
        <v>0</v>
      </c>
      <c r="I39" s="7">
        <f t="shared" si="0"/>
        <v>2.5</v>
      </c>
      <c r="J39" s="7">
        <f t="shared" si="1"/>
        <v>5</v>
      </c>
      <c r="K39" s="7">
        <f t="shared" si="2"/>
        <v>1</v>
      </c>
      <c r="L39" s="7" t="str">
        <f t="array" ref="L39">IFERROR(INDEX(Evidence_Items!P:P,MATCH(1,(Evidence_Items!E:E=B39)*(Evidence_Items!F:F=C39)*(Evidence_Items!M:M="include"),0)),"")</f>
        <v>Technical audit</v>
      </c>
      <c r="M39" s="7" t="str">
        <f t="array" ref="M39">IFERROR(INDEX(Evidence_Items!G:G,MATCH(1,(Evidence_Items!E:E=B39)*(Evidence_Items!F:F=C39)*(Evidence_Items!M:M="include"),0)),"")</f>
        <v>E05 AMPLIFIES</v>
      </c>
      <c r="N39" s="7">
        <f>COUNTIFS(Evidence_Items!E:E,B39,Evidence_Items!F:F,C39,Evidence_Items!M:M,"include",Evidence_Items!Q:Q,"UK-S")</f>
        <v>0</v>
      </c>
    </row>
    <row r="40" spans="1:14" ht="14.25" customHeight="1">
      <c r="A40" s="7" t="s">
        <v>2901</v>
      </c>
      <c r="B40" s="7" t="s">
        <v>115</v>
      </c>
      <c r="C40" s="7" t="s">
        <v>90</v>
      </c>
      <c r="D40" s="7">
        <f>COUNTIFS(Evidence_Items!E:E,B40,Evidence_Items!F:F,C40,Evidence_Items!M:M,"include")</f>
        <v>0</v>
      </c>
      <c r="E40" s="14">
        <f>SUMIFS(Evidence_Items!O:O,Evidence_Items!E:E,B40,Evidence_Items!F:F,C40,Evidence_Items!M:M,"include")</f>
        <v>0</v>
      </c>
      <c r="F40" s="7">
        <f>COUNTIFS(Evidence_Items!E:E,B40,Evidence_Items!F:F,C40,Evidence_Items!M:M,"include",Evidence_Items!O:O,3)</f>
        <v>0</v>
      </c>
      <c r="G40" s="7">
        <f>COUNTIFS(Evidence_Items!E:E,B40,Evidence_Items!F:F,C40,Evidence_Items!M:M,"include",Evidence_Items!O:O,2)</f>
        <v>0</v>
      </c>
      <c r="H40" s="7">
        <f>COUNTIFS(Evidence_Items!E:E,B40,Evidence_Items!F:F,C40,Evidence_Items!M:M,"include",Evidence_Items!O:O,1)</f>
        <v>0</v>
      </c>
      <c r="I40" s="7" t="str">
        <f t="shared" si="0"/>
        <v/>
      </c>
      <c r="J40" s="7">
        <f t="shared" si="1"/>
        <v>0</v>
      </c>
      <c r="K40" s="7">
        <f t="shared" si="2"/>
        <v>0</v>
      </c>
      <c r="L40" s="7" t="str">
        <f t="array" ref="L40">IFERROR(INDEX(Evidence_Items!P:P,MATCH(1,(Evidence_Items!E:E=B40)*(Evidence_Items!F:F=C40)*(Evidence_Items!M:M="include"),0)),"")</f>
        <v/>
      </c>
      <c r="M40" s="7" t="str">
        <f t="array" ref="M40">IFERROR(INDEX(Evidence_Items!G:G,MATCH(1,(Evidence_Items!E:E=B40)*(Evidence_Items!F:F=C40)*(Evidence_Items!M:M="include"),0)),"")</f>
        <v/>
      </c>
      <c r="N40" s="7">
        <f>COUNTIFS(Evidence_Items!E:E,B40,Evidence_Items!F:F,C40,Evidence_Items!M:M,"include",Evidence_Items!Q:Q,"UK-S")</f>
        <v>0</v>
      </c>
    </row>
    <row r="41" spans="1:14" ht="14.25" customHeight="1">
      <c r="A41" s="7" t="s">
        <v>2902</v>
      </c>
      <c r="B41" s="7" t="s">
        <v>118</v>
      </c>
      <c r="C41" s="7" t="s">
        <v>65</v>
      </c>
      <c r="D41" s="7">
        <f>COUNTIFS(Evidence_Items!E:E,B41,Evidence_Items!F:F,C41,Evidence_Items!M:M,"include")</f>
        <v>8</v>
      </c>
      <c r="E41" s="14">
        <f>SUMIFS(Evidence_Items!O:O,Evidence_Items!E:E,B41,Evidence_Items!F:F,C41,Evidence_Items!M:M,"include")</f>
        <v>14</v>
      </c>
      <c r="F41" s="7">
        <f>COUNTIFS(Evidence_Items!E:E,B41,Evidence_Items!F:F,C41,Evidence_Items!M:M,"include",Evidence_Items!O:O,3)</f>
        <v>2</v>
      </c>
      <c r="G41" s="7">
        <f>COUNTIFS(Evidence_Items!E:E,B41,Evidence_Items!F:F,C41,Evidence_Items!M:M,"include",Evidence_Items!O:O,2)</f>
        <v>2</v>
      </c>
      <c r="H41" s="7">
        <f>COUNTIFS(Evidence_Items!E:E,B41,Evidence_Items!F:F,C41,Evidence_Items!M:M,"include",Evidence_Items!O:O,1)</f>
        <v>4</v>
      </c>
      <c r="I41" s="7">
        <f t="shared" si="0"/>
        <v>1.75</v>
      </c>
      <c r="J41" s="7">
        <f t="shared" si="1"/>
        <v>10</v>
      </c>
      <c r="K41" s="7">
        <f t="shared" si="2"/>
        <v>1</v>
      </c>
      <c r="L41" s="7" t="str">
        <f t="array" ref="L41">IFERROR(INDEX(Evidence_Items!P:P,MATCH(1,(Evidence_Items!E:E=B41)*(Evidence_Items!F:F=C41)*(Evidence_Items!M:M="include"),0)),"")</f>
        <v>Theoretical / conceptual</v>
      </c>
      <c r="M41" s="7" t="str">
        <f t="array" ref="M41">IFERROR(INDEX(Evidence_Items!G:G,MATCH(1,(Evidence_Items!E:E=B41)*(Evidence_Items!F:F=C41)*(Evidence_Items!M:M="include"),0)),"")</f>
        <v>E12 INCREASES_ASYMMETRY</v>
      </c>
      <c r="N41" s="7">
        <f>COUNTIFS(Evidence_Items!E:E,B41,Evidence_Items!F:F,C41,Evidence_Items!M:M,"include",Evidence_Items!Q:Q,"UK-S")</f>
        <v>1</v>
      </c>
    </row>
    <row r="42" spans="1:14" ht="14.25" customHeight="1">
      <c r="A42" s="7" t="s">
        <v>2903</v>
      </c>
      <c r="B42" s="7" t="s">
        <v>118</v>
      </c>
      <c r="C42" s="7" t="s">
        <v>70</v>
      </c>
      <c r="D42" s="7">
        <f>COUNTIFS(Evidence_Items!E:E,B42,Evidence_Items!F:F,C42,Evidence_Items!M:M,"include")</f>
        <v>1</v>
      </c>
      <c r="E42" s="14">
        <f>SUMIFS(Evidence_Items!O:O,Evidence_Items!E:E,B42,Evidence_Items!F:F,C42,Evidence_Items!M:M,"include")</f>
        <v>1</v>
      </c>
      <c r="F42" s="7">
        <f>COUNTIFS(Evidence_Items!E:E,B42,Evidence_Items!F:F,C42,Evidence_Items!M:M,"include",Evidence_Items!O:O,3)</f>
        <v>0</v>
      </c>
      <c r="G42" s="7">
        <f>COUNTIFS(Evidence_Items!E:E,B42,Evidence_Items!F:F,C42,Evidence_Items!M:M,"include",Evidence_Items!O:O,2)</f>
        <v>0</v>
      </c>
      <c r="H42" s="7">
        <f>COUNTIFS(Evidence_Items!E:E,B42,Evidence_Items!F:F,C42,Evidence_Items!M:M,"include",Evidence_Items!O:O,1)</f>
        <v>1</v>
      </c>
      <c r="I42" s="7">
        <f t="shared" si="0"/>
        <v>1</v>
      </c>
      <c r="J42" s="7">
        <f t="shared" si="1"/>
        <v>0</v>
      </c>
      <c r="K42" s="7">
        <f t="shared" si="2"/>
        <v>1</v>
      </c>
      <c r="L42" s="7" t="str">
        <f t="array" ref="L42">IFERROR(INDEX(Evidence_Items!P:P,MATCH(1,(Evidence_Items!E:E=B42)*(Evidence_Items!F:F=C42)*(Evidence_Items!M:M="include"),0)),"")</f>
        <v>Theoretical / conceptual</v>
      </c>
      <c r="M42" s="7" t="str">
        <f t="array" ref="M42">IFERROR(INDEX(Evidence_Items!G:G,MATCH(1,(Evidence_Items!E:E=B42)*(Evidence_Items!F:F=C42)*(Evidence_Items!M:M="include"),0)),"")</f>
        <v>E11 OBSCURES_VISIBILITY</v>
      </c>
      <c r="N42" s="7">
        <f>COUNTIFS(Evidence_Items!E:E,B42,Evidence_Items!F:F,C42,Evidence_Items!M:M,"include",Evidence_Items!Q:Q,"UK-S")</f>
        <v>0</v>
      </c>
    </row>
    <row r="43" spans="1:14" ht="14.25" customHeight="1">
      <c r="A43" s="7" t="s">
        <v>2904</v>
      </c>
      <c r="B43" s="7" t="s">
        <v>118</v>
      </c>
      <c r="C43" s="7" t="s">
        <v>75</v>
      </c>
      <c r="D43" s="7">
        <f>COUNTIFS(Evidence_Items!E:E,B43,Evidence_Items!F:F,C43,Evidence_Items!M:M,"include")</f>
        <v>0</v>
      </c>
      <c r="E43" s="14">
        <f>SUMIFS(Evidence_Items!O:O,Evidence_Items!E:E,B43,Evidence_Items!F:F,C43,Evidence_Items!M:M,"include")</f>
        <v>0</v>
      </c>
      <c r="F43" s="7">
        <f>COUNTIFS(Evidence_Items!E:E,B43,Evidence_Items!F:F,C43,Evidence_Items!M:M,"include",Evidence_Items!O:O,3)</f>
        <v>0</v>
      </c>
      <c r="G43" s="7">
        <f>COUNTIFS(Evidence_Items!E:E,B43,Evidence_Items!F:F,C43,Evidence_Items!M:M,"include",Evidence_Items!O:O,2)</f>
        <v>0</v>
      </c>
      <c r="H43" s="7">
        <f>COUNTIFS(Evidence_Items!E:E,B43,Evidence_Items!F:F,C43,Evidence_Items!M:M,"include",Evidence_Items!O:O,1)</f>
        <v>0</v>
      </c>
      <c r="I43" s="7" t="str">
        <f t="shared" si="0"/>
        <v/>
      </c>
      <c r="J43" s="7">
        <f t="shared" si="1"/>
        <v>0</v>
      </c>
      <c r="K43" s="7">
        <f t="shared" si="2"/>
        <v>0</v>
      </c>
      <c r="L43" s="7" t="str">
        <f t="array" ref="L43">IFERROR(INDEX(Evidence_Items!P:P,MATCH(1,(Evidence_Items!E:E=B43)*(Evidence_Items!F:F=C43)*(Evidence_Items!M:M="include"),0)),"")</f>
        <v/>
      </c>
      <c r="M43" s="7" t="str">
        <f t="array" ref="M43">IFERROR(INDEX(Evidence_Items!G:G,MATCH(1,(Evidence_Items!E:E=B43)*(Evidence_Items!F:F=C43)*(Evidence_Items!M:M="include"),0)),"")</f>
        <v/>
      </c>
      <c r="N43" s="7">
        <f>COUNTIFS(Evidence_Items!E:E,B43,Evidence_Items!F:F,C43,Evidence_Items!M:M,"include",Evidence_Items!Q:Q,"UK-S")</f>
        <v>0</v>
      </c>
    </row>
    <row r="44" spans="1:14" ht="14.25" customHeight="1">
      <c r="A44" s="7" t="s">
        <v>2905</v>
      </c>
      <c r="B44" s="7" t="s">
        <v>118</v>
      </c>
      <c r="C44" s="7" t="s">
        <v>80</v>
      </c>
      <c r="D44" s="7">
        <f>COUNTIFS(Evidence_Items!E:E,B44,Evidence_Items!F:F,C44,Evidence_Items!M:M,"include")</f>
        <v>0</v>
      </c>
      <c r="E44" s="14">
        <f>SUMIFS(Evidence_Items!O:O,Evidence_Items!E:E,B44,Evidence_Items!F:F,C44,Evidence_Items!M:M,"include")</f>
        <v>0</v>
      </c>
      <c r="F44" s="7">
        <f>COUNTIFS(Evidence_Items!E:E,B44,Evidence_Items!F:F,C44,Evidence_Items!M:M,"include",Evidence_Items!O:O,3)</f>
        <v>0</v>
      </c>
      <c r="G44" s="7">
        <f>COUNTIFS(Evidence_Items!E:E,B44,Evidence_Items!F:F,C44,Evidence_Items!M:M,"include",Evidence_Items!O:O,2)</f>
        <v>0</v>
      </c>
      <c r="H44" s="7">
        <f>COUNTIFS(Evidence_Items!E:E,B44,Evidence_Items!F:F,C44,Evidence_Items!M:M,"include",Evidence_Items!O:O,1)</f>
        <v>0</v>
      </c>
      <c r="I44" s="7" t="str">
        <f t="shared" si="0"/>
        <v/>
      </c>
      <c r="J44" s="7">
        <f t="shared" si="1"/>
        <v>0</v>
      </c>
      <c r="K44" s="7">
        <f t="shared" si="2"/>
        <v>0</v>
      </c>
      <c r="L44" s="7" t="str">
        <f t="array" ref="L44">IFERROR(INDEX(Evidence_Items!P:P,MATCH(1,(Evidence_Items!E:E=B44)*(Evidence_Items!F:F=C44)*(Evidence_Items!M:M="include"),0)),"")</f>
        <v/>
      </c>
      <c r="M44" s="7" t="str">
        <f t="array" ref="M44">IFERROR(INDEX(Evidence_Items!G:G,MATCH(1,(Evidence_Items!E:E=B44)*(Evidence_Items!F:F=C44)*(Evidence_Items!M:M="include"),0)),"")</f>
        <v/>
      </c>
      <c r="N44" s="7">
        <f>COUNTIFS(Evidence_Items!E:E,B44,Evidence_Items!F:F,C44,Evidence_Items!M:M,"include",Evidence_Items!Q:Q,"UK-S")</f>
        <v>0</v>
      </c>
    </row>
    <row r="45" spans="1:14" ht="14.25" customHeight="1">
      <c r="A45" s="7" t="s">
        <v>2906</v>
      </c>
      <c r="B45" s="7" t="s">
        <v>118</v>
      </c>
      <c r="C45" s="7" t="s">
        <v>85</v>
      </c>
      <c r="D45" s="7">
        <f>COUNTIFS(Evidence_Items!E:E,B45,Evidence_Items!F:F,C45,Evidence_Items!M:M,"include")</f>
        <v>0</v>
      </c>
      <c r="E45" s="14">
        <f>SUMIFS(Evidence_Items!O:O,Evidence_Items!E:E,B45,Evidence_Items!F:F,C45,Evidence_Items!M:M,"include")</f>
        <v>0</v>
      </c>
      <c r="F45" s="7">
        <f>COUNTIFS(Evidence_Items!E:E,B45,Evidence_Items!F:F,C45,Evidence_Items!M:M,"include",Evidence_Items!O:O,3)</f>
        <v>0</v>
      </c>
      <c r="G45" s="7">
        <f>COUNTIFS(Evidence_Items!E:E,B45,Evidence_Items!F:F,C45,Evidence_Items!M:M,"include",Evidence_Items!O:O,2)</f>
        <v>0</v>
      </c>
      <c r="H45" s="7">
        <f>COUNTIFS(Evidence_Items!E:E,B45,Evidence_Items!F:F,C45,Evidence_Items!M:M,"include",Evidence_Items!O:O,1)</f>
        <v>0</v>
      </c>
      <c r="I45" s="7" t="str">
        <f t="shared" si="0"/>
        <v/>
      </c>
      <c r="J45" s="7">
        <f t="shared" si="1"/>
        <v>0</v>
      </c>
      <c r="K45" s="7">
        <f t="shared" si="2"/>
        <v>0</v>
      </c>
      <c r="L45" s="7" t="str">
        <f t="array" ref="L45">IFERROR(INDEX(Evidence_Items!P:P,MATCH(1,(Evidence_Items!E:E=B45)*(Evidence_Items!F:F=C45)*(Evidence_Items!M:M="include"),0)),"")</f>
        <v/>
      </c>
      <c r="M45" s="7" t="str">
        <f t="array" ref="M45">IFERROR(INDEX(Evidence_Items!G:G,MATCH(1,(Evidence_Items!E:E=B45)*(Evidence_Items!F:F=C45)*(Evidence_Items!M:M="include"),0)),"")</f>
        <v/>
      </c>
      <c r="N45" s="7">
        <f>COUNTIFS(Evidence_Items!E:E,B45,Evidence_Items!F:F,C45,Evidence_Items!M:M,"include",Evidence_Items!Q:Q,"UK-S")</f>
        <v>0</v>
      </c>
    </row>
    <row r="46" spans="1:14" ht="14.25" customHeight="1">
      <c r="A46" s="7" t="s">
        <v>2907</v>
      </c>
      <c r="B46" s="7" t="s">
        <v>118</v>
      </c>
      <c r="C46" s="7" t="s">
        <v>90</v>
      </c>
      <c r="D46" s="7">
        <f>COUNTIFS(Evidence_Items!E:E,B46,Evidence_Items!F:F,C46,Evidence_Items!M:M,"include")</f>
        <v>12</v>
      </c>
      <c r="E46" s="14">
        <f>SUMIFS(Evidence_Items!O:O,Evidence_Items!E:E,B46,Evidence_Items!F:F,C46,Evidence_Items!M:M,"include")</f>
        <v>19</v>
      </c>
      <c r="F46" s="7">
        <f>COUNTIFS(Evidence_Items!E:E,B46,Evidence_Items!F:F,C46,Evidence_Items!M:M,"include",Evidence_Items!O:O,3)</f>
        <v>2</v>
      </c>
      <c r="G46" s="7">
        <f>COUNTIFS(Evidence_Items!E:E,B46,Evidence_Items!F:F,C46,Evidence_Items!M:M,"include",Evidence_Items!O:O,2)</f>
        <v>3</v>
      </c>
      <c r="H46" s="7">
        <f>COUNTIFS(Evidence_Items!E:E,B46,Evidence_Items!F:F,C46,Evidence_Items!M:M,"include",Evidence_Items!O:O,1)</f>
        <v>7</v>
      </c>
      <c r="I46" s="7">
        <f t="shared" si="0"/>
        <v>1.5833333333333333</v>
      </c>
      <c r="J46" s="7">
        <f t="shared" si="1"/>
        <v>12</v>
      </c>
      <c r="K46" s="7">
        <f t="shared" si="2"/>
        <v>1</v>
      </c>
      <c r="L46" s="7" t="str">
        <f t="array" ref="L46">IFERROR(INDEX(Evidence_Items!P:P,MATCH(1,(Evidence_Items!E:E=B46)*(Evidence_Items!F:F=C46)*(Evidence_Items!M:M="include"),0)),"")</f>
        <v>Regulatory / legal</v>
      </c>
      <c r="M46" s="7" t="str">
        <f t="array" ref="M46">IFERROR(INDEX(Evidence_Items!G:G,MATCH(1,(Evidence_Items!E:E=B46)*(Evidence_Items!F:F=C46)*(Evidence_Items!M:M="include"),0)),"")</f>
        <v>E12 INCREASES_ASYMMETRY</v>
      </c>
      <c r="N46" s="7">
        <f>COUNTIFS(Evidence_Items!E:E,B46,Evidence_Items!F:F,C46,Evidence_Items!M:M,"include",Evidence_Items!Q:Q,"UK-S")</f>
        <v>1</v>
      </c>
    </row>
    <row r="47" spans="1:14" ht="14.25" customHeight="1">
      <c r="A47" s="7" t="s">
        <v>2908</v>
      </c>
      <c r="B47" s="7" t="s">
        <v>121</v>
      </c>
      <c r="C47" s="7" t="s">
        <v>65</v>
      </c>
      <c r="D47" s="7">
        <f>COUNTIFS(Evidence_Items!E:E,B47,Evidence_Items!F:F,C47,Evidence_Items!M:M,"include")</f>
        <v>1</v>
      </c>
      <c r="E47" s="14">
        <f>SUMIFS(Evidence_Items!O:O,Evidence_Items!E:E,B47,Evidence_Items!F:F,C47,Evidence_Items!M:M,"include")</f>
        <v>3</v>
      </c>
      <c r="F47" s="7">
        <f>COUNTIFS(Evidence_Items!E:E,B47,Evidence_Items!F:F,C47,Evidence_Items!M:M,"include",Evidence_Items!O:O,3)</f>
        <v>1</v>
      </c>
      <c r="G47" s="7">
        <f>COUNTIFS(Evidence_Items!E:E,B47,Evidence_Items!F:F,C47,Evidence_Items!M:M,"include",Evidence_Items!O:O,2)</f>
        <v>0</v>
      </c>
      <c r="H47" s="7">
        <f>COUNTIFS(Evidence_Items!E:E,B47,Evidence_Items!F:F,C47,Evidence_Items!M:M,"include",Evidence_Items!O:O,1)</f>
        <v>0</v>
      </c>
      <c r="I47" s="7">
        <f t="shared" si="0"/>
        <v>3</v>
      </c>
      <c r="J47" s="7">
        <f t="shared" si="1"/>
        <v>3</v>
      </c>
      <c r="K47" s="7">
        <f t="shared" si="2"/>
        <v>1</v>
      </c>
      <c r="L47" s="7" t="str">
        <f t="array" ref="L47">IFERROR(INDEX(Evidence_Items!P:P,MATCH(1,(Evidence_Items!E:E=B47)*(Evidence_Items!F:F=C47)*(Evidence_Items!M:M="include"),0)),"")</f>
        <v>Technical audit</v>
      </c>
      <c r="M47" s="7" t="str">
        <f t="array" ref="M47">IFERROR(INDEX(Evidence_Items!G:G,MATCH(1,(Evidence_Items!E:E=B47)*(Evidence_Items!F:F=C47)*(Evidence_Items!M:M="include"),0)),"")</f>
        <v>E11 OBSCURES_VISIBILITY</v>
      </c>
      <c r="N47" s="7">
        <f>COUNTIFS(Evidence_Items!E:E,B47,Evidence_Items!F:F,C47,Evidence_Items!M:M,"include",Evidence_Items!Q:Q,"UK-S")</f>
        <v>0</v>
      </c>
    </row>
    <row r="48" spans="1:14" ht="14.25" customHeight="1">
      <c r="A48" s="7" t="s">
        <v>2909</v>
      </c>
      <c r="B48" s="7" t="s">
        <v>121</v>
      </c>
      <c r="C48" s="7" t="s">
        <v>70</v>
      </c>
      <c r="D48" s="7">
        <f>COUNTIFS(Evidence_Items!E:E,B48,Evidence_Items!F:F,C48,Evidence_Items!M:M,"include")</f>
        <v>0</v>
      </c>
      <c r="E48" s="14">
        <f>SUMIFS(Evidence_Items!O:O,Evidence_Items!E:E,B48,Evidence_Items!F:F,C48,Evidence_Items!M:M,"include")</f>
        <v>0</v>
      </c>
      <c r="F48" s="7">
        <f>COUNTIFS(Evidence_Items!E:E,B48,Evidence_Items!F:F,C48,Evidence_Items!M:M,"include",Evidence_Items!O:O,3)</f>
        <v>0</v>
      </c>
      <c r="G48" s="7">
        <f>COUNTIFS(Evidence_Items!E:E,B48,Evidence_Items!F:F,C48,Evidence_Items!M:M,"include",Evidence_Items!O:O,2)</f>
        <v>0</v>
      </c>
      <c r="H48" s="7">
        <f>COUNTIFS(Evidence_Items!E:E,B48,Evidence_Items!F:F,C48,Evidence_Items!M:M,"include",Evidence_Items!O:O,1)</f>
        <v>0</v>
      </c>
      <c r="I48" s="7" t="str">
        <f t="shared" si="0"/>
        <v/>
      </c>
      <c r="J48" s="7">
        <f t="shared" si="1"/>
        <v>0</v>
      </c>
      <c r="K48" s="7">
        <f t="shared" si="2"/>
        <v>0</v>
      </c>
      <c r="L48" s="7" t="str">
        <f t="array" ref="L48">IFERROR(INDEX(Evidence_Items!P:P,MATCH(1,(Evidence_Items!E:E=B48)*(Evidence_Items!F:F=C48)*(Evidence_Items!M:M="include"),0)),"")</f>
        <v/>
      </c>
      <c r="M48" s="7" t="str">
        <f t="array" ref="M48">IFERROR(INDEX(Evidence_Items!G:G,MATCH(1,(Evidence_Items!E:E=B48)*(Evidence_Items!F:F=C48)*(Evidence_Items!M:M="include"),0)),"")</f>
        <v/>
      </c>
      <c r="N48" s="7">
        <f>COUNTIFS(Evidence_Items!E:E,B48,Evidence_Items!F:F,C48,Evidence_Items!M:M,"include",Evidence_Items!Q:Q,"UK-S")</f>
        <v>0</v>
      </c>
    </row>
    <row r="49" spans="1:14" ht="14.25" customHeight="1">
      <c r="A49" s="7" t="s">
        <v>2910</v>
      </c>
      <c r="B49" s="7" t="s">
        <v>121</v>
      </c>
      <c r="C49" s="7" t="s">
        <v>75</v>
      </c>
      <c r="D49" s="7">
        <f>COUNTIFS(Evidence_Items!E:E,B49,Evidence_Items!F:F,C49,Evidence_Items!M:M,"include")</f>
        <v>0</v>
      </c>
      <c r="E49" s="14">
        <f>SUMIFS(Evidence_Items!O:O,Evidence_Items!E:E,B49,Evidence_Items!F:F,C49,Evidence_Items!M:M,"include")</f>
        <v>0</v>
      </c>
      <c r="F49" s="7">
        <f>COUNTIFS(Evidence_Items!E:E,B49,Evidence_Items!F:F,C49,Evidence_Items!M:M,"include",Evidence_Items!O:O,3)</f>
        <v>0</v>
      </c>
      <c r="G49" s="7">
        <f>COUNTIFS(Evidence_Items!E:E,B49,Evidence_Items!F:F,C49,Evidence_Items!M:M,"include",Evidence_Items!O:O,2)</f>
        <v>0</v>
      </c>
      <c r="H49" s="7">
        <f>COUNTIFS(Evidence_Items!E:E,B49,Evidence_Items!F:F,C49,Evidence_Items!M:M,"include",Evidence_Items!O:O,1)</f>
        <v>0</v>
      </c>
      <c r="I49" s="7" t="str">
        <f t="shared" si="0"/>
        <v/>
      </c>
      <c r="J49" s="7">
        <f t="shared" si="1"/>
        <v>0</v>
      </c>
      <c r="K49" s="7">
        <f t="shared" si="2"/>
        <v>0</v>
      </c>
      <c r="L49" s="7" t="str">
        <f t="array" ref="L49">IFERROR(INDEX(Evidence_Items!P:P,MATCH(1,(Evidence_Items!E:E=B49)*(Evidence_Items!F:F=C49)*(Evidence_Items!M:M="include"),0)),"")</f>
        <v/>
      </c>
      <c r="M49" s="7" t="str">
        <f t="array" ref="M49">IFERROR(INDEX(Evidence_Items!G:G,MATCH(1,(Evidence_Items!E:E=B49)*(Evidence_Items!F:F=C49)*(Evidence_Items!M:M="include"),0)),"")</f>
        <v/>
      </c>
      <c r="N49" s="7">
        <f>COUNTIFS(Evidence_Items!E:E,B49,Evidence_Items!F:F,C49,Evidence_Items!M:M,"include",Evidence_Items!Q:Q,"UK-S")</f>
        <v>0</v>
      </c>
    </row>
    <row r="50" spans="1:14" ht="14.25" customHeight="1">
      <c r="A50" s="7" t="s">
        <v>2911</v>
      </c>
      <c r="B50" s="7" t="s">
        <v>121</v>
      </c>
      <c r="C50" s="7" t="s">
        <v>80</v>
      </c>
      <c r="D50" s="7">
        <f>COUNTIFS(Evidence_Items!E:E,B50,Evidence_Items!F:F,C50,Evidence_Items!M:M,"include")</f>
        <v>0</v>
      </c>
      <c r="E50" s="14">
        <f>SUMIFS(Evidence_Items!O:O,Evidence_Items!E:E,B50,Evidence_Items!F:F,C50,Evidence_Items!M:M,"include")</f>
        <v>0</v>
      </c>
      <c r="F50" s="7">
        <f>COUNTIFS(Evidence_Items!E:E,B50,Evidence_Items!F:F,C50,Evidence_Items!M:M,"include",Evidence_Items!O:O,3)</f>
        <v>0</v>
      </c>
      <c r="G50" s="7">
        <f>COUNTIFS(Evidence_Items!E:E,B50,Evidence_Items!F:F,C50,Evidence_Items!M:M,"include",Evidence_Items!O:O,2)</f>
        <v>0</v>
      </c>
      <c r="H50" s="7">
        <f>COUNTIFS(Evidence_Items!E:E,B50,Evidence_Items!F:F,C50,Evidence_Items!M:M,"include",Evidence_Items!O:O,1)</f>
        <v>0</v>
      </c>
      <c r="I50" s="7" t="str">
        <f t="shared" si="0"/>
        <v/>
      </c>
      <c r="J50" s="7">
        <f t="shared" si="1"/>
        <v>0</v>
      </c>
      <c r="K50" s="7">
        <f t="shared" si="2"/>
        <v>0</v>
      </c>
      <c r="L50" s="7" t="str">
        <f t="array" ref="L50">IFERROR(INDEX(Evidence_Items!P:P,MATCH(1,(Evidence_Items!E:E=B50)*(Evidence_Items!F:F=C50)*(Evidence_Items!M:M="include"),0)),"")</f>
        <v/>
      </c>
      <c r="M50" s="7" t="str">
        <f t="array" ref="M50">IFERROR(INDEX(Evidence_Items!G:G,MATCH(1,(Evidence_Items!E:E=B50)*(Evidence_Items!F:F=C50)*(Evidence_Items!M:M="include"),0)),"")</f>
        <v/>
      </c>
      <c r="N50" s="7">
        <f>COUNTIFS(Evidence_Items!E:E,B50,Evidence_Items!F:F,C50,Evidence_Items!M:M,"include",Evidence_Items!Q:Q,"UK-S")</f>
        <v>0</v>
      </c>
    </row>
    <row r="51" spans="1:14" ht="14.25" customHeight="1">
      <c r="A51" s="7" t="s">
        <v>2912</v>
      </c>
      <c r="B51" s="7" t="s">
        <v>121</v>
      </c>
      <c r="C51" s="7" t="s">
        <v>85</v>
      </c>
      <c r="D51" s="7">
        <f>COUNTIFS(Evidence_Items!E:E,B51,Evidence_Items!F:F,C51,Evidence_Items!M:M,"include")</f>
        <v>0</v>
      </c>
      <c r="E51" s="14">
        <f>SUMIFS(Evidence_Items!O:O,Evidence_Items!E:E,B51,Evidence_Items!F:F,C51,Evidence_Items!M:M,"include")</f>
        <v>0</v>
      </c>
      <c r="F51" s="7">
        <f>COUNTIFS(Evidence_Items!E:E,B51,Evidence_Items!F:F,C51,Evidence_Items!M:M,"include",Evidence_Items!O:O,3)</f>
        <v>0</v>
      </c>
      <c r="G51" s="7">
        <f>COUNTIFS(Evidence_Items!E:E,B51,Evidence_Items!F:F,C51,Evidence_Items!M:M,"include",Evidence_Items!O:O,2)</f>
        <v>0</v>
      </c>
      <c r="H51" s="7">
        <f>COUNTIFS(Evidence_Items!E:E,B51,Evidence_Items!F:F,C51,Evidence_Items!M:M,"include",Evidence_Items!O:O,1)</f>
        <v>0</v>
      </c>
      <c r="I51" s="7" t="str">
        <f t="shared" si="0"/>
        <v/>
      </c>
      <c r="J51" s="7">
        <f t="shared" si="1"/>
        <v>0</v>
      </c>
      <c r="K51" s="7">
        <f t="shared" si="2"/>
        <v>0</v>
      </c>
      <c r="L51" s="7" t="str">
        <f t="array" ref="L51">IFERROR(INDEX(Evidence_Items!P:P,MATCH(1,(Evidence_Items!E:E=B51)*(Evidence_Items!F:F=C51)*(Evidence_Items!M:M="include"),0)),"")</f>
        <v/>
      </c>
      <c r="M51" s="7" t="str">
        <f t="array" ref="M51">IFERROR(INDEX(Evidence_Items!G:G,MATCH(1,(Evidence_Items!E:E=B51)*(Evidence_Items!F:F=C51)*(Evidence_Items!M:M="include"),0)),"")</f>
        <v/>
      </c>
      <c r="N51" s="7">
        <f>COUNTIFS(Evidence_Items!E:E,B51,Evidence_Items!F:F,C51,Evidence_Items!M:M,"include",Evidence_Items!Q:Q,"UK-S")</f>
        <v>0</v>
      </c>
    </row>
    <row r="52" spans="1:14" ht="14.25" customHeight="1">
      <c r="A52" s="7" t="s">
        <v>2913</v>
      </c>
      <c r="B52" s="7" t="s">
        <v>121</v>
      </c>
      <c r="C52" s="7" t="s">
        <v>90</v>
      </c>
      <c r="D52" s="7">
        <f>COUNTIFS(Evidence_Items!E:E,B52,Evidence_Items!F:F,C52,Evidence_Items!M:M,"include")</f>
        <v>1</v>
      </c>
      <c r="E52" s="14">
        <f>SUMIFS(Evidence_Items!O:O,Evidence_Items!E:E,B52,Evidence_Items!F:F,C52,Evidence_Items!M:M,"include")</f>
        <v>3</v>
      </c>
      <c r="F52" s="7">
        <f>COUNTIFS(Evidence_Items!E:E,B52,Evidence_Items!F:F,C52,Evidence_Items!M:M,"include",Evidence_Items!O:O,3)</f>
        <v>1</v>
      </c>
      <c r="G52" s="7">
        <f>COUNTIFS(Evidence_Items!E:E,B52,Evidence_Items!F:F,C52,Evidence_Items!M:M,"include",Evidence_Items!O:O,2)</f>
        <v>0</v>
      </c>
      <c r="H52" s="7">
        <f>COUNTIFS(Evidence_Items!E:E,B52,Evidence_Items!F:F,C52,Evidence_Items!M:M,"include",Evidence_Items!O:O,1)</f>
        <v>0</v>
      </c>
      <c r="I52" s="7">
        <f t="shared" si="0"/>
        <v>3</v>
      </c>
      <c r="J52" s="7">
        <f t="shared" si="1"/>
        <v>3</v>
      </c>
      <c r="K52" s="7">
        <f t="shared" si="2"/>
        <v>1</v>
      </c>
      <c r="L52" s="7" t="str">
        <f t="array" ref="L52">IFERROR(INDEX(Evidence_Items!P:P,MATCH(1,(Evidence_Items!E:E=B52)*(Evidence_Items!F:F=C52)*(Evidence_Items!M:M="include"),0)),"")</f>
        <v>Technical audit</v>
      </c>
      <c r="M52" s="7" t="str">
        <f t="array" ref="M52">IFERROR(INDEX(Evidence_Items!G:G,MATCH(1,(Evidence_Items!E:E=B52)*(Evidence_Items!F:F=C52)*(Evidence_Items!M:M="include"),0)),"")</f>
        <v>E12 INCREASES_ASYMMETRY</v>
      </c>
      <c r="N52" s="7">
        <f>COUNTIFS(Evidence_Items!E:E,B52,Evidence_Items!F:F,C52,Evidence_Items!M:M,"include",Evidence_Items!Q:Q,"UK-S")</f>
        <v>0</v>
      </c>
    </row>
    <row r="53" spans="1:14" ht="14.25" customHeight="1">
      <c r="A53" s="7" t="s">
        <v>2914</v>
      </c>
      <c r="B53" s="7" t="s">
        <v>124</v>
      </c>
      <c r="C53" s="7" t="s">
        <v>65</v>
      </c>
      <c r="D53" s="7">
        <f>COUNTIFS(Evidence_Items!E:E,B53,Evidence_Items!F:F,C53,Evidence_Items!M:M,"include")</f>
        <v>0</v>
      </c>
      <c r="E53" s="14">
        <f>SUMIFS(Evidence_Items!O:O,Evidence_Items!E:E,B53,Evidence_Items!F:F,C53,Evidence_Items!M:M,"include")</f>
        <v>0</v>
      </c>
      <c r="F53" s="7">
        <f>COUNTIFS(Evidence_Items!E:E,B53,Evidence_Items!F:F,C53,Evidence_Items!M:M,"include",Evidence_Items!O:O,3)</f>
        <v>0</v>
      </c>
      <c r="G53" s="7">
        <f>COUNTIFS(Evidence_Items!E:E,B53,Evidence_Items!F:F,C53,Evidence_Items!M:M,"include",Evidence_Items!O:O,2)</f>
        <v>0</v>
      </c>
      <c r="H53" s="7">
        <f>COUNTIFS(Evidence_Items!E:E,B53,Evidence_Items!F:F,C53,Evidence_Items!M:M,"include",Evidence_Items!O:O,1)</f>
        <v>0</v>
      </c>
      <c r="I53" s="7" t="str">
        <f t="shared" si="0"/>
        <v/>
      </c>
      <c r="J53" s="7">
        <f t="shared" si="1"/>
        <v>0</v>
      </c>
      <c r="K53" s="7">
        <f t="shared" si="2"/>
        <v>0</v>
      </c>
      <c r="L53" s="7" t="str">
        <f t="array" ref="L53">IFERROR(INDEX(Evidence_Items!P:P,MATCH(1,(Evidence_Items!E:E=B53)*(Evidence_Items!F:F=C53)*(Evidence_Items!M:M="include"),0)),"")</f>
        <v/>
      </c>
      <c r="M53" s="7" t="str">
        <f t="array" ref="M53">IFERROR(INDEX(Evidence_Items!G:G,MATCH(1,(Evidence_Items!E:E=B53)*(Evidence_Items!F:F=C53)*(Evidence_Items!M:M="include"),0)),"")</f>
        <v/>
      </c>
      <c r="N53" s="7">
        <f>COUNTIFS(Evidence_Items!E:E,B53,Evidence_Items!F:F,C53,Evidence_Items!M:M,"include",Evidence_Items!Q:Q,"UK-S")</f>
        <v>0</v>
      </c>
    </row>
    <row r="54" spans="1:14" ht="14.25" customHeight="1">
      <c r="A54" s="7" t="s">
        <v>2915</v>
      </c>
      <c r="B54" s="7" t="s">
        <v>124</v>
      </c>
      <c r="C54" s="7" t="s">
        <v>70</v>
      </c>
      <c r="D54" s="7">
        <f>COUNTIFS(Evidence_Items!E:E,B54,Evidence_Items!F:F,C54,Evidence_Items!M:M,"include")</f>
        <v>14</v>
      </c>
      <c r="E54" s="14">
        <f>SUMIFS(Evidence_Items!O:O,Evidence_Items!E:E,B54,Evidence_Items!F:F,C54,Evidence_Items!M:M,"include")</f>
        <v>26</v>
      </c>
      <c r="F54" s="7">
        <f>COUNTIFS(Evidence_Items!E:E,B54,Evidence_Items!F:F,C54,Evidence_Items!M:M,"include",Evidence_Items!O:O,3)</f>
        <v>3</v>
      </c>
      <c r="G54" s="7">
        <f>COUNTIFS(Evidence_Items!E:E,B54,Evidence_Items!F:F,C54,Evidence_Items!M:M,"include",Evidence_Items!O:O,2)</f>
        <v>6</v>
      </c>
      <c r="H54" s="7">
        <f>COUNTIFS(Evidence_Items!E:E,B54,Evidence_Items!F:F,C54,Evidence_Items!M:M,"include",Evidence_Items!O:O,1)</f>
        <v>5</v>
      </c>
      <c r="I54" s="7">
        <f t="shared" si="0"/>
        <v>1.8571428571428572</v>
      </c>
      <c r="J54" s="7">
        <f t="shared" si="1"/>
        <v>21</v>
      </c>
      <c r="K54" s="7">
        <f t="shared" si="2"/>
        <v>1</v>
      </c>
      <c r="L54" s="7" t="str">
        <f t="array" ref="L54">IFERROR(INDEX(Evidence_Items!P:P,MATCH(1,(Evidence_Items!E:E=B54)*(Evidence_Items!F:F=C54)*(Evidence_Items!M:M="include"),0)),"")</f>
        <v>Technical audit</v>
      </c>
      <c r="M54" s="7" t="str">
        <f t="array" ref="M54">IFERROR(INDEX(Evidence_Items!G:G,MATCH(1,(Evidence_Items!E:E=B54)*(Evidence_Items!F:F=C54)*(Evidence_Items!M:M="include"),0)),"")</f>
        <v>E13 INVITES</v>
      </c>
      <c r="N54" s="7">
        <f>COUNTIFS(Evidence_Items!E:E,B54,Evidence_Items!F:F,C54,Evidence_Items!M:M,"include",Evidence_Items!Q:Q,"UK-S")</f>
        <v>3</v>
      </c>
    </row>
    <row r="55" spans="1:14" ht="14.25" customHeight="1">
      <c r="A55" s="7" t="s">
        <v>2916</v>
      </c>
      <c r="B55" s="7" t="s">
        <v>124</v>
      </c>
      <c r="C55" s="7" t="s">
        <v>75</v>
      </c>
      <c r="D55" s="7">
        <f>COUNTIFS(Evidence_Items!E:E,B55,Evidence_Items!F:F,C55,Evidence_Items!M:M,"include")</f>
        <v>2</v>
      </c>
      <c r="E55" s="14">
        <f>SUMIFS(Evidence_Items!O:O,Evidence_Items!E:E,B55,Evidence_Items!F:F,C55,Evidence_Items!M:M,"include")</f>
        <v>5</v>
      </c>
      <c r="F55" s="7">
        <f>COUNTIFS(Evidence_Items!E:E,B55,Evidence_Items!F:F,C55,Evidence_Items!M:M,"include",Evidence_Items!O:O,3)</f>
        <v>1</v>
      </c>
      <c r="G55" s="7">
        <f>COUNTIFS(Evidence_Items!E:E,B55,Evidence_Items!F:F,C55,Evidence_Items!M:M,"include",Evidence_Items!O:O,2)</f>
        <v>1</v>
      </c>
      <c r="H55" s="7">
        <f>COUNTIFS(Evidence_Items!E:E,B55,Evidence_Items!F:F,C55,Evidence_Items!M:M,"include",Evidence_Items!O:O,1)</f>
        <v>0</v>
      </c>
      <c r="I55" s="7">
        <f t="shared" si="0"/>
        <v>2.5</v>
      </c>
      <c r="J55" s="7">
        <f t="shared" si="1"/>
        <v>5</v>
      </c>
      <c r="K55" s="7">
        <f t="shared" si="2"/>
        <v>1</v>
      </c>
      <c r="L55" s="7" t="str">
        <f t="array" ref="L55">IFERROR(INDEX(Evidence_Items!P:P,MATCH(1,(Evidence_Items!E:E=B55)*(Evidence_Items!F:F=C55)*(Evidence_Items!M:M="include"),0)),"")</f>
        <v>Technical audit</v>
      </c>
      <c r="M55" s="7" t="str">
        <f t="array" ref="M55">IFERROR(INDEX(Evidence_Items!G:G,MATCH(1,(Evidence_Items!E:E=B55)*(Evidence_Items!F:F=C55)*(Evidence_Items!M:M="include"),0)),"")</f>
        <v>E13 INVITES</v>
      </c>
      <c r="N55" s="7">
        <f>COUNTIFS(Evidence_Items!E:E,B55,Evidence_Items!F:F,C55,Evidence_Items!M:M,"include",Evidence_Items!Q:Q,"UK-S")</f>
        <v>1</v>
      </c>
    </row>
    <row r="56" spans="1:14" ht="14.25" customHeight="1">
      <c r="A56" s="7" t="s">
        <v>2917</v>
      </c>
      <c r="B56" s="7" t="s">
        <v>124</v>
      </c>
      <c r="C56" s="7" t="s">
        <v>80</v>
      </c>
      <c r="D56" s="7">
        <f>COUNTIFS(Evidence_Items!E:E,B56,Evidence_Items!F:F,C56,Evidence_Items!M:M,"include")</f>
        <v>1</v>
      </c>
      <c r="E56" s="14">
        <f>SUMIFS(Evidence_Items!O:O,Evidence_Items!E:E,B56,Evidence_Items!F:F,C56,Evidence_Items!M:M,"include")</f>
        <v>1</v>
      </c>
      <c r="F56" s="7">
        <f>COUNTIFS(Evidence_Items!E:E,B56,Evidence_Items!F:F,C56,Evidence_Items!M:M,"include",Evidence_Items!O:O,3)</f>
        <v>0</v>
      </c>
      <c r="G56" s="7">
        <f>COUNTIFS(Evidence_Items!E:E,B56,Evidence_Items!F:F,C56,Evidence_Items!M:M,"include",Evidence_Items!O:O,2)</f>
        <v>0</v>
      </c>
      <c r="H56" s="7">
        <f>COUNTIFS(Evidence_Items!E:E,B56,Evidence_Items!F:F,C56,Evidence_Items!M:M,"include",Evidence_Items!O:O,1)</f>
        <v>1</v>
      </c>
      <c r="I56" s="7">
        <f t="shared" si="0"/>
        <v>1</v>
      </c>
      <c r="J56" s="7">
        <f t="shared" si="1"/>
        <v>0</v>
      </c>
      <c r="K56" s="7">
        <f t="shared" si="2"/>
        <v>1</v>
      </c>
      <c r="L56" s="7" t="str">
        <f t="array" ref="L56">IFERROR(INDEX(Evidence_Items!P:P,MATCH(1,(Evidence_Items!E:E=B56)*(Evidence_Items!F:F=C56)*(Evidence_Items!M:M="include"),0)),"")</f>
        <v>Theoretical / conceptual</v>
      </c>
      <c r="M56" s="7" t="str">
        <f t="array" ref="M56">IFERROR(INDEX(Evidence_Items!G:G,MATCH(1,(Evidence_Items!E:E=B56)*(Evidence_Items!F:F=C56)*(Evidence_Items!M:M="include"),0)),"")</f>
        <v>E13 INVITES</v>
      </c>
      <c r="N56" s="7">
        <f>COUNTIFS(Evidence_Items!E:E,B56,Evidence_Items!F:F,C56,Evidence_Items!M:M,"include",Evidence_Items!Q:Q,"UK-S")</f>
        <v>0</v>
      </c>
    </row>
    <row r="57" spans="1:14" ht="14.25" customHeight="1">
      <c r="A57" s="7" t="s">
        <v>2918</v>
      </c>
      <c r="B57" s="7" t="s">
        <v>124</v>
      </c>
      <c r="C57" s="7" t="s">
        <v>85</v>
      </c>
      <c r="D57" s="7">
        <f>COUNTIFS(Evidence_Items!E:E,B57,Evidence_Items!F:F,C57,Evidence_Items!M:M,"include")</f>
        <v>0</v>
      </c>
      <c r="E57" s="14">
        <f>SUMIFS(Evidence_Items!O:O,Evidence_Items!E:E,B57,Evidence_Items!F:F,C57,Evidence_Items!M:M,"include")</f>
        <v>0</v>
      </c>
      <c r="F57" s="7">
        <f>COUNTIFS(Evidence_Items!E:E,B57,Evidence_Items!F:F,C57,Evidence_Items!M:M,"include",Evidence_Items!O:O,3)</f>
        <v>0</v>
      </c>
      <c r="G57" s="7">
        <f>COUNTIFS(Evidence_Items!E:E,B57,Evidence_Items!F:F,C57,Evidence_Items!M:M,"include",Evidence_Items!O:O,2)</f>
        <v>0</v>
      </c>
      <c r="H57" s="7">
        <f>COUNTIFS(Evidence_Items!E:E,B57,Evidence_Items!F:F,C57,Evidence_Items!M:M,"include",Evidence_Items!O:O,1)</f>
        <v>0</v>
      </c>
      <c r="I57" s="7" t="str">
        <f t="shared" si="0"/>
        <v/>
      </c>
      <c r="J57" s="7">
        <f t="shared" si="1"/>
        <v>0</v>
      </c>
      <c r="K57" s="7">
        <f t="shared" si="2"/>
        <v>0</v>
      </c>
      <c r="L57" s="7" t="str">
        <f t="array" ref="L57">IFERROR(INDEX(Evidence_Items!P:P,MATCH(1,(Evidence_Items!E:E=B57)*(Evidence_Items!F:F=C57)*(Evidence_Items!M:M="include"),0)),"")</f>
        <v/>
      </c>
      <c r="M57" s="7" t="str">
        <f t="array" ref="M57">IFERROR(INDEX(Evidence_Items!G:G,MATCH(1,(Evidence_Items!E:E=B57)*(Evidence_Items!F:F=C57)*(Evidence_Items!M:M="include"),0)),"")</f>
        <v/>
      </c>
      <c r="N57" s="7">
        <f>COUNTIFS(Evidence_Items!E:E,B57,Evidence_Items!F:F,C57,Evidence_Items!M:M,"include",Evidence_Items!Q:Q,"UK-S")</f>
        <v>0</v>
      </c>
    </row>
    <row r="58" spans="1:14" ht="14.25" customHeight="1">
      <c r="A58" s="7" t="s">
        <v>2919</v>
      </c>
      <c r="B58" s="7" t="s">
        <v>124</v>
      </c>
      <c r="C58" s="7" t="s">
        <v>90</v>
      </c>
      <c r="D58" s="7">
        <f>COUNTIFS(Evidence_Items!E:E,B58,Evidence_Items!F:F,C58,Evidence_Items!M:M,"include")</f>
        <v>0</v>
      </c>
      <c r="E58" s="14">
        <f>SUMIFS(Evidence_Items!O:O,Evidence_Items!E:E,B58,Evidence_Items!F:F,C58,Evidence_Items!M:M,"include")</f>
        <v>0</v>
      </c>
      <c r="F58" s="7">
        <f>COUNTIFS(Evidence_Items!E:E,B58,Evidence_Items!F:F,C58,Evidence_Items!M:M,"include",Evidence_Items!O:O,3)</f>
        <v>0</v>
      </c>
      <c r="G58" s="7">
        <f>COUNTIFS(Evidence_Items!E:E,B58,Evidence_Items!F:F,C58,Evidence_Items!M:M,"include",Evidence_Items!O:O,2)</f>
        <v>0</v>
      </c>
      <c r="H58" s="7">
        <f>COUNTIFS(Evidence_Items!E:E,B58,Evidence_Items!F:F,C58,Evidence_Items!M:M,"include",Evidence_Items!O:O,1)</f>
        <v>0</v>
      </c>
      <c r="I58" s="7" t="str">
        <f t="shared" si="0"/>
        <v/>
      </c>
      <c r="J58" s="7">
        <f t="shared" si="1"/>
        <v>0</v>
      </c>
      <c r="K58" s="7">
        <f t="shared" si="2"/>
        <v>0</v>
      </c>
      <c r="L58" s="7" t="str">
        <f t="array" ref="L58">IFERROR(INDEX(Evidence_Items!P:P,MATCH(1,(Evidence_Items!E:E=B58)*(Evidence_Items!F:F=C58)*(Evidence_Items!M:M="include"),0)),"")</f>
        <v/>
      </c>
      <c r="M58" s="7" t="str">
        <f t="array" ref="M58">IFERROR(INDEX(Evidence_Items!G:G,MATCH(1,(Evidence_Items!E:E=B58)*(Evidence_Items!F:F=C58)*(Evidence_Items!M:M="include"),0)),"")</f>
        <v/>
      </c>
      <c r="N58" s="7">
        <f>COUNTIFS(Evidence_Items!E:E,B58,Evidence_Items!F:F,C58,Evidence_Items!M:M,"include",Evidence_Items!Q:Q,"UK-S")</f>
        <v>0</v>
      </c>
    </row>
    <row r="59" spans="1:14" ht="14.25" customHeight="1">
      <c r="A59" s="7" t="s">
        <v>2920</v>
      </c>
      <c r="B59" s="7" t="s">
        <v>127</v>
      </c>
      <c r="C59" s="7" t="s">
        <v>65</v>
      </c>
      <c r="D59" s="7">
        <f>COUNTIFS(Evidence_Items!E:E,B59,Evidence_Items!F:F,C59,Evidence_Items!M:M,"include")</f>
        <v>7</v>
      </c>
      <c r="E59" s="14">
        <f>SUMIFS(Evidence_Items!O:O,Evidence_Items!E:E,B59,Evidence_Items!F:F,C59,Evidence_Items!M:M,"include")</f>
        <v>19</v>
      </c>
      <c r="F59" s="7">
        <f>COUNTIFS(Evidence_Items!E:E,B59,Evidence_Items!F:F,C59,Evidence_Items!M:M,"include",Evidence_Items!O:O,3)</f>
        <v>5</v>
      </c>
      <c r="G59" s="7">
        <f>COUNTIFS(Evidence_Items!E:E,B59,Evidence_Items!F:F,C59,Evidence_Items!M:M,"include",Evidence_Items!O:O,2)</f>
        <v>2</v>
      </c>
      <c r="H59" s="7">
        <f>COUNTIFS(Evidence_Items!E:E,B59,Evidence_Items!F:F,C59,Evidence_Items!M:M,"include",Evidence_Items!O:O,1)</f>
        <v>0</v>
      </c>
      <c r="I59" s="7">
        <f t="shared" si="0"/>
        <v>2.7142857142857144</v>
      </c>
      <c r="J59" s="7">
        <f t="shared" si="1"/>
        <v>19</v>
      </c>
      <c r="K59" s="7">
        <f t="shared" si="2"/>
        <v>1</v>
      </c>
      <c r="L59" s="7" t="str">
        <f t="array" ref="L59">IFERROR(INDEX(Evidence_Items!P:P,MATCH(1,(Evidence_Items!E:E=B59)*(Evidence_Items!F:F=C59)*(Evidence_Items!M:M="include"),0)),"")</f>
        <v>Technical audit</v>
      </c>
      <c r="M59" s="7" t="str">
        <f t="array" ref="M59">IFERROR(INDEX(Evidence_Items!G:G,MATCH(1,(Evidence_Items!E:E=B59)*(Evidence_Items!F:F=C59)*(Evidence_Items!M:M="include"),0)),"")</f>
        <v>E11 OBSCURES_VISIBILITY</v>
      </c>
      <c r="N59" s="7">
        <f>COUNTIFS(Evidence_Items!E:E,B59,Evidence_Items!F:F,C59,Evidence_Items!M:M,"include",Evidence_Items!Q:Q,"UK-S")</f>
        <v>0</v>
      </c>
    </row>
    <row r="60" spans="1:14" ht="14.25" customHeight="1">
      <c r="A60" s="7" t="s">
        <v>2921</v>
      </c>
      <c r="B60" s="7" t="s">
        <v>127</v>
      </c>
      <c r="C60" s="7" t="s">
        <v>70</v>
      </c>
      <c r="D60" s="7">
        <f>COUNTIFS(Evidence_Items!E:E,B60,Evidence_Items!F:F,C60,Evidence_Items!M:M,"include")</f>
        <v>0</v>
      </c>
      <c r="E60" s="14">
        <f>SUMIFS(Evidence_Items!O:O,Evidence_Items!E:E,B60,Evidence_Items!F:F,C60,Evidence_Items!M:M,"include")</f>
        <v>0</v>
      </c>
      <c r="F60" s="7">
        <f>COUNTIFS(Evidence_Items!E:E,B60,Evidence_Items!F:F,C60,Evidence_Items!M:M,"include",Evidence_Items!O:O,3)</f>
        <v>0</v>
      </c>
      <c r="G60" s="7">
        <f>COUNTIFS(Evidence_Items!E:E,B60,Evidence_Items!F:F,C60,Evidence_Items!M:M,"include",Evidence_Items!O:O,2)</f>
        <v>0</v>
      </c>
      <c r="H60" s="7">
        <f>COUNTIFS(Evidence_Items!E:E,B60,Evidence_Items!F:F,C60,Evidence_Items!M:M,"include",Evidence_Items!O:O,1)</f>
        <v>0</v>
      </c>
      <c r="I60" s="7" t="str">
        <f t="shared" si="0"/>
        <v/>
      </c>
      <c r="J60" s="7">
        <f t="shared" si="1"/>
        <v>0</v>
      </c>
      <c r="K60" s="7">
        <f t="shared" si="2"/>
        <v>0</v>
      </c>
      <c r="L60" s="7" t="str">
        <f t="array" ref="L60">IFERROR(INDEX(Evidence_Items!P:P,MATCH(1,(Evidence_Items!E:E=B60)*(Evidence_Items!F:F=C60)*(Evidence_Items!M:M="include"),0)),"")</f>
        <v/>
      </c>
      <c r="M60" s="7" t="str">
        <f t="array" ref="M60">IFERROR(INDEX(Evidence_Items!G:G,MATCH(1,(Evidence_Items!E:E=B60)*(Evidence_Items!F:F=C60)*(Evidence_Items!M:M="include"),0)),"")</f>
        <v/>
      </c>
      <c r="N60" s="7">
        <f>COUNTIFS(Evidence_Items!E:E,B60,Evidence_Items!F:F,C60,Evidence_Items!M:M,"include",Evidence_Items!Q:Q,"UK-S")</f>
        <v>0</v>
      </c>
    </row>
    <row r="61" spans="1:14" ht="14.25" customHeight="1">
      <c r="A61" s="7" t="s">
        <v>2922</v>
      </c>
      <c r="B61" s="7" t="s">
        <v>127</v>
      </c>
      <c r="C61" s="7" t="s">
        <v>75</v>
      </c>
      <c r="D61" s="7">
        <f>COUNTIFS(Evidence_Items!E:E,B61,Evidence_Items!F:F,C61,Evidence_Items!M:M,"include")</f>
        <v>0</v>
      </c>
      <c r="E61" s="14">
        <f>SUMIFS(Evidence_Items!O:O,Evidence_Items!E:E,B61,Evidence_Items!F:F,C61,Evidence_Items!M:M,"include")</f>
        <v>0</v>
      </c>
      <c r="F61" s="7">
        <f>COUNTIFS(Evidence_Items!E:E,B61,Evidence_Items!F:F,C61,Evidence_Items!M:M,"include",Evidence_Items!O:O,3)</f>
        <v>0</v>
      </c>
      <c r="G61" s="7">
        <f>COUNTIFS(Evidence_Items!E:E,B61,Evidence_Items!F:F,C61,Evidence_Items!M:M,"include",Evidence_Items!O:O,2)</f>
        <v>0</v>
      </c>
      <c r="H61" s="7">
        <f>COUNTIFS(Evidence_Items!E:E,B61,Evidence_Items!F:F,C61,Evidence_Items!M:M,"include",Evidence_Items!O:O,1)</f>
        <v>0</v>
      </c>
      <c r="I61" s="7" t="str">
        <f t="shared" si="0"/>
        <v/>
      </c>
      <c r="J61" s="7">
        <f t="shared" si="1"/>
        <v>0</v>
      </c>
      <c r="K61" s="7">
        <f t="shared" si="2"/>
        <v>0</v>
      </c>
      <c r="L61" s="7" t="str">
        <f t="array" ref="L61">IFERROR(INDEX(Evidence_Items!P:P,MATCH(1,(Evidence_Items!E:E=B61)*(Evidence_Items!F:F=C61)*(Evidence_Items!M:M="include"),0)),"")</f>
        <v/>
      </c>
      <c r="M61" s="7" t="str">
        <f t="array" ref="M61">IFERROR(INDEX(Evidence_Items!G:G,MATCH(1,(Evidence_Items!E:E=B61)*(Evidence_Items!F:F=C61)*(Evidence_Items!M:M="include"),0)),"")</f>
        <v/>
      </c>
      <c r="N61" s="7">
        <f>COUNTIFS(Evidence_Items!E:E,B61,Evidence_Items!F:F,C61,Evidence_Items!M:M,"include",Evidence_Items!Q:Q,"UK-S")</f>
        <v>0</v>
      </c>
    </row>
    <row r="62" spans="1:14" ht="14.25" customHeight="1">
      <c r="A62" s="7" t="s">
        <v>2923</v>
      </c>
      <c r="B62" s="7" t="s">
        <v>127</v>
      </c>
      <c r="C62" s="7" t="s">
        <v>80</v>
      </c>
      <c r="D62" s="7">
        <f>COUNTIFS(Evidence_Items!E:E,B62,Evidence_Items!F:F,C62,Evidence_Items!M:M,"include")</f>
        <v>2</v>
      </c>
      <c r="E62" s="14">
        <f>SUMIFS(Evidence_Items!O:O,Evidence_Items!E:E,B62,Evidence_Items!F:F,C62,Evidence_Items!M:M,"include")</f>
        <v>4</v>
      </c>
      <c r="F62" s="7">
        <f>COUNTIFS(Evidence_Items!E:E,B62,Evidence_Items!F:F,C62,Evidence_Items!M:M,"include",Evidence_Items!O:O,3)</f>
        <v>0</v>
      </c>
      <c r="G62" s="7">
        <f>COUNTIFS(Evidence_Items!E:E,B62,Evidence_Items!F:F,C62,Evidence_Items!M:M,"include",Evidence_Items!O:O,2)</f>
        <v>2</v>
      </c>
      <c r="H62" s="7">
        <f>COUNTIFS(Evidence_Items!E:E,B62,Evidence_Items!F:F,C62,Evidence_Items!M:M,"include",Evidence_Items!O:O,1)</f>
        <v>0</v>
      </c>
      <c r="I62" s="7">
        <f t="shared" si="0"/>
        <v>2</v>
      </c>
      <c r="J62" s="7">
        <f t="shared" si="1"/>
        <v>4</v>
      </c>
      <c r="K62" s="7">
        <f t="shared" si="2"/>
        <v>1</v>
      </c>
      <c r="L62" s="7" t="str">
        <f t="array" ref="L62">IFERROR(INDEX(Evidence_Items!P:P,MATCH(1,(Evidence_Items!E:E=B62)*(Evidence_Items!F:F=C62)*(Evidence_Items!M:M="include"),0)),"")</f>
        <v>Theoretical / conceptual</v>
      </c>
      <c r="M62" s="7" t="str">
        <f t="array" ref="M62">IFERROR(INDEX(Evidence_Items!G:G,MATCH(1,(Evidence_Items!E:E=B62)*(Evidence_Items!F:F=C62)*(Evidence_Items!M:M="include"),0)),"")</f>
        <v>E01 ENABLES</v>
      </c>
      <c r="N62" s="7">
        <f>COUNTIFS(Evidence_Items!E:E,B62,Evidence_Items!F:F,C62,Evidence_Items!M:M,"include",Evidence_Items!Q:Q,"UK-S")</f>
        <v>0</v>
      </c>
    </row>
    <row r="63" spans="1:14" ht="14.25" customHeight="1">
      <c r="A63" s="7" t="s">
        <v>2924</v>
      </c>
      <c r="B63" s="7" t="s">
        <v>127</v>
      </c>
      <c r="C63" s="7" t="s">
        <v>85</v>
      </c>
      <c r="D63" s="7">
        <f>COUNTIFS(Evidence_Items!E:E,B63,Evidence_Items!F:F,C63,Evidence_Items!M:M,"include")</f>
        <v>0</v>
      </c>
      <c r="E63" s="14">
        <f>SUMIFS(Evidence_Items!O:O,Evidence_Items!E:E,B63,Evidence_Items!F:F,C63,Evidence_Items!M:M,"include")</f>
        <v>0</v>
      </c>
      <c r="F63" s="7">
        <f>COUNTIFS(Evidence_Items!E:E,B63,Evidence_Items!F:F,C63,Evidence_Items!M:M,"include",Evidence_Items!O:O,3)</f>
        <v>0</v>
      </c>
      <c r="G63" s="7">
        <f>COUNTIFS(Evidence_Items!E:E,B63,Evidence_Items!F:F,C63,Evidence_Items!M:M,"include",Evidence_Items!O:O,2)</f>
        <v>0</v>
      </c>
      <c r="H63" s="7">
        <f>COUNTIFS(Evidence_Items!E:E,B63,Evidence_Items!F:F,C63,Evidence_Items!M:M,"include",Evidence_Items!O:O,1)</f>
        <v>0</v>
      </c>
      <c r="I63" s="7" t="str">
        <f t="shared" si="0"/>
        <v/>
      </c>
      <c r="J63" s="7">
        <f t="shared" si="1"/>
        <v>0</v>
      </c>
      <c r="K63" s="7">
        <f t="shared" si="2"/>
        <v>0</v>
      </c>
      <c r="L63" s="7" t="str">
        <f t="array" ref="L63">IFERROR(INDEX(Evidence_Items!P:P,MATCH(1,(Evidence_Items!E:E=B63)*(Evidence_Items!F:F=C63)*(Evidence_Items!M:M="include"),0)),"")</f>
        <v/>
      </c>
      <c r="M63" s="7" t="str">
        <f t="array" ref="M63">IFERROR(INDEX(Evidence_Items!G:G,MATCH(1,(Evidence_Items!E:E=B63)*(Evidence_Items!F:F=C63)*(Evidence_Items!M:M="include"),0)),"")</f>
        <v/>
      </c>
      <c r="N63" s="7">
        <f>COUNTIFS(Evidence_Items!E:E,B63,Evidence_Items!F:F,C63,Evidence_Items!M:M,"include",Evidence_Items!Q:Q,"UK-S")</f>
        <v>0</v>
      </c>
    </row>
    <row r="64" spans="1:14" ht="14.25" customHeight="1">
      <c r="A64" s="7" t="s">
        <v>2925</v>
      </c>
      <c r="B64" s="7" t="s">
        <v>127</v>
      </c>
      <c r="C64" s="7" t="s">
        <v>90</v>
      </c>
      <c r="D64" s="7">
        <f>COUNTIFS(Evidence_Items!E:E,B64,Evidence_Items!F:F,C64,Evidence_Items!M:M,"include")</f>
        <v>2</v>
      </c>
      <c r="E64" s="14">
        <f>SUMIFS(Evidence_Items!O:O,Evidence_Items!E:E,B64,Evidence_Items!F:F,C64,Evidence_Items!M:M,"include")</f>
        <v>3</v>
      </c>
      <c r="F64" s="7">
        <f>COUNTIFS(Evidence_Items!E:E,B64,Evidence_Items!F:F,C64,Evidence_Items!M:M,"include",Evidence_Items!O:O,3)</f>
        <v>0</v>
      </c>
      <c r="G64" s="7">
        <f>COUNTIFS(Evidence_Items!E:E,B64,Evidence_Items!F:F,C64,Evidence_Items!M:M,"include",Evidence_Items!O:O,2)</f>
        <v>1</v>
      </c>
      <c r="H64" s="7">
        <f>COUNTIFS(Evidence_Items!E:E,B64,Evidence_Items!F:F,C64,Evidence_Items!M:M,"include",Evidence_Items!O:O,1)</f>
        <v>1</v>
      </c>
      <c r="I64" s="7">
        <f t="shared" si="0"/>
        <v>1.5</v>
      </c>
      <c r="J64" s="7">
        <f t="shared" si="1"/>
        <v>2</v>
      </c>
      <c r="K64" s="7">
        <f t="shared" si="2"/>
        <v>1</v>
      </c>
      <c r="L64" s="7" t="str">
        <f t="array" ref="L64">IFERROR(INDEX(Evidence_Items!P:P,MATCH(1,(Evidence_Items!E:E=B64)*(Evidence_Items!F:F=C64)*(Evidence_Items!M:M="include"),0)),"")</f>
        <v>Theoretical / conceptual</v>
      </c>
      <c r="M64" s="7" t="str">
        <f t="array" ref="M64">IFERROR(INDEX(Evidence_Items!G:G,MATCH(1,(Evidence_Items!E:E=B64)*(Evidence_Items!F:F=C64)*(Evidence_Items!M:M="include"),0)),"")</f>
        <v>E12 INCREASES_ASYMMETRY</v>
      </c>
      <c r="N64" s="7">
        <f>COUNTIFS(Evidence_Items!E:E,B64,Evidence_Items!F:F,C64,Evidence_Items!M:M,"include",Evidence_Items!Q:Q,"UK-S")</f>
        <v>0</v>
      </c>
    </row>
    <row r="65" spans="1:14" ht="14.25" customHeight="1">
      <c r="A65" s="7" t="s">
        <v>2926</v>
      </c>
      <c r="B65" s="7" t="s">
        <v>130</v>
      </c>
      <c r="C65" s="7" t="s">
        <v>65</v>
      </c>
      <c r="D65" s="7">
        <f>COUNTIFS(Evidence_Items!E:E,B65,Evidence_Items!F:F,C65,Evidence_Items!M:M,"include")</f>
        <v>2</v>
      </c>
      <c r="E65" s="14">
        <f>SUMIFS(Evidence_Items!O:O,Evidence_Items!E:E,B65,Evidence_Items!F:F,C65,Evidence_Items!M:M,"include")</f>
        <v>5</v>
      </c>
      <c r="F65" s="7">
        <f>COUNTIFS(Evidence_Items!E:E,B65,Evidence_Items!F:F,C65,Evidence_Items!M:M,"include",Evidence_Items!O:O,3)</f>
        <v>1</v>
      </c>
      <c r="G65" s="7">
        <f>COUNTIFS(Evidence_Items!E:E,B65,Evidence_Items!F:F,C65,Evidence_Items!M:M,"include",Evidence_Items!O:O,2)</f>
        <v>1</v>
      </c>
      <c r="H65" s="7">
        <f>COUNTIFS(Evidence_Items!E:E,B65,Evidence_Items!F:F,C65,Evidence_Items!M:M,"include",Evidence_Items!O:O,1)</f>
        <v>0</v>
      </c>
      <c r="I65" s="7">
        <f t="shared" si="0"/>
        <v>2.5</v>
      </c>
      <c r="J65" s="7">
        <f t="shared" si="1"/>
        <v>5</v>
      </c>
      <c r="K65" s="7">
        <f t="shared" si="2"/>
        <v>1</v>
      </c>
      <c r="L65" s="7" t="str">
        <f t="array" ref="L65">IFERROR(INDEX(Evidence_Items!P:P,MATCH(1,(Evidence_Items!E:E=B65)*(Evidence_Items!F:F=C65)*(Evidence_Items!M:M="include"),0)),"")</f>
        <v>Empirical-qualitative</v>
      </c>
      <c r="M65" s="7" t="str">
        <f t="array" ref="M65">IFERROR(INDEX(Evidence_Items!G:G,MATCH(1,(Evidence_Items!E:E=B65)*(Evidence_Items!F:F=C65)*(Evidence_Items!M:M="include"),0)),"")</f>
        <v>E04 INCREASES_ACCESS</v>
      </c>
      <c r="N65" s="7">
        <f>COUNTIFS(Evidence_Items!E:E,B65,Evidence_Items!F:F,C65,Evidence_Items!M:M,"include",Evidence_Items!Q:Q,"UK-S")</f>
        <v>0</v>
      </c>
    </row>
    <row r="66" spans="1:14" ht="14.25" customHeight="1">
      <c r="A66" s="7" t="s">
        <v>2927</v>
      </c>
      <c r="B66" s="7" t="s">
        <v>130</v>
      </c>
      <c r="C66" s="7" t="s">
        <v>70</v>
      </c>
      <c r="D66" s="7">
        <f>COUNTIFS(Evidence_Items!E:E,B66,Evidence_Items!F:F,C66,Evidence_Items!M:M,"include")</f>
        <v>0</v>
      </c>
      <c r="E66" s="14">
        <f>SUMIFS(Evidence_Items!O:O,Evidence_Items!E:E,B66,Evidence_Items!F:F,C66,Evidence_Items!M:M,"include")</f>
        <v>0</v>
      </c>
      <c r="F66" s="7">
        <f>COUNTIFS(Evidence_Items!E:E,B66,Evidence_Items!F:F,C66,Evidence_Items!M:M,"include",Evidence_Items!O:O,3)</f>
        <v>0</v>
      </c>
      <c r="G66" s="7">
        <f>COUNTIFS(Evidence_Items!E:E,B66,Evidence_Items!F:F,C66,Evidence_Items!M:M,"include",Evidence_Items!O:O,2)</f>
        <v>0</v>
      </c>
      <c r="H66" s="7">
        <f>COUNTIFS(Evidence_Items!E:E,B66,Evidence_Items!F:F,C66,Evidence_Items!M:M,"include",Evidence_Items!O:O,1)</f>
        <v>0</v>
      </c>
      <c r="I66" s="7" t="str">
        <f t="shared" si="0"/>
        <v/>
      </c>
      <c r="J66" s="7">
        <f t="shared" si="1"/>
        <v>0</v>
      </c>
      <c r="K66" s="7">
        <f t="shared" si="2"/>
        <v>0</v>
      </c>
      <c r="L66" s="7" t="str">
        <f t="array" ref="L66">IFERROR(INDEX(Evidence_Items!P:P,MATCH(1,(Evidence_Items!E:E=B66)*(Evidence_Items!F:F=C66)*(Evidence_Items!M:M="include"),0)),"")</f>
        <v/>
      </c>
      <c r="M66" s="7" t="str">
        <f t="array" ref="M66">IFERROR(INDEX(Evidence_Items!G:G,MATCH(1,(Evidence_Items!E:E=B66)*(Evidence_Items!F:F=C66)*(Evidence_Items!M:M="include"),0)),"")</f>
        <v/>
      </c>
      <c r="N66" s="7">
        <f>COUNTIFS(Evidence_Items!E:E,B66,Evidence_Items!F:F,C66,Evidence_Items!M:M,"include",Evidence_Items!Q:Q,"UK-S")</f>
        <v>0</v>
      </c>
    </row>
    <row r="67" spans="1:14" ht="14.25" customHeight="1">
      <c r="A67" s="7" t="s">
        <v>2928</v>
      </c>
      <c r="B67" s="7" t="s">
        <v>130</v>
      </c>
      <c r="C67" s="7" t="s">
        <v>75</v>
      </c>
      <c r="D67" s="7">
        <f>COUNTIFS(Evidence_Items!E:E,B67,Evidence_Items!F:F,C67,Evidence_Items!M:M,"include")</f>
        <v>1</v>
      </c>
      <c r="E67" s="14">
        <f>SUMIFS(Evidence_Items!O:O,Evidence_Items!E:E,B67,Evidence_Items!F:F,C67,Evidence_Items!M:M,"include")</f>
        <v>3</v>
      </c>
      <c r="F67" s="7">
        <f>COUNTIFS(Evidence_Items!E:E,B67,Evidence_Items!F:F,C67,Evidence_Items!M:M,"include",Evidence_Items!O:O,3)</f>
        <v>1</v>
      </c>
      <c r="G67" s="7">
        <f>COUNTIFS(Evidence_Items!E:E,B67,Evidence_Items!F:F,C67,Evidence_Items!M:M,"include",Evidence_Items!O:O,2)</f>
        <v>0</v>
      </c>
      <c r="H67" s="7">
        <f>COUNTIFS(Evidence_Items!E:E,B67,Evidence_Items!F:F,C67,Evidence_Items!M:M,"include",Evidence_Items!O:O,1)</f>
        <v>0</v>
      </c>
      <c r="I67" s="7">
        <f t="shared" si="0"/>
        <v>3</v>
      </c>
      <c r="J67" s="7">
        <f t="shared" si="1"/>
        <v>3</v>
      </c>
      <c r="K67" s="7">
        <f t="shared" si="2"/>
        <v>1</v>
      </c>
      <c r="L67" s="7" t="str">
        <f t="array" ref="L67">IFERROR(INDEX(Evidence_Items!P:P,MATCH(1,(Evidence_Items!E:E=B67)*(Evidence_Items!F:F=C67)*(Evidence_Items!M:M="include"),0)),"")</f>
        <v>Empirical-quantitative</v>
      </c>
      <c r="M67" s="7" t="str">
        <f t="array" ref="M67">IFERROR(INDEX(Evidence_Items!G:G,MATCH(1,(Evidence_Items!E:E=B67)*(Evidence_Items!F:F=C67)*(Evidence_Items!M:M="include"),0)),"")</f>
        <v>E01 ENABLES</v>
      </c>
      <c r="N67" s="7">
        <f>COUNTIFS(Evidence_Items!E:E,B67,Evidence_Items!F:F,C67,Evidence_Items!M:M,"include",Evidence_Items!Q:Q,"UK-S")</f>
        <v>0</v>
      </c>
    </row>
    <row r="68" spans="1:14" ht="14.25" customHeight="1">
      <c r="A68" s="7" t="s">
        <v>2929</v>
      </c>
      <c r="B68" s="7" t="s">
        <v>130</v>
      </c>
      <c r="C68" s="7" t="s">
        <v>80</v>
      </c>
      <c r="D68" s="7">
        <f>COUNTIFS(Evidence_Items!E:E,B68,Evidence_Items!F:F,C68,Evidence_Items!M:M,"include")</f>
        <v>0</v>
      </c>
      <c r="E68" s="14">
        <f>SUMIFS(Evidence_Items!O:O,Evidence_Items!E:E,B68,Evidence_Items!F:F,C68,Evidence_Items!M:M,"include")</f>
        <v>0</v>
      </c>
      <c r="F68" s="7">
        <f>COUNTIFS(Evidence_Items!E:E,B68,Evidence_Items!F:F,C68,Evidence_Items!M:M,"include",Evidence_Items!O:O,3)</f>
        <v>0</v>
      </c>
      <c r="G68" s="7">
        <f>COUNTIFS(Evidence_Items!E:E,B68,Evidence_Items!F:F,C68,Evidence_Items!M:M,"include",Evidence_Items!O:O,2)</f>
        <v>0</v>
      </c>
      <c r="H68" s="7">
        <f>COUNTIFS(Evidence_Items!E:E,B68,Evidence_Items!F:F,C68,Evidence_Items!M:M,"include",Evidence_Items!O:O,1)</f>
        <v>0</v>
      </c>
      <c r="I68" s="7" t="str">
        <f t="shared" si="0"/>
        <v/>
      </c>
      <c r="J68" s="7">
        <f t="shared" si="1"/>
        <v>0</v>
      </c>
      <c r="K68" s="7">
        <f t="shared" si="2"/>
        <v>0</v>
      </c>
      <c r="L68" s="7" t="str">
        <f t="array" ref="L68">IFERROR(INDEX(Evidence_Items!P:P,MATCH(1,(Evidence_Items!E:E=B68)*(Evidence_Items!F:F=C68)*(Evidence_Items!M:M="include"),0)),"")</f>
        <v/>
      </c>
      <c r="M68" s="7" t="str">
        <f t="array" ref="M68">IFERROR(INDEX(Evidence_Items!G:G,MATCH(1,(Evidence_Items!E:E=B68)*(Evidence_Items!F:F=C68)*(Evidence_Items!M:M="include"),0)),"")</f>
        <v/>
      </c>
      <c r="N68" s="7">
        <f>COUNTIFS(Evidence_Items!E:E,B68,Evidence_Items!F:F,C68,Evidence_Items!M:M,"include",Evidence_Items!Q:Q,"UK-S")</f>
        <v>0</v>
      </c>
    </row>
    <row r="69" spans="1:14" ht="14.25" customHeight="1">
      <c r="A69" s="7" t="s">
        <v>2930</v>
      </c>
      <c r="B69" s="7" t="s">
        <v>130</v>
      </c>
      <c r="C69" s="7" t="s">
        <v>85</v>
      </c>
      <c r="D69" s="7">
        <f>COUNTIFS(Evidence_Items!E:E,B69,Evidence_Items!F:F,C69,Evidence_Items!M:M,"include")</f>
        <v>0</v>
      </c>
      <c r="E69" s="14">
        <f>SUMIFS(Evidence_Items!O:O,Evidence_Items!E:E,B69,Evidence_Items!F:F,C69,Evidence_Items!M:M,"include")</f>
        <v>0</v>
      </c>
      <c r="F69" s="7">
        <f>COUNTIFS(Evidence_Items!E:E,B69,Evidence_Items!F:F,C69,Evidence_Items!M:M,"include",Evidence_Items!O:O,3)</f>
        <v>0</v>
      </c>
      <c r="G69" s="7">
        <f>COUNTIFS(Evidence_Items!E:E,B69,Evidence_Items!F:F,C69,Evidence_Items!M:M,"include",Evidence_Items!O:O,2)</f>
        <v>0</v>
      </c>
      <c r="H69" s="7">
        <f>COUNTIFS(Evidence_Items!E:E,B69,Evidence_Items!F:F,C69,Evidence_Items!M:M,"include",Evidence_Items!O:O,1)</f>
        <v>0</v>
      </c>
      <c r="I69" s="7" t="str">
        <f t="shared" si="0"/>
        <v/>
      </c>
      <c r="J69" s="7">
        <f t="shared" si="1"/>
        <v>0</v>
      </c>
      <c r="K69" s="7">
        <f t="shared" si="2"/>
        <v>0</v>
      </c>
      <c r="L69" s="7" t="str">
        <f t="array" ref="L69">IFERROR(INDEX(Evidence_Items!P:P,MATCH(1,(Evidence_Items!E:E=B69)*(Evidence_Items!F:F=C69)*(Evidence_Items!M:M="include"),0)),"")</f>
        <v/>
      </c>
      <c r="M69" s="7" t="str">
        <f t="array" ref="M69">IFERROR(INDEX(Evidence_Items!G:G,MATCH(1,(Evidence_Items!E:E=B69)*(Evidence_Items!F:F=C69)*(Evidence_Items!M:M="include"),0)),"")</f>
        <v/>
      </c>
      <c r="N69" s="7">
        <f>COUNTIFS(Evidence_Items!E:E,B69,Evidence_Items!F:F,C69,Evidence_Items!M:M,"include",Evidence_Items!Q:Q,"UK-S")</f>
        <v>0</v>
      </c>
    </row>
    <row r="70" spans="1:14" ht="14.25" customHeight="1">
      <c r="A70" s="7" t="s">
        <v>2931</v>
      </c>
      <c r="B70" s="7" t="s">
        <v>130</v>
      </c>
      <c r="C70" s="7" t="s">
        <v>90</v>
      </c>
      <c r="D70" s="7">
        <f>COUNTIFS(Evidence_Items!E:E,B70,Evidence_Items!F:F,C70,Evidence_Items!M:M,"include")</f>
        <v>1</v>
      </c>
      <c r="E70" s="14">
        <f>SUMIFS(Evidence_Items!O:O,Evidence_Items!E:E,B70,Evidence_Items!F:F,C70,Evidence_Items!M:M,"include")</f>
        <v>3</v>
      </c>
      <c r="F70" s="7">
        <f>COUNTIFS(Evidence_Items!E:E,B70,Evidence_Items!F:F,C70,Evidence_Items!M:M,"include",Evidence_Items!O:O,3)</f>
        <v>1</v>
      </c>
      <c r="G70" s="7">
        <f>COUNTIFS(Evidence_Items!E:E,B70,Evidence_Items!F:F,C70,Evidence_Items!M:M,"include",Evidence_Items!O:O,2)</f>
        <v>0</v>
      </c>
      <c r="H70" s="7">
        <f>COUNTIFS(Evidence_Items!E:E,B70,Evidence_Items!F:F,C70,Evidence_Items!M:M,"include",Evidence_Items!O:O,1)</f>
        <v>0</v>
      </c>
      <c r="I70" s="7">
        <f t="shared" si="0"/>
        <v>3</v>
      </c>
      <c r="J70" s="7">
        <f t="shared" si="1"/>
        <v>3</v>
      </c>
      <c r="K70" s="7">
        <f t="shared" si="2"/>
        <v>1</v>
      </c>
      <c r="L70" s="7" t="str">
        <f t="array" ref="L70">IFERROR(INDEX(Evidence_Items!P:P,MATCH(1,(Evidence_Items!E:E=B70)*(Evidence_Items!F:F=C70)*(Evidence_Items!M:M="include"),0)),"")</f>
        <v>Empirical-quantitative</v>
      </c>
      <c r="M70" s="7" t="str">
        <f t="array" ref="M70">IFERROR(INDEX(Evidence_Items!G:G,MATCH(1,(Evidence_Items!E:E=B70)*(Evidence_Items!F:F=C70)*(Evidence_Items!M:M="include"),0)),"")</f>
        <v>E12 INCREASES_ASYMMETRY</v>
      </c>
      <c r="N70" s="7">
        <f>COUNTIFS(Evidence_Items!E:E,B70,Evidence_Items!F:F,C70,Evidence_Items!M:M,"include",Evidence_Items!Q:Q,"UK-S")</f>
        <v>0</v>
      </c>
    </row>
    <row r="71" spans="1:14" ht="14.25" customHeight="1">
      <c r="A71" s="7" t="s">
        <v>2932</v>
      </c>
      <c r="B71" s="7" t="s">
        <v>133</v>
      </c>
      <c r="C71" s="7" t="s">
        <v>65</v>
      </c>
      <c r="D71" s="7">
        <f>COUNTIFS(Evidence_Items!E:E,B71,Evidence_Items!F:F,C71,Evidence_Items!M:M,"include")</f>
        <v>2</v>
      </c>
      <c r="E71" s="14">
        <f>SUMIFS(Evidence_Items!O:O,Evidence_Items!E:E,B71,Evidence_Items!F:F,C71,Evidence_Items!M:M,"include")</f>
        <v>2</v>
      </c>
      <c r="F71" s="7">
        <f>COUNTIFS(Evidence_Items!E:E,B71,Evidence_Items!F:F,C71,Evidence_Items!M:M,"include",Evidence_Items!O:O,3)</f>
        <v>0</v>
      </c>
      <c r="G71" s="7">
        <f>COUNTIFS(Evidence_Items!E:E,B71,Evidence_Items!F:F,C71,Evidence_Items!M:M,"include",Evidence_Items!O:O,2)</f>
        <v>0</v>
      </c>
      <c r="H71" s="7">
        <f>COUNTIFS(Evidence_Items!E:E,B71,Evidence_Items!F:F,C71,Evidence_Items!M:M,"include",Evidence_Items!O:O,1)</f>
        <v>2</v>
      </c>
      <c r="I71" s="7">
        <f t="shared" si="0"/>
        <v>1</v>
      </c>
      <c r="J71" s="7">
        <f t="shared" si="1"/>
        <v>0</v>
      </c>
      <c r="K71" s="7">
        <f t="shared" si="2"/>
        <v>1</v>
      </c>
      <c r="L71" s="7" t="str">
        <f t="array" ref="L71">IFERROR(INDEX(Evidence_Items!P:P,MATCH(1,(Evidence_Items!E:E=B71)*(Evidence_Items!F:F=C71)*(Evidence_Items!M:M="include"),0)),"")</f>
        <v>Theoretical / conceptual</v>
      </c>
      <c r="M71" s="7" t="str">
        <f t="array" ref="M71">IFERROR(INDEX(Evidence_Items!G:G,MATCH(1,(Evidence_Items!E:E=B71)*(Evidence_Items!F:F=C71)*(Evidence_Items!M:M="include"),0)),"")</f>
        <v>E11 OBSCURES_VISIBILITY</v>
      </c>
      <c r="N71" s="7">
        <f>COUNTIFS(Evidence_Items!E:E,B71,Evidence_Items!F:F,C71,Evidence_Items!M:M,"include",Evidence_Items!Q:Q,"UK-S")</f>
        <v>0</v>
      </c>
    </row>
    <row r="72" spans="1:14" ht="14.25" customHeight="1">
      <c r="A72" s="7" t="s">
        <v>2933</v>
      </c>
      <c r="B72" s="7" t="s">
        <v>133</v>
      </c>
      <c r="C72" s="7" t="s">
        <v>70</v>
      </c>
      <c r="D72" s="7">
        <f>COUNTIFS(Evidence_Items!E:E,B72,Evidence_Items!F:F,C72,Evidence_Items!M:M,"include")</f>
        <v>0</v>
      </c>
      <c r="E72" s="14">
        <f>SUMIFS(Evidence_Items!O:O,Evidence_Items!E:E,B72,Evidence_Items!F:F,C72,Evidence_Items!M:M,"include")</f>
        <v>0</v>
      </c>
      <c r="F72" s="7">
        <f>COUNTIFS(Evidence_Items!E:E,B72,Evidence_Items!F:F,C72,Evidence_Items!M:M,"include",Evidence_Items!O:O,3)</f>
        <v>0</v>
      </c>
      <c r="G72" s="7">
        <f>COUNTIFS(Evidence_Items!E:E,B72,Evidence_Items!F:F,C72,Evidence_Items!M:M,"include",Evidence_Items!O:O,2)</f>
        <v>0</v>
      </c>
      <c r="H72" s="7">
        <f>COUNTIFS(Evidence_Items!E:E,B72,Evidence_Items!F:F,C72,Evidence_Items!M:M,"include",Evidence_Items!O:O,1)</f>
        <v>0</v>
      </c>
      <c r="I72" s="7" t="str">
        <f t="shared" si="0"/>
        <v/>
      </c>
      <c r="J72" s="7">
        <f t="shared" si="1"/>
        <v>0</v>
      </c>
      <c r="K72" s="7">
        <f t="shared" si="2"/>
        <v>0</v>
      </c>
      <c r="L72" s="7" t="str">
        <f t="array" ref="L72">IFERROR(INDEX(Evidence_Items!P:P,MATCH(1,(Evidence_Items!E:E=B72)*(Evidence_Items!F:F=C72)*(Evidence_Items!M:M="include"),0)),"")</f>
        <v/>
      </c>
      <c r="M72" s="7" t="str">
        <f t="array" ref="M72">IFERROR(INDEX(Evidence_Items!G:G,MATCH(1,(Evidence_Items!E:E=B72)*(Evidence_Items!F:F=C72)*(Evidence_Items!M:M="include"),0)),"")</f>
        <v/>
      </c>
      <c r="N72" s="7">
        <f>COUNTIFS(Evidence_Items!E:E,B72,Evidence_Items!F:F,C72,Evidence_Items!M:M,"include",Evidence_Items!Q:Q,"UK-S")</f>
        <v>0</v>
      </c>
    </row>
    <row r="73" spans="1:14" ht="14.25" customHeight="1">
      <c r="A73" s="7" t="s">
        <v>2934</v>
      </c>
      <c r="B73" s="7" t="s">
        <v>133</v>
      </c>
      <c r="C73" s="7" t="s">
        <v>75</v>
      </c>
      <c r="D73" s="7">
        <f>COUNTIFS(Evidence_Items!E:E,B73,Evidence_Items!F:F,C73,Evidence_Items!M:M,"include")</f>
        <v>0</v>
      </c>
      <c r="E73" s="14">
        <f>SUMIFS(Evidence_Items!O:O,Evidence_Items!E:E,B73,Evidence_Items!F:F,C73,Evidence_Items!M:M,"include")</f>
        <v>0</v>
      </c>
      <c r="F73" s="7">
        <f>COUNTIFS(Evidence_Items!E:E,B73,Evidence_Items!F:F,C73,Evidence_Items!M:M,"include",Evidence_Items!O:O,3)</f>
        <v>0</v>
      </c>
      <c r="G73" s="7">
        <f>COUNTIFS(Evidence_Items!E:E,B73,Evidence_Items!F:F,C73,Evidence_Items!M:M,"include",Evidence_Items!O:O,2)</f>
        <v>0</v>
      </c>
      <c r="H73" s="7">
        <f>COUNTIFS(Evidence_Items!E:E,B73,Evidence_Items!F:F,C73,Evidence_Items!M:M,"include",Evidence_Items!O:O,1)</f>
        <v>0</v>
      </c>
      <c r="I73" s="7" t="str">
        <f t="shared" si="0"/>
        <v/>
      </c>
      <c r="J73" s="7">
        <f t="shared" si="1"/>
        <v>0</v>
      </c>
      <c r="K73" s="7">
        <f t="shared" si="2"/>
        <v>0</v>
      </c>
      <c r="L73" s="7" t="str">
        <f t="array" ref="L73">IFERROR(INDEX(Evidence_Items!P:P,MATCH(1,(Evidence_Items!E:E=B73)*(Evidence_Items!F:F=C73)*(Evidence_Items!M:M="include"),0)),"")</f>
        <v/>
      </c>
      <c r="M73" s="7" t="str">
        <f t="array" ref="M73">IFERROR(INDEX(Evidence_Items!G:G,MATCH(1,(Evidence_Items!E:E=B73)*(Evidence_Items!F:F=C73)*(Evidence_Items!M:M="include"),0)),"")</f>
        <v/>
      </c>
      <c r="N73" s="7">
        <f>COUNTIFS(Evidence_Items!E:E,B73,Evidence_Items!F:F,C73,Evidence_Items!M:M,"include",Evidence_Items!Q:Q,"UK-S")</f>
        <v>0</v>
      </c>
    </row>
    <row r="74" spans="1:14" ht="14.25" customHeight="1">
      <c r="A74" s="7" t="s">
        <v>2935</v>
      </c>
      <c r="B74" s="7" t="s">
        <v>133</v>
      </c>
      <c r="C74" s="7" t="s">
        <v>80</v>
      </c>
      <c r="D74" s="7">
        <f>COUNTIFS(Evidence_Items!E:E,B74,Evidence_Items!F:F,C74,Evidence_Items!M:M,"include")</f>
        <v>0</v>
      </c>
      <c r="E74" s="14">
        <f>SUMIFS(Evidence_Items!O:O,Evidence_Items!E:E,B74,Evidence_Items!F:F,C74,Evidence_Items!M:M,"include")</f>
        <v>0</v>
      </c>
      <c r="F74" s="7">
        <f>COUNTIFS(Evidence_Items!E:E,B74,Evidence_Items!F:F,C74,Evidence_Items!M:M,"include",Evidence_Items!O:O,3)</f>
        <v>0</v>
      </c>
      <c r="G74" s="7">
        <f>COUNTIFS(Evidence_Items!E:E,B74,Evidence_Items!F:F,C74,Evidence_Items!M:M,"include",Evidence_Items!O:O,2)</f>
        <v>0</v>
      </c>
      <c r="H74" s="7">
        <f>COUNTIFS(Evidence_Items!E:E,B74,Evidence_Items!F:F,C74,Evidence_Items!M:M,"include",Evidence_Items!O:O,1)</f>
        <v>0</v>
      </c>
      <c r="I74" s="7" t="str">
        <f t="shared" si="0"/>
        <v/>
      </c>
      <c r="J74" s="7">
        <f t="shared" si="1"/>
        <v>0</v>
      </c>
      <c r="K74" s="7">
        <f t="shared" si="2"/>
        <v>0</v>
      </c>
      <c r="L74" s="7" t="str">
        <f t="array" ref="L74">IFERROR(INDEX(Evidence_Items!P:P,MATCH(1,(Evidence_Items!E:E=B74)*(Evidence_Items!F:F=C74)*(Evidence_Items!M:M="include"),0)),"")</f>
        <v/>
      </c>
      <c r="M74" s="7" t="str">
        <f t="array" ref="M74">IFERROR(INDEX(Evidence_Items!G:G,MATCH(1,(Evidence_Items!E:E=B74)*(Evidence_Items!F:F=C74)*(Evidence_Items!M:M="include"),0)),"")</f>
        <v/>
      </c>
      <c r="N74" s="7">
        <f>COUNTIFS(Evidence_Items!E:E,B74,Evidence_Items!F:F,C74,Evidence_Items!M:M,"include",Evidence_Items!Q:Q,"UK-S")</f>
        <v>0</v>
      </c>
    </row>
    <row r="75" spans="1:14" ht="14.25" customHeight="1">
      <c r="A75" s="7" t="s">
        <v>2936</v>
      </c>
      <c r="B75" s="7" t="s">
        <v>133</v>
      </c>
      <c r="C75" s="7" t="s">
        <v>85</v>
      </c>
      <c r="D75" s="7">
        <f>COUNTIFS(Evidence_Items!E:E,B75,Evidence_Items!F:F,C75,Evidence_Items!M:M,"include")</f>
        <v>12</v>
      </c>
      <c r="E75" s="14">
        <f>SUMIFS(Evidence_Items!O:O,Evidence_Items!E:E,B75,Evidence_Items!F:F,C75,Evidence_Items!M:M,"include")</f>
        <v>21</v>
      </c>
      <c r="F75" s="7">
        <f>COUNTIFS(Evidence_Items!E:E,B75,Evidence_Items!F:F,C75,Evidence_Items!M:M,"include",Evidence_Items!O:O,3)</f>
        <v>1</v>
      </c>
      <c r="G75" s="7">
        <f>COUNTIFS(Evidence_Items!E:E,B75,Evidence_Items!F:F,C75,Evidence_Items!M:M,"include",Evidence_Items!O:O,2)</f>
        <v>7</v>
      </c>
      <c r="H75" s="7">
        <f>COUNTIFS(Evidence_Items!E:E,B75,Evidence_Items!F:F,C75,Evidence_Items!M:M,"include",Evidence_Items!O:O,1)</f>
        <v>4</v>
      </c>
      <c r="I75" s="7">
        <f t="shared" si="0"/>
        <v>1.75</v>
      </c>
      <c r="J75" s="7">
        <f t="shared" si="1"/>
        <v>17</v>
      </c>
      <c r="K75" s="7">
        <f t="shared" si="2"/>
        <v>1</v>
      </c>
      <c r="L75" s="7" t="str">
        <f t="array" ref="L75">IFERROR(INDEX(Evidence_Items!P:P,MATCH(1,(Evidence_Items!E:E=B75)*(Evidence_Items!F:F=C75)*(Evidence_Items!M:M="include"),0)),"")</f>
        <v>Theoretical / conceptual</v>
      </c>
      <c r="M75" s="7" t="str">
        <f t="array" ref="M75">IFERROR(INDEX(Evidence_Items!G:G,MATCH(1,(Evidence_Items!E:E=B75)*(Evidence_Items!F:F=C75)*(Evidence_Items!M:M="include"),0)),"")</f>
        <v>E01 ENABLES</v>
      </c>
      <c r="N75" s="7">
        <f>COUNTIFS(Evidence_Items!E:E,B75,Evidence_Items!F:F,C75,Evidence_Items!M:M,"include",Evidence_Items!Q:Q,"UK-S")</f>
        <v>0</v>
      </c>
    </row>
    <row r="76" spans="1:14" ht="14.25" customHeight="1">
      <c r="A76" s="7" t="s">
        <v>2937</v>
      </c>
      <c r="B76" s="7" t="s">
        <v>133</v>
      </c>
      <c r="C76" s="7" t="s">
        <v>90</v>
      </c>
      <c r="D76" s="7">
        <f>COUNTIFS(Evidence_Items!E:E,B76,Evidence_Items!F:F,C76,Evidence_Items!M:M,"include")</f>
        <v>12</v>
      </c>
      <c r="E76" s="14">
        <f>SUMIFS(Evidence_Items!O:O,Evidence_Items!E:E,B76,Evidence_Items!F:F,C76,Evidence_Items!M:M,"include")</f>
        <v>17</v>
      </c>
      <c r="F76" s="7">
        <f>COUNTIFS(Evidence_Items!E:E,B76,Evidence_Items!F:F,C76,Evidence_Items!M:M,"include",Evidence_Items!O:O,3)</f>
        <v>1</v>
      </c>
      <c r="G76" s="7">
        <f>COUNTIFS(Evidence_Items!E:E,B76,Evidence_Items!F:F,C76,Evidence_Items!M:M,"include",Evidence_Items!O:O,2)</f>
        <v>3</v>
      </c>
      <c r="H76" s="7">
        <f>COUNTIFS(Evidence_Items!E:E,B76,Evidence_Items!F:F,C76,Evidence_Items!M:M,"include",Evidence_Items!O:O,1)</f>
        <v>8</v>
      </c>
      <c r="I76" s="7">
        <f t="shared" si="0"/>
        <v>1.4166666666666667</v>
      </c>
      <c r="J76" s="7">
        <f t="shared" si="1"/>
        <v>9</v>
      </c>
      <c r="K76" s="7">
        <f t="shared" si="2"/>
        <v>1</v>
      </c>
      <c r="L76" s="7" t="str">
        <f t="array" ref="L76">IFERROR(INDEX(Evidence_Items!P:P,MATCH(1,(Evidence_Items!E:E=B76)*(Evidence_Items!F:F=C76)*(Evidence_Items!M:M="include"),0)),"")</f>
        <v>Theoretical / conceptual</v>
      </c>
      <c r="M76" s="7" t="str">
        <f t="array" ref="M76">IFERROR(INDEX(Evidence_Items!G:G,MATCH(1,(Evidence_Items!E:E=B76)*(Evidence_Items!F:F=C76)*(Evidence_Items!M:M="include"),0)),"")</f>
        <v>E12 INCREASES_ASYMMETRY</v>
      </c>
      <c r="N76" s="7">
        <f>COUNTIFS(Evidence_Items!E:E,B76,Evidence_Items!F:F,C76,Evidence_Items!M:M,"include",Evidence_Items!Q:Q,"UK-S")</f>
        <v>0</v>
      </c>
    </row>
    <row r="77" spans="1:14" ht="14.25" customHeight="1">
      <c r="A77" s="7" t="s">
        <v>2938</v>
      </c>
      <c r="B77" s="7" t="s">
        <v>136</v>
      </c>
      <c r="C77" s="7" t="s">
        <v>65</v>
      </c>
      <c r="D77" s="7">
        <f>COUNTIFS(Evidence_Items!E:E,B77,Evidence_Items!F:F,C77,Evidence_Items!M:M,"include")</f>
        <v>0</v>
      </c>
      <c r="E77" s="14">
        <f>SUMIFS(Evidence_Items!O:O,Evidence_Items!E:E,B77,Evidence_Items!F:F,C77,Evidence_Items!M:M,"include")</f>
        <v>0</v>
      </c>
      <c r="F77" s="7">
        <f>COUNTIFS(Evidence_Items!E:E,B77,Evidence_Items!F:F,C77,Evidence_Items!M:M,"include",Evidence_Items!O:O,3)</f>
        <v>0</v>
      </c>
      <c r="G77" s="7">
        <f>COUNTIFS(Evidence_Items!E:E,B77,Evidence_Items!F:F,C77,Evidence_Items!M:M,"include",Evidence_Items!O:O,2)</f>
        <v>0</v>
      </c>
      <c r="H77" s="7">
        <f>COUNTIFS(Evidence_Items!E:E,B77,Evidence_Items!F:F,C77,Evidence_Items!M:M,"include",Evidence_Items!O:O,1)</f>
        <v>0</v>
      </c>
      <c r="I77" s="7" t="str">
        <f t="shared" si="0"/>
        <v/>
      </c>
      <c r="J77" s="7">
        <f t="shared" si="1"/>
        <v>0</v>
      </c>
      <c r="K77" s="7">
        <f t="shared" si="2"/>
        <v>0</v>
      </c>
      <c r="L77" s="7" t="str">
        <f t="array" ref="L77">IFERROR(INDEX(Evidence_Items!P:P,MATCH(1,(Evidence_Items!E:E=B77)*(Evidence_Items!F:F=C77)*(Evidence_Items!M:M="include"),0)),"")</f>
        <v/>
      </c>
      <c r="M77" s="7" t="str">
        <f t="array" ref="M77">IFERROR(INDEX(Evidence_Items!G:G,MATCH(1,(Evidence_Items!E:E=B77)*(Evidence_Items!F:F=C77)*(Evidence_Items!M:M="include"),0)),"")</f>
        <v/>
      </c>
      <c r="N77" s="7">
        <f>COUNTIFS(Evidence_Items!E:E,B77,Evidence_Items!F:F,C77,Evidence_Items!M:M,"include",Evidence_Items!Q:Q,"UK-S")</f>
        <v>0</v>
      </c>
    </row>
    <row r="78" spans="1:14" ht="14.25" customHeight="1">
      <c r="A78" s="7" t="s">
        <v>2939</v>
      </c>
      <c r="B78" s="7" t="s">
        <v>136</v>
      </c>
      <c r="C78" s="7" t="s">
        <v>70</v>
      </c>
      <c r="D78" s="7">
        <f>COUNTIFS(Evidence_Items!E:E,B78,Evidence_Items!F:F,C78,Evidence_Items!M:M,"include")</f>
        <v>0</v>
      </c>
      <c r="E78" s="14">
        <f>SUMIFS(Evidence_Items!O:O,Evidence_Items!E:E,B78,Evidence_Items!F:F,C78,Evidence_Items!M:M,"include")</f>
        <v>0</v>
      </c>
      <c r="F78" s="7">
        <f>COUNTIFS(Evidence_Items!E:E,B78,Evidence_Items!F:F,C78,Evidence_Items!M:M,"include",Evidence_Items!O:O,3)</f>
        <v>0</v>
      </c>
      <c r="G78" s="7">
        <f>COUNTIFS(Evidence_Items!E:E,B78,Evidence_Items!F:F,C78,Evidence_Items!M:M,"include",Evidence_Items!O:O,2)</f>
        <v>0</v>
      </c>
      <c r="H78" s="7">
        <f>COUNTIFS(Evidence_Items!E:E,B78,Evidence_Items!F:F,C78,Evidence_Items!M:M,"include",Evidence_Items!O:O,1)</f>
        <v>0</v>
      </c>
      <c r="I78" s="7" t="str">
        <f t="shared" si="0"/>
        <v/>
      </c>
      <c r="J78" s="7">
        <f t="shared" si="1"/>
        <v>0</v>
      </c>
      <c r="K78" s="7">
        <f t="shared" si="2"/>
        <v>0</v>
      </c>
      <c r="L78" s="7" t="str">
        <f t="array" ref="L78">IFERROR(INDEX(Evidence_Items!P:P,MATCH(1,(Evidence_Items!E:E=B78)*(Evidence_Items!F:F=C78)*(Evidence_Items!M:M="include"),0)),"")</f>
        <v/>
      </c>
      <c r="M78" s="7" t="str">
        <f t="array" ref="M78">IFERROR(INDEX(Evidence_Items!G:G,MATCH(1,(Evidence_Items!E:E=B78)*(Evidence_Items!F:F=C78)*(Evidence_Items!M:M="include"),0)),"")</f>
        <v/>
      </c>
      <c r="N78" s="7">
        <f>COUNTIFS(Evidence_Items!E:E,B78,Evidence_Items!F:F,C78,Evidence_Items!M:M,"include",Evidence_Items!Q:Q,"UK-S")</f>
        <v>0</v>
      </c>
    </row>
    <row r="79" spans="1:14" ht="14.25" customHeight="1">
      <c r="A79" s="7" t="s">
        <v>2940</v>
      </c>
      <c r="B79" s="7" t="s">
        <v>136</v>
      </c>
      <c r="C79" s="7" t="s">
        <v>75</v>
      </c>
      <c r="D79" s="7">
        <f>COUNTIFS(Evidence_Items!E:E,B79,Evidence_Items!F:F,C79,Evidence_Items!M:M,"include")</f>
        <v>5</v>
      </c>
      <c r="E79" s="14">
        <f>SUMIFS(Evidence_Items!O:O,Evidence_Items!E:E,B79,Evidence_Items!F:F,C79,Evidence_Items!M:M,"include")</f>
        <v>8</v>
      </c>
      <c r="F79" s="7">
        <f>COUNTIFS(Evidence_Items!E:E,B79,Evidence_Items!F:F,C79,Evidence_Items!M:M,"include",Evidence_Items!O:O,3)</f>
        <v>1</v>
      </c>
      <c r="G79" s="7">
        <f>COUNTIFS(Evidence_Items!E:E,B79,Evidence_Items!F:F,C79,Evidence_Items!M:M,"include",Evidence_Items!O:O,2)</f>
        <v>1</v>
      </c>
      <c r="H79" s="7">
        <f>COUNTIFS(Evidence_Items!E:E,B79,Evidence_Items!F:F,C79,Evidence_Items!M:M,"include",Evidence_Items!O:O,1)</f>
        <v>3</v>
      </c>
      <c r="I79" s="7">
        <f t="shared" si="0"/>
        <v>1.6</v>
      </c>
      <c r="J79" s="7">
        <f t="shared" si="1"/>
        <v>5</v>
      </c>
      <c r="K79" s="7">
        <f t="shared" si="2"/>
        <v>1</v>
      </c>
      <c r="L79" s="7" t="str">
        <f t="array" ref="L79">IFERROR(INDEX(Evidence_Items!P:P,MATCH(1,(Evidence_Items!E:E=B79)*(Evidence_Items!F:F=C79)*(Evidence_Items!M:M="include"),0)),"")</f>
        <v>Theoretical / conceptual</v>
      </c>
      <c r="M79" s="7" t="str">
        <f t="array" ref="M79">IFERROR(INDEX(Evidence_Items!G:G,MATCH(1,(Evidence_Items!E:E=B79)*(Evidence_Items!F:F=C79)*(Evidence_Items!M:M="include"),0)),"")</f>
        <v>E13 INVITES</v>
      </c>
      <c r="N79" s="7">
        <f>COUNTIFS(Evidence_Items!E:E,B79,Evidence_Items!F:F,C79,Evidence_Items!M:M,"include",Evidence_Items!Q:Q,"UK-S")</f>
        <v>0</v>
      </c>
    </row>
    <row r="80" spans="1:14" ht="14.25" customHeight="1">
      <c r="A80" s="7" t="s">
        <v>2941</v>
      </c>
      <c r="B80" s="7" t="s">
        <v>136</v>
      </c>
      <c r="C80" s="7" t="s">
        <v>80</v>
      </c>
      <c r="D80" s="7">
        <f>COUNTIFS(Evidence_Items!E:E,B80,Evidence_Items!F:F,C80,Evidence_Items!M:M,"include")</f>
        <v>1</v>
      </c>
      <c r="E80" s="14">
        <f>SUMIFS(Evidence_Items!O:O,Evidence_Items!E:E,B80,Evidence_Items!F:F,C80,Evidence_Items!M:M,"include")</f>
        <v>1</v>
      </c>
      <c r="F80" s="7">
        <f>COUNTIFS(Evidence_Items!E:E,B80,Evidence_Items!F:F,C80,Evidence_Items!M:M,"include",Evidence_Items!O:O,3)</f>
        <v>0</v>
      </c>
      <c r="G80" s="7">
        <f>COUNTIFS(Evidence_Items!E:E,B80,Evidence_Items!F:F,C80,Evidence_Items!M:M,"include",Evidence_Items!O:O,2)</f>
        <v>0</v>
      </c>
      <c r="H80" s="7">
        <f>COUNTIFS(Evidence_Items!E:E,B80,Evidence_Items!F:F,C80,Evidence_Items!M:M,"include",Evidence_Items!O:O,1)</f>
        <v>1</v>
      </c>
      <c r="I80" s="7">
        <f t="shared" si="0"/>
        <v>1</v>
      </c>
      <c r="J80" s="7">
        <f t="shared" si="1"/>
        <v>0</v>
      </c>
      <c r="K80" s="7">
        <f t="shared" si="2"/>
        <v>1</v>
      </c>
      <c r="L80" s="7" t="str">
        <f t="array" ref="L80">IFERROR(INDEX(Evidence_Items!P:P,MATCH(1,(Evidence_Items!E:E=B80)*(Evidence_Items!F:F=C80)*(Evidence_Items!M:M="include"),0)),"")</f>
        <v>Theoretical / conceptual</v>
      </c>
      <c r="M80" s="7" t="str">
        <f t="array" ref="M80">IFERROR(INDEX(Evidence_Items!G:G,MATCH(1,(Evidence_Items!E:E=B80)*(Evidence_Items!F:F=C80)*(Evidence_Items!M:M="include"),0)),"")</f>
        <v>E13 INVITES</v>
      </c>
      <c r="N80" s="7">
        <f>COUNTIFS(Evidence_Items!E:E,B80,Evidence_Items!F:F,C80,Evidence_Items!M:M,"include",Evidence_Items!Q:Q,"UK-S")</f>
        <v>0</v>
      </c>
    </row>
    <row r="81" spans="1:14" ht="14.25" customHeight="1">
      <c r="A81" s="7" t="s">
        <v>2942</v>
      </c>
      <c r="B81" s="7" t="s">
        <v>136</v>
      </c>
      <c r="C81" s="7" t="s">
        <v>85</v>
      </c>
      <c r="D81" s="7">
        <f>COUNTIFS(Evidence_Items!E:E,B81,Evidence_Items!F:F,C81,Evidence_Items!M:M,"include")</f>
        <v>0</v>
      </c>
      <c r="E81" s="14">
        <f>SUMIFS(Evidence_Items!O:O,Evidence_Items!E:E,B81,Evidence_Items!F:F,C81,Evidence_Items!M:M,"include")</f>
        <v>0</v>
      </c>
      <c r="F81" s="7">
        <f>COUNTIFS(Evidence_Items!E:E,B81,Evidence_Items!F:F,C81,Evidence_Items!M:M,"include",Evidence_Items!O:O,3)</f>
        <v>0</v>
      </c>
      <c r="G81" s="7">
        <f>COUNTIFS(Evidence_Items!E:E,B81,Evidence_Items!F:F,C81,Evidence_Items!M:M,"include",Evidence_Items!O:O,2)</f>
        <v>0</v>
      </c>
      <c r="H81" s="7">
        <f>COUNTIFS(Evidence_Items!E:E,B81,Evidence_Items!F:F,C81,Evidence_Items!M:M,"include",Evidence_Items!O:O,1)</f>
        <v>0</v>
      </c>
      <c r="I81" s="7" t="str">
        <f t="shared" si="0"/>
        <v/>
      </c>
      <c r="J81" s="7">
        <f t="shared" si="1"/>
        <v>0</v>
      </c>
      <c r="K81" s="7">
        <f t="shared" si="2"/>
        <v>0</v>
      </c>
      <c r="L81" s="7" t="str">
        <f t="array" ref="L81">IFERROR(INDEX(Evidence_Items!P:P,MATCH(1,(Evidence_Items!E:E=B81)*(Evidence_Items!F:F=C81)*(Evidence_Items!M:M="include"),0)),"")</f>
        <v/>
      </c>
      <c r="M81" s="7" t="str">
        <f t="array" ref="M81">IFERROR(INDEX(Evidence_Items!G:G,MATCH(1,(Evidence_Items!E:E=B81)*(Evidence_Items!F:F=C81)*(Evidence_Items!M:M="include"),0)),"")</f>
        <v/>
      </c>
      <c r="N81" s="7">
        <f>COUNTIFS(Evidence_Items!E:E,B81,Evidence_Items!F:F,C81,Evidence_Items!M:M,"include",Evidence_Items!Q:Q,"UK-S")</f>
        <v>0</v>
      </c>
    </row>
    <row r="82" spans="1:14" ht="14.25" customHeight="1">
      <c r="A82" s="7" t="s">
        <v>2943</v>
      </c>
      <c r="B82" s="7" t="s">
        <v>136</v>
      </c>
      <c r="C82" s="7" t="s">
        <v>90</v>
      </c>
      <c r="D82" s="7">
        <f>COUNTIFS(Evidence_Items!E:E,B82,Evidence_Items!F:F,C82,Evidence_Items!M:M,"include")</f>
        <v>0</v>
      </c>
      <c r="E82" s="14">
        <f>SUMIFS(Evidence_Items!O:O,Evidence_Items!E:E,B82,Evidence_Items!F:F,C82,Evidence_Items!M:M,"include")</f>
        <v>0</v>
      </c>
      <c r="F82" s="7">
        <f>COUNTIFS(Evidence_Items!E:E,B82,Evidence_Items!F:F,C82,Evidence_Items!M:M,"include",Evidence_Items!O:O,3)</f>
        <v>0</v>
      </c>
      <c r="G82" s="7">
        <f>COUNTIFS(Evidence_Items!E:E,B82,Evidence_Items!F:F,C82,Evidence_Items!M:M,"include",Evidence_Items!O:O,2)</f>
        <v>0</v>
      </c>
      <c r="H82" s="7">
        <f>COUNTIFS(Evidence_Items!E:E,B82,Evidence_Items!F:F,C82,Evidence_Items!M:M,"include",Evidence_Items!O:O,1)</f>
        <v>0</v>
      </c>
      <c r="I82" s="7" t="str">
        <f t="shared" si="0"/>
        <v/>
      </c>
      <c r="J82" s="7">
        <f t="shared" si="1"/>
        <v>0</v>
      </c>
      <c r="K82" s="7">
        <f t="shared" si="2"/>
        <v>0</v>
      </c>
      <c r="L82" s="7" t="str">
        <f t="array" ref="L82">IFERROR(INDEX(Evidence_Items!P:P,MATCH(1,(Evidence_Items!E:E=B82)*(Evidence_Items!F:F=C82)*(Evidence_Items!M:M="include"),0)),"")</f>
        <v/>
      </c>
      <c r="M82" s="7" t="str">
        <f t="array" ref="M82">IFERROR(INDEX(Evidence_Items!G:G,MATCH(1,(Evidence_Items!E:E=B82)*(Evidence_Items!F:F=C82)*(Evidence_Items!M:M="include"),0)),"")</f>
        <v/>
      </c>
      <c r="N82" s="7">
        <f>COUNTIFS(Evidence_Items!E:E,B82,Evidence_Items!F:F,C82,Evidence_Items!M:M,"include",Evidence_Items!Q:Q,"UK-S")</f>
        <v>0</v>
      </c>
    </row>
    <row r="83" spans="1:14" ht="15.75" customHeight="1">
      <c r="B83" s="2"/>
      <c r="C83" s="2"/>
      <c r="D83" s="2"/>
      <c r="E83" s="2"/>
      <c r="F83" s="2"/>
      <c r="G83" s="2"/>
      <c r="H83" s="2"/>
      <c r="I83" s="2"/>
      <c r="J83" s="2"/>
      <c r="K83" s="2"/>
      <c r="L83" s="2"/>
      <c r="M83" s="2"/>
      <c r="N83" s="2"/>
    </row>
    <row r="84" spans="1:14" ht="15.75" customHeight="1">
      <c r="B84" s="2"/>
      <c r="C84" s="2"/>
      <c r="D84" s="2"/>
      <c r="E84" s="2"/>
      <c r="F84" s="2"/>
      <c r="G84" s="2"/>
      <c r="H84" s="2"/>
      <c r="I84" s="2"/>
      <c r="J84" s="2"/>
      <c r="K84" s="2"/>
      <c r="L84" s="2"/>
      <c r="M84" s="2"/>
      <c r="N84" s="2"/>
    </row>
    <row r="85" spans="1:14" ht="15.75" customHeight="1">
      <c r="B85" s="2"/>
      <c r="C85" s="2"/>
      <c r="D85" s="2"/>
      <c r="E85" s="2"/>
      <c r="F85" s="2"/>
      <c r="G85" s="2"/>
      <c r="H85" s="2"/>
      <c r="I85" s="2"/>
      <c r="J85" s="2"/>
      <c r="K85" s="2"/>
      <c r="L85" s="2"/>
      <c r="M85" s="2"/>
      <c r="N85" s="2"/>
    </row>
    <row r="86" spans="1:14" ht="15.75" customHeight="1">
      <c r="B86" s="2"/>
      <c r="C86" s="2"/>
      <c r="D86" s="2"/>
      <c r="E86" s="2"/>
      <c r="F86" s="2"/>
      <c r="G86" s="2"/>
      <c r="H86" s="2"/>
      <c r="I86" s="2"/>
      <c r="J86" s="2"/>
      <c r="K86" s="2"/>
      <c r="L86" s="2"/>
      <c r="M86" s="2"/>
      <c r="N86" s="2"/>
    </row>
    <row r="87" spans="1:14" ht="15.75" customHeight="1">
      <c r="B87" s="2"/>
      <c r="C87" s="2"/>
      <c r="D87" s="2"/>
      <c r="E87" s="2"/>
      <c r="F87" s="2"/>
      <c r="G87" s="2"/>
      <c r="H87" s="2"/>
      <c r="I87" s="2"/>
      <c r="J87" s="2"/>
      <c r="K87" s="2"/>
      <c r="L87" s="2"/>
      <c r="M87" s="2"/>
      <c r="N87" s="2"/>
    </row>
    <row r="88" spans="1:14" ht="15.75" customHeight="1">
      <c r="B88" s="2"/>
      <c r="C88" s="2"/>
      <c r="D88" s="2"/>
      <c r="E88" s="2"/>
      <c r="F88" s="2"/>
      <c r="G88" s="2"/>
      <c r="H88" s="2"/>
      <c r="I88" s="2"/>
      <c r="J88" s="2"/>
      <c r="K88" s="2"/>
      <c r="L88" s="2"/>
      <c r="M88" s="2"/>
      <c r="N88" s="2"/>
    </row>
    <row r="89" spans="1:14" ht="15.75" customHeight="1">
      <c r="B89" s="2"/>
      <c r="C89" s="2"/>
      <c r="D89" s="2"/>
      <c r="E89" s="2"/>
      <c r="F89" s="2"/>
      <c r="G89" s="2"/>
      <c r="H89" s="2"/>
      <c r="I89" s="2"/>
      <c r="J89" s="2"/>
      <c r="K89" s="2"/>
      <c r="L89" s="2"/>
      <c r="M89" s="2"/>
      <c r="N89" s="2"/>
    </row>
    <row r="90" spans="1:14" ht="15.75" customHeight="1">
      <c r="B90" s="2"/>
      <c r="C90" s="2"/>
      <c r="D90" s="2"/>
      <c r="E90" s="2"/>
      <c r="F90" s="2"/>
      <c r="G90" s="2"/>
      <c r="H90" s="2"/>
      <c r="I90" s="2"/>
      <c r="J90" s="2"/>
      <c r="K90" s="2"/>
      <c r="L90" s="2"/>
      <c r="M90" s="2"/>
      <c r="N90" s="2"/>
    </row>
    <row r="91" spans="1:14" ht="15.75" customHeight="1">
      <c r="B91" s="2"/>
      <c r="C91" s="2"/>
      <c r="D91" s="2"/>
      <c r="E91" s="2"/>
      <c r="F91" s="2"/>
      <c r="G91" s="2"/>
      <c r="H91" s="2"/>
      <c r="I91" s="2"/>
      <c r="J91" s="2"/>
      <c r="K91" s="2"/>
      <c r="L91" s="2"/>
      <c r="M91" s="2"/>
      <c r="N91" s="2"/>
    </row>
    <row r="92" spans="1:14" ht="15.75" customHeight="1">
      <c r="B92" s="2"/>
      <c r="C92" s="2"/>
      <c r="D92" s="2"/>
      <c r="E92" s="2"/>
      <c r="F92" s="2"/>
      <c r="G92" s="2"/>
      <c r="H92" s="2"/>
      <c r="I92" s="2"/>
      <c r="J92" s="2"/>
      <c r="K92" s="2"/>
      <c r="L92" s="2"/>
      <c r="M92" s="2"/>
      <c r="N92" s="2"/>
    </row>
    <row r="93" spans="1:14" ht="15.75" customHeight="1">
      <c r="B93" s="2"/>
      <c r="C93" s="2"/>
      <c r="D93" s="2"/>
      <c r="E93" s="2"/>
      <c r="F93" s="2"/>
      <c r="G93" s="2"/>
      <c r="H93" s="2"/>
      <c r="I93" s="2"/>
      <c r="J93" s="2"/>
      <c r="K93" s="2"/>
      <c r="L93" s="2"/>
      <c r="M93" s="2"/>
      <c r="N93" s="2"/>
    </row>
    <row r="94" spans="1:14" ht="15.75" customHeight="1">
      <c r="B94" s="2"/>
      <c r="C94" s="2"/>
      <c r="D94" s="2"/>
      <c r="E94" s="2"/>
      <c r="F94" s="2"/>
      <c r="G94" s="2"/>
      <c r="H94" s="2"/>
      <c r="I94" s="2"/>
      <c r="J94" s="2"/>
      <c r="K94" s="2"/>
      <c r="L94" s="2"/>
      <c r="M94" s="2"/>
      <c r="N94" s="2"/>
    </row>
    <row r="95" spans="1:14" ht="15.75" customHeight="1">
      <c r="B95" s="2"/>
      <c r="C95" s="2"/>
      <c r="D95" s="2"/>
      <c r="E95" s="2"/>
      <c r="F95" s="2"/>
      <c r="G95" s="2"/>
      <c r="H95" s="2"/>
      <c r="I95" s="2"/>
      <c r="J95" s="2"/>
      <c r="K95" s="2"/>
      <c r="L95" s="2"/>
      <c r="M95" s="2"/>
      <c r="N95" s="2"/>
    </row>
    <row r="96" spans="1:14" ht="15.75" customHeight="1">
      <c r="B96" s="2"/>
      <c r="C96" s="2"/>
      <c r="D96" s="2"/>
      <c r="E96" s="2"/>
      <c r="F96" s="2"/>
      <c r="G96" s="2"/>
      <c r="H96" s="2"/>
      <c r="I96" s="2"/>
      <c r="J96" s="2"/>
      <c r="K96" s="2"/>
      <c r="L96" s="2"/>
      <c r="M96" s="2"/>
      <c r="N96" s="2"/>
    </row>
    <row r="97" spans="2:14" ht="15.75" customHeight="1">
      <c r="B97" s="2"/>
      <c r="C97" s="2"/>
      <c r="D97" s="2"/>
      <c r="E97" s="2"/>
      <c r="F97" s="2"/>
      <c r="G97" s="2"/>
      <c r="H97" s="2"/>
      <c r="I97" s="2"/>
      <c r="J97" s="2"/>
      <c r="K97" s="2"/>
      <c r="L97" s="2"/>
      <c r="M97" s="2"/>
      <c r="N97" s="2"/>
    </row>
    <row r="98" spans="2:14" ht="15.75" customHeight="1">
      <c r="B98" s="2"/>
      <c r="C98" s="2"/>
      <c r="D98" s="2"/>
      <c r="E98" s="2"/>
      <c r="F98" s="2"/>
      <c r="G98" s="2"/>
      <c r="H98" s="2"/>
      <c r="I98" s="2"/>
      <c r="J98" s="2"/>
      <c r="K98" s="2"/>
      <c r="L98" s="2"/>
      <c r="M98" s="2"/>
      <c r="N98" s="2"/>
    </row>
    <row r="99" spans="2:14" ht="15.75" customHeight="1">
      <c r="B99" s="2"/>
      <c r="C99" s="2"/>
      <c r="D99" s="2"/>
      <c r="E99" s="2"/>
      <c r="F99" s="2"/>
      <c r="G99" s="2"/>
      <c r="H99" s="2"/>
      <c r="I99" s="2"/>
      <c r="J99" s="2"/>
      <c r="K99" s="2"/>
      <c r="L99" s="2"/>
      <c r="M99" s="2"/>
      <c r="N99" s="2"/>
    </row>
    <row r="100" spans="2:14" ht="15.75" customHeight="1">
      <c r="B100" s="2"/>
      <c r="C100" s="2"/>
      <c r="D100" s="2"/>
      <c r="E100" s="2"/>
      <c r="F100" s="2"/>
      <c r="G100" s="2"/>
      <c r="H100" s="2"/>
      <c r="I100" s="2"/>
      <c r="J100" s="2"/>
      <c r="K100" s="2"/>
      <c r="L100" s="2"/>
      <c r="M100" s="2"/>
      <c r="N100" s="2"/>
    </row>
    <row r="101" spans="2:14" ht="15.75" customHeight="1">
      <c r="B101" s="2"/>
      <c r="C101" s="2"/>
      <c r="D101" s="2"/>
      <c r="E101" s="2"/>
      <c r="F101" s="2"/>
      <c r="G101" s="2"/>
      <c r="H101" s="2"/>
      <c r="I101" s="2"/>
      <c r="J101" s="2"/>
      <c r="K101" s="2"/>
      <c r="L101" s="2"/>
      <c r="M101" s="2"/>
      <c r="N101" s="2"/>
    </row>
    <row r="102" spans="2:14" ht="15.75" customHeight="1">
      <c r="B102" s="2"/>
      <c r="C102" s="2"/>
      <c r="D102" s="2"/>
      <c r="E102" s="2"/>
      <c r="F102" s="2"/>
      <c r="G102" s="2"/>
      <c r="H102" s="2"/>
      <c r="I102" s="2"/>
      <c r="J102" s="2"/>
      <c r="K102" s="2"/>
      <c r="L102" s="2"/>
      <c r="M102" s="2"/>
      <c r="N102" s="2"/>
    </row>
    <row r="103" spans="2:14" ht="15.75" customHeight="1">
      <c r="B103" s="2"/>
      <c r="C103" s="2"/>
      <c r="D103" s="2"/>
      <c r="E103" s="2"/>
      <c r="F103" s="2"/>
      <c r="G103" s="2"/>
      <c r="H103" s="2"/>
      <c r="I103" s="2"/>
      <c r="J103" s="2"/>
      <c r="K103" s="2"/>
      <c r="L103" s="2"/>
      <c r="M103" s="2"/>
      <c r="N103" s="2"/>
    </row>
    <row r="104" spans="2:14" ht="15.75" customHeight="1">
      <c r="B104" s="2"/>
      <c r="C104" s="2"/>
      <c r="D104" s="2"/>
      <c r="E104" s="2"/>
      <c r="F104" s="2"/>
      <c r="G104" s="2"/>
      <c r="H104" s="2"/>
      <c r="I104" s="2"/>
      <c r="J104" s="2"/>
      <c r="K104" s="2"/>
      <c r="L104" s="2"/>
      <c r="M104" s="2"/>
      <c r="N104" s="2"/>
    </row>
    <row r="105" spans="2:14" ht="15.75" customHeight="1">
      <c r="B105" s="2"/>
      <c r="C105" s="2"/>
      <c r="D105" s="2"/>
      <c r="E105" s="2"/>
      <c r="F105" s="2"/>
      <c r="G105" s="2"/>
      <c r="H105" s="2"/>
      <c r="I105" s="2"/>
      <c r="J105" s="2"/>
      <c r="K105" s="2"/>
      <c r="L105" s="2"/>
      <c r="M105" s="2"/>
      <c r="N105" s="2"/>
    </row>
    <row r="106" spans="2:14" ht="15.75" customHeight="1">
      <c r="B106" s="2"/>
      <c r="C106" s="2"/>
      <c r="D106" s="2"/>
      <c r="E106" s="2"/>
      <c r="F106" s="2"/>
      <c r="G106" s="2"/>
      <c r="H106" s="2"/>
      <c r="I106" s="2"/>
      <c r="J106" s="2"/>
      <c r="K106" s="2"/>
      <c r="L106" s="2"/>
      <c r="M106" s="2"/>
      <c r="N106" s="2"/>
    </row>
    <row r="107" spans="2:14" ht="15.75" customHeight="1">
      <c r="B107" s="2"/>
      <c r="C107" s="2"/>
      <c r="D107" s="2"/>
      <c r="E107" s="2"/>
      <c r="F107" s="2"/>
      <c r="G107" s="2"/>
      <c r="H107" s="2"/>
      <c r="I107" s="2"/>
      <c r="J107" s="2"/>
      <c r="K107" s="2"/>
      <c r="L107" s="2"/>
      <c r="M107" s="2"/>
      <c r="N107" s="2"/>
    </row>
    <row r="108" spans="2:14" ht="15.75" customHeight="1">
      <c r="B108" s="2"/>
      <c r="C108" s="2"/>
      <c r="D108" s="2"/>
      <c r="E108" s="2"/>
      <c r="F108" s="2"/>
      <c r="G108" s="2"/>
      <c r="H108" s="2"/>
      <c r="I108" s="2"/>
      <c r="J108" s="2"/>
      <c r="K108" s="2"/>
      <c r="L108" s="2"/>
      <c r="M108" s="2"/>
      <c r="N108" s="2"/>
    </row>
    <row r="109" spans="2:14" ht="15.75" customHeight="1">
      <c r="B109" s="2"/>
      <c r="C109" s="2"/>
      <c r="D109" s="2"/>
      <c r="E109" s="2"/>
      <c r="F109" s="2"/>
      <c r="G109" s="2"/>
      <c r="H109" s="2"/>
      <c r="I109" s="2"/>
      <c r="J109" s="2"/>
      <c r="K109" s="2"/>
      <c r="L109" s="2"/>
      <c r="M109" s="2"/>
      <c r="N109" s="2"/>
    </row>
    <row r="110" spans="2:14" ht="15.75" customHeight="1">
      <c r="B110" s="2"/>
      <c r="C110" s="2"/>
      <c r="D110" s="2"/>
      <c r="E110" s="2"/>
      <c r="F110" s="2"/>
      <c r="G110" s="2"/>
      <c r="H110" s="2"/>
      <c r="I110" s="2"/>
      <c r="J110" s="2"/>
      <c r="K110" s="2"/>
      <c r="L110" s="2"/>
      <c r="M110" s="2"/>
      <c r="N110" s="2"/>
    </row>
    <row r="111" spans="2:14" ht="15.75" customHeight="1">
      <c r="B111" s="2"/>
      <c r="C111" s="2"/>
      <c r="D111" s="2"/>
      <c r="E111" s="2"/>
      <c r="F111" s="2"/>
      <c r="G111" s="2"/>
      <c r="H111" s="2"/>
      <c r="I111" s="2"/>
      <c r="J111" s="2"/>
      <c r="K111" s="2"/>
      <c r="L111" s="2"/>
      <c r="M111" s="2"/>
      <c r="N111" s="2"/>
    </row>
    <row r="112" spans="2:14" ht="15.75" customHeight="1">
      <c r="B112" s="2"/>
      <c r="C112" s="2"/>
      <c r="D112" s="2"/>
      <c r="E112" s="2"/>
      <c r="F112" s="2"/>
      <c r="G112" s="2"/>
      <c r="H112" s="2"/>
      <c r="I112" s="2"/>
      <c r="J112" s="2"/>
      <c r="K112" s="2"/>
      <c r="L112" s="2"/>
      <c r="M112" s="2"/>
      <c r="N112" s="2"/>
    </row>
    <row r="113" spans="2:14" ht="15.75" customHeight="1">
      <c r="B113" s="2"/>
      <c r="C113" s="2"/>
      <c r="D113" s="2"/>
      <c r="E113" s="2"/>
      <c r="F113" s="2"/>
      <c r="G113" s="2"/>
      <c r="H113" s="2"/>
      <c r="I113" s="2"/>
      <c r="J113" s="2"/>
      <c r="K113" s="2"/>
      <c r="L113" s="2"/>
      <c r="M113" s="2"/>
      <c r="N113" s="2"/>
    </row>
    <row r="114" spans="2:14" ht="15.75" customHeight="1">
      <c r="B114" s="2"/>
      <c r="C114" s="2"/>
      <c r="D114" s="2"/>
      <c r="E114" s="2"/>
      <c r="F114" s="2"/>
      <c r="G114" s="2"/>
      <c r="H114" s="2"/>
      <c r="I114" s="2"/>
      <c r="J114" s="2"/>
      <c r="K114" s="2"/>
      <c r="L114" s="2"/>
      <c r="M114" s="2"/>
      <c r="N114" s="2"/>
    </row>
    <row r="115" spans="2:14" ht="15.75" customHeight="1">
      <c r="B115" s="2"/>
      <c r="C115" s="2"/>
      <c r="D115" s="2"/>
      <c r="E115" s="2"/>
      <c r="F115" s="2"/>
      <c r="G115" s="2"/>
      <c r="H115" s="2"/>
      <c r="I115" s="2"/>
      <c r="J115" s="2"/>
      <c r="K115" s="2"/>
      <c r="L115" s="2"/>
      <c r="M115" s="2"/>
      <c r="N115" s="2"/>
    </row>
    <row r="116" spans="2:14" ht="15.75" customHeight="1">
      <c r="B116" s="2"/>
      <c r="C116" s="2"/>
      <c r="D116" s="2"/>
      <c r="E116" s="2"/>
      <c r="F116" s="2"/>
      <c r="G116" s="2"/>
      <c r="H116" s="2"/>
      <c r="I116" s="2"/>
      <c r="J116" s="2"/>
      <c r="K116" s="2"/>
      <c r="L116" s="2"/>
      <c r="M116" s="2"/>
      <c r="N116" s="2"/>
    </row>
    <row r="117" spans="2:14" ht="15.75" customHeight="1">
      <c r="B117" s="2"/>
      <c r="C117" s="2"/>
      <c r="D117" s="2"/>
      <c r="E117" s="2"/>
      <c r="F117" s="2"/>
      <c r="G117" s="2"/>
      <c r="H117" s="2"/>
      <c r="I117" s="2"/>
      <c r="J117" s="2"/>
      <c r="K117" s="2"/>
      <c r="L117" s="2"/>
      <c r="M117" s="2"/>
      <c r="N117" s="2"/>
    </row>
    <row r="118" spans="2:14" ht="15.75" customHeight="1">
      <c r="B118" s="2"/>
      <c r="C118" s="2"/>
      <c r="D118" s="2"/>
      <c r="E118" s="2"/>
      <c r="F118" s="2"/>
      <c r="G118" s="2"/>
      <c r="H118" s="2"/>
      <c r="I118" s="2"/>
      <c r="J118" s="2"/>
      <c r="K118" s="2"/>
      <c r="L118" s="2"/>
      <c r="M118" s="2"/>
      <c r="N118" s="2"/>
    </row>
    <row r="119" spans="2:14" ht="15.75" customHeight="1">
      <c r="B119" s="2"/>
      <c r="C119" s="2"/>
      <c r="D119" s="2"/>
      <c r="E119" s="2"/>
      <c r="F119" s="2"/>
      <c r="G119" s="2"/>
      <c r="H119" s="2"/>
      <c r="I119" s="2"/>
      <c r="J119" s="2"/>
      <c r="K119" s="2"/>
      <c r="L119" s="2"/>
      <c r="M119" s="2"/>
      <c r="N119" s="2"/>
    </row>
    <row r="120" spans="2:14" ht="15.75" customHeight="1">
      <c r="B120" s="2"/>
      <c r="C120" s="2"/>
      <c r="D120" s="2"/>
      <c r="E120" s="2"/>
      <c r="F120" s="2"/>
      <c r="G120" s="2"/>
      <c r="H120" s="2"/>
      <c r="I120" s="2"/>
      <c r="J120" s="2"/>
      <c r="K120" s="2"/>
      <c r="L120" s="2"/>
      <c r="M120" s="2"/>
      <c r="N120" s="2"/>
    </row>
    <row r="121" spans="2:14" ht="15.75" customHeight="1">
      <c r="B121" s="2"/>
      <c r="C121" s="2"/>
      <c r="D121" s="2"/>
      <c r="E121" s="2"/>
      <c r="F121" s="2"/>
      <c r="G121" s="2"/>
      <c r="H121" s="2"/>
      <c r="I121" s="2"/>
      <c r="J121" s="2"/>
      <c r="K121" s="2"/>
      <c r="L121" s="2"/>
      <c r="M121" s="2"/>
      <c r="N121" s="2"/>
    </row>
    <row r="122" spans="2:14" ht="15.75" customHeight="1">
      <c r="B122" s="2"/>
      <c r="C122" s="2"/>
      <c r="D122" s="2"/>
      <c r="E122" s="2"/>
      <c r="F122" s="2"/>
      <c r="G122" s="2"/>
      <c r="H122" s="2"/>
      <c r="I122" s="2"/>
      <c r="J122" s="2"/>
      <c r="K122" s="2"/>
      <c r="L122" s="2"/>
      <c r="M122" s="2"/>
      <c r="N122" s="2"/>
    </row>
    <row r="123" spans="2:14" ht="15.75" customHeight="1">
      <c r="B123" s="2"/>
      <c r="C123" s="2"/>
      <c r="D123" s="2"/>
      <c r="E123" s="2"/>
      <c r="F123" s="2"/>
      <c r="G123" s="2"/>
      <c r="H123" s="2"/>
      <c r="I123" s="2"/>
      <c r="J123" s="2"/>
      <c r="K123" s="2"/>
      <c r="L123" s="2"/>
      <c r="M123" s="2"/>
      <c r="N123" s="2"/>
    </row>
    <row r="124" spans="2:14" ht="15.75" customHeight="1">
      <c r="B124" s="2"/>
      <c r="C124" s="2"/>
      <c r="D124" s="2"/>
      <c r="E124" s="2"/>
      <c r="F124" s="2"/>
      <c r="G124" s="2"/>
      <c r="H124" s="2"/>
      <c r="I124" s="2"/>
      <c r="J124" s="2"/>
      <c r="K124" s="2"/>
      <c r="L124" s="2"/>
      <c r="M124" s="2"/>
      <c r="N124" s="2"/>
    </row>
    <row r="125" spans="2:14" ht="15.75" customHeight="1">
      <c r="B125" s="2"/>
      <c r="C125" s="2"/>
      <c r="D125" s="2"/>
      <c r="E125" s="2"/>
      <c r="F125" s="2"/>
      <c r="G125" s="2"/>
      <c r="H125" s="2"/>
      <c r="I125" s="2"/>
      <c r="J125" s="2"/>
      <c r="K125" s="2"/>
      <c r="L125" s="2"/>
      <c r="M125" s="2"/>
      <c r="N125" s="2"/>
    </row>
    <row r="126" spans="2:14" ht="15.75" customHeight="1">
      <c r="B126" s="2"/>
      <c r="C126" s="2"/>
      <c r="D126" s="2"/>
      <c r="E126" s="2"/>
      <c r="F126" s="2"/>
      <c r="G126" s="2"/>
      <c r="H126" s="2"/>
      <c r="I126" s="2"/>
      <c r="J126" s="2"/>
      <c r="K126" s="2"/>
      <c r="L126" s="2"/>
      <c r="M126" s="2"/>
      <c r="N126" s="2"/>
    </row>
    <row r="127" spans="2:14" ht="15.75" customHeight="1">
      <c r="B127" s="2"/>
      <c r="C127" s="2"/>
      <c r="D127" s="2"/>
      <c r="E127" s="2"/>
      <c r="F127" s="2"/>
      <c r="G127" s="2"/>
      <c r="H127" s="2"/>
      <c r="I127" s="2"/>
      <c r="J127" s="2"/>
      <c r="K127" s="2"/>
      <c r="L127" s="2"/>
      <c r="M127" s="2"/>
      <c r="N127" s="2"/>
    </row>
    <row r="128" spans="2:14" ht="15.75" customHeight="1">
      <c r="B128" s="2"/>
      <c r="C128" s="2"/>
      <c r="D128" s="2"/>
      <c r="E128" s="2"/>
      <c r="F128" s="2"/>
      <c r="G128" s="2"/>
      <c r="H128" s="2"/>
      <c r="I128" s="2"/>
      <c r="J128" s="2"/>
      <c r="K128" s="2"/>
      <c r="L128" s="2"/>
      <c r="M128" s="2"/>
      <c r="N128" s="2"/>
    </row>
    <row r="129" spans="2:14" ht="15.75" customHeight="1">
      <c r="B129" s="2"/>
      <c r="C129" s="2"/>
      <c r="D129" s="2"/>
      <c r="E129" s="2"/>
      <c r="F129" s="2"/>
      <c r="G129" s="2"/>
      <c r="H129" s="2"/>
      <c r="I129" s="2"/>
      <c r="J129" s="2"/>
      <c r="K129" s="2"/>
      <c r="L129" s="2"/>
      <c r="M129" s="2"/>
      <c r="N129" s="2"/>
    </row>
    <row r="130" spans="2:14" ht="15.75" customHeight="1">
      <c r="B130" s="2"/>
      <c r="C130" s="2"/>
      <c r="D130" s="2"/>
      <c r="E130" s="2"/>
      <c r="F130" s="2"/>
      <c r="G130" s="2"/>
      <c r="H130" s="2"/>
      <c r="I130" s="2"/>
      <c r="J130" s="2"/>
      <c r="K130" s="2"/>
      <c r="L130" s="2"/>
      <c r="M130" s="2"/>
      <c r="N130" s="2"/>
    </row>
    <row r="131" spans="2:14" ht="15.75" customHeight="1">
      <c r="B131" s="2"/>
      <c r="C131" s="2"/>
      <c r="D131" s="2"/>
      <c r="E131" s="2"/>
      <c r="F131" s="2"/>
      <c r="G131" s="2"/>
      <c r="H131" s="2"/>
      <c r="I131" s="2"/>
      <c r="J131" s="2"/>
      <c r="K131" s="2"/>
      <c r="L131" s="2"/>
      <c r="M131" s="2"/>
      <c r="N131" s="2"/>
    </row>
    <row r="132" spans="2:14" ht="15.75" customHeight="1">
      <c r="B132" s="2"/>
      <c r="C132" s="2"/>
      <c r="D132" s="2"/>
      <c r="E132" s="2"/>
      <c r="F132" s="2"/>
      <c r="G132" s="2"/>
      <c r="H132" s="2"/>
      <c r="I132" s="2"/>
      <c r="J132" s="2"/>
      <c r="K132" s="2"/>
      <c r="L132" s="2"/>
      <c r="M132" s="2"/>
      <c r="N132" s="2"/>
    </row>
    <row r="133" spans="2:14" ht="15.75" customHeight="1">
      <c r="B133" s="2"/>
      <c r="C133" s="2"/>
      <c r="D133" s="2"/>
      <c r="E133" s="2"/>
      <c r="F133" s="2"/>
      <c r="G133" s="2"/>
      <c r="H133" s="2"/>
      <c r="I133" s="2"/>
      <c r="J133" s="2"/>
      <c r="K133" s="2"/>
      <c r="L133" s="2"/>
      <c r="M133" s="2"/>
      <c r="N133" s="2"/>
    </row>
    <row r="134" spans="2:14" ht="15.75" customHeight="1">
      <c r="B134" s="2"/>
      <c r="C134" s="2"/>
      <c r="D134" s="2"/>
      <c r="E134" s="2"/>
      <c r="F134" s="2"/>
      <c r="G134" s="2"/>
      <c r="H134" s="2"/>
      <c r="I134" s="2"/>
      <c r="J134" s="2"/>
      <c r="K134" s="2"/>
      <c r="L134" s="2"/>
      <c r="M134" s="2"/>
      <c r="N134" s="2"/>
    </row>
    <row r="135" spans="2:14" ht="15.75" customHeight="1">
      <c r="B135" s="2"/>
      <c r="C135" s="2"/>
      <c r="D135" s="2"/>
      <c r="E135" s="2"/>
      <c r="F135" s="2"/>
      <c r="G135" s="2"/>
      <c r="H135" s="2"/>
      <c r="I135" s="2"/>
      <c r="J135" s="2"/>
      <c r="K135" s="2"/>
      <c r="L135" s="2"/>
      <c r="M135" s="2"/>
      <c r="N135" s="2"/>
    </row>
    <row r="136" spans="2:14" ht="15.75" customHeight="1">
      <c r="B136" s="2"/>
      <c r="C136" s="2"/>
      <c r="D136" s="2"/>
      <c r="E136" s="2"/>
      <c r="F136" s="2"/>
      <c r="G136" s="2"/>
      <c r="H136" s="2"/>
      <c r="I136" s="2"/>
      <c r="J136" s="2"/>
      <c r="K136" s="2"/>
      <c r="L136" s="2"/>
      <c r="M136" s="2"/>
      <c r="N136" s="2"/>
    </row>
    <row r="137" spans="2:14" ht="15.75" customHeight="1">
      <c r="B137" s="2"/>
      <c r="C137" s="2"/>
      <c r="D137" s="2"/>
      <c r="E137" s="2"/>
      <c r="F137" s="2"/>
      <c r="G137" s="2"/>
      <c r="H137" s="2"/>
      <c r="I137" s="2"/>
      <c r="J137" s="2"/>
      <c r="K137" s="2"/>
      <c r="L137" s="2"/>
      <c r="M137" s="2"/>
      <c r="N137" s="2"/>
    </row>
    <row r="138" spans="2:14" ht="15.75" customHeight="1">
      <c r="B138" s="2"/>
      <c r="C138" s="2"/>
      <c r="D138" s="2"/>
      <c r="E138" s="2"/>
      <c r="F138" s="2"/>
      <c r="G138" s="2"/>
      <c r="H138" s="2"/>
      <c r="I138" s="2"/>
      <c r="J138" s="2"/>
      <c r="K138" s="2"/>
      <c r="L138" s="2"/>
      <c r="M138" s="2"/>
      <c r="N138" s="2"/>
    </row>
    <row r="139" spans="2:14" ht="15.75" customHeight="1">
      <c r="B139" s="2"/>
      <c r="C139" s="2"/>
      <c r="D139" s="2"/>
      <c r="E139" s="2"/>
      <c r="F139" s="2"/>
      <c r="G139" s="2"/>
      <c r="H139" s="2"/>
      <c r="I139" s="2"/>
      <c r="J139" s="2"/>
      <c r="K139" s="2"/>
      <c r="L139" s="2"/>
      <c r="M139" s="2"/>
      <c r="N139" s="2"/>
    </row>
    <row r="140" spans="2:14" ht="15.75" customHeight="1">
      <c r="B140" s="2"/>
      <c r="C140" s="2"/>
      <c r="D140" s="2"/>
      <c r="E140" s="2"/>
      <c r="F140" s="2"/>
      <c r="G140" s="2"/>
      <c r="H140" s="2"/>
      <c r="I140" s="2"/>
      <c r="J140" s="2"/>
      <c r="K140" s="2"/>
      <c r="L140" s="2"/>
      <c r="M140" s="2"/>
      <c r="N140" s="2"/>
    </row>
    <row r="141" spans="2:14" ht="15.75" customHeight="1">
      <c r="B141" s="2"/>
      <c r="C141" s="2"/>
      <c r="D141" s="2"/>
      <c r="E141" s="2"/>
      <c r="F141" s="2"/>
      <c r="G141" s="2"/>
      <c r="H141" s="2"/>
      <c r="I141" s="2"/>
      <c r="J141" s="2"/>
      <c r="K141" s="2"/>
      <c r="L141" s="2"/>
      <c r="M141" s="2"/>
      <c r="N141" s="2"/>
    </row>
    <row r="142" spans="2:14" ht="15.75" customHeight="1">
      <c r="B142" s="2"/>
      <c r="C142" s="2"/>
      <c r="D142" s="2"/>
      <c r="E142" s="2"/>
      <c r="F142" s="2"/>
      <c r="G142" s="2"/>
      <c r="H142" s="2"/>
      <c r="I142" s="2"/>
      <c r="J142" s="2"/>
      <c r="K142" s="2"/>
      <c r="L142" s="2"/>
      <c r="M142" s="2"/>
      <c r="N142" s="2"/>
    </row>
    <row r="143" spans="2:14" ht="15.75" customHeight="1">
      <c r="B143" s="2"/>
      <c r="C143" s="2"/>
      <c r="D143" s="2"/>
      <c r="E143" s="2"/>
      <c r="F143" s="2"/>
      <c r="G143" s="2"/>
      <c r="H143" s="2"/>
      <c r="I143" s="2"/>
      <c r="J143" s="2"/>
      <c r="K143" s="2"/>
      <c r="L143" s="2"/>
      <c r="M143" s="2"/>
      <c r="N143" s="2"/>
    </row>
    <row r="144" spans="2:14" ht="15.75" customHeight="1">
      <c r="B144" s="2"/>
      <c r="C144" s="2"/>
      <c r="D144" s="2"/>
      <c r="E144" s="2"/>
      <c r="F144" s="2"/>
      <c r="G144" s="2"/>
      <c r="H144" s="2"/>
      <c r="I144" s="2"/>
      <c r="J144" s="2"/>
      <c r="K144" s="2"/>
      <c r="L144" s="2"/>
      <c r="M144" s="2"/>
      <c r="N144" s="2"/>
    </row>
    <row r="145" spans="2:14" ht="15.75" customHeight="1">
      <c r="B145" s="2"/>
      <c r="C145" s="2"/>
      <c r="D145" s="2"/>
      <c r="E145" s="2"/>
      <c r="F145" s="2"/>
      <c r="G145" s="2"/>
      <c r="H145" s="2"/>
      <c r="I145" s="2"/>
      <c r="J145" s="2"/>
      <c r="K145" s="2"/>
      <c r="L145" s="2"/>
      <c r="M145" s="2"/>
      <c r="N145" s="2"/>
    </row>
    <row r="146" spans="2:14" ht="15.75" customHeight="1">
      <c r="B146" s="2"/>
      <c r="C146" s="2"/>
      <c r="D146" s="2"/>
      <c r="E146" s="2"/>
      <c r="F146" s="2"/>
      <c r="G146" s="2"/>
      <c r="H146" s="2"/>
      <c r="I146" s="2"/>
      <c r="J146" s="2"/>
      <c r="K146" s="2"/>
      <c r="L146" s="2"/>
      <c r="M146" s="2"/>
      <c r="N146" s="2"/>
    </row>
    <row r="147" spans="2:14" ht="15.75" customHeight="1">
      <c r="B147" s="2"/>
      <c r="C147" s="2"/>
      <c r="D147" s="2"/>
      <c r="E147" s="2"/>
      <c r="F147" s="2"/>
      <c r="G147" s="2"/>
      <c r="H147" s="2"/>
      <c r="I147" s="2"/>
      <c r="J147" s="2"/>
      <c r="K147" s="2"/>
      <c r="L147" s="2"/>
      <c r="M147" s="2"/>
      <c r="N147" s="2"/>
    </row>
    <row r="148" spans="2:14" ht="15.75" customHeight="1">
      <c r="B148" s="2"/>
      <c r="C148" s="2"/>
      <c r="D148" s="2"/>
      <c r="E148" s="2"/>
      <c r="F148" s="2"/>
      <c r="G148" s="2"/>
      <c r="H148" s="2"/>
      <c r="I148" s="2"/>
      <c r="J148" s="2"/>
      <c r="K148" s="2"/>
      <c r="L148" s="2"/>
      <c r="M148" s="2"/>
      <c r="N148" s="2"/>
    </row>
    <row r="149" spans="2:14" ht="15.75" customHeight="1">
      <c r="B149" s="2"/>
      <c r="C149" s="2"/>
      <c r="D149" s="2"/>
      <c r="E149" s="2"/>
      <c r="F149" s="2"/>
      <c r="G149" s="2"/>
      <c r="H149" s="2"/>
      <c r="I149" s="2"/>
      <c r="J149" s="2"/>
      <c r="K149" s="2"/>
      <c r="L149" s="2"/>
      <c r="M149" s="2"/>
      <c r="N149" s="2"/>
    </row>
    <row r="150" spans="2:14" ht="15.75" customHeight="1">
      <c r="B150" s="2"/>
      <c r="C150" s="2"/>
      <c r="D150" s="2"/>
      <c r="E150" s="2"/>
      <c r="F150" s="2"/>
      <c r="G150" s="2"/>
      <c r="H150" s="2"/>
      <c r="I150" s="2"/>
      <c r="J150" s="2"/>
      <c r="K150" s="2"/>
      <c r="L150" s="2"/>
      <c r="M150" s="2"/>
      <c r="N150" s="2"/>
    </row>
    <row r="151" spans="2:14" ht="15.75" customHeight="1">
      <c r="B151" s="2"/>
      <c r="C151" s="2"/>
      <c r="D151" s="2"/>
      <c r="E151" s="2"/>
      <c r="F151" s="2"/>
      <c r="G151" s="2"/>
      <c r="H151" s="2"/>
      <c r="I151" s="2"/>
      <c r="J151" s="2"/>
      <c r="K151" s="2"/>
      <c r="L151" s="2"/>
      <c r="M151" s="2"/>
      <c r="N151" s="2"/>
    </row>
    <row r="152" spans="2:14" ht="15.75" customHeight="1">
      <c r="B152" s="2"/>
      <c r="C152" s="2"/>
      <c r="D152" s="2"/>
      <c r="E152" s="2"/>
      <c r="F152" s="2"/>
      <c r="G152" s="2"/>
      <c r="H152" s="2"/>
      <c r="I152" s="2"/>
      <c r="J152" s="2"/>
      <c r="K152" s="2"/>
      <c r="L152" s="2"/>
      <c r="M152" s="2"/>
      <c r="N152" s="2"/>
    </row>
    <row r="153" spans="2:14" ht="15.75" customHeight="1">
      <c r="B153" s="2"/>
      <c r="C153" s="2"/>
      <c r="D153" s="2"/>
      <c r="E153" s="2"/>
      <c r="F153" s="2"/>
      <c r="G153" s="2"/>
      <c r="H153" s="2"/>
      <c r="I153" s="2"/>
      <c r="J153" s="2"/>
      <c r="K153" s="2"/>
      <c r="L153" s="2"/>
      <c r="M153" s="2"/>
      <c r="N153" s="2"/>
    </row>
    <row r="154" spans="2:14" ht="15.75" customHeight="1">
      <c r="B154" s="2"/>
      <c r="C154" s="2"/>
      <c r="D154" s="2"/>
      <c r="E154" s="2"/>
      <c r="F154" s="2"/>
      <c r="G154" s="2"/>
      <c r="H154" s="2"/>
      <c r="I154" s="2"/>
      <c r="J154" s="2"/>
      <c r="K154" s="2"/>
      <c r="L154" s="2"/>
      <c r="M154" s="2"/>
      <c r="N154" s="2"/>
    </row>
    <row r="155" spans="2:14" ht="15.75" customHeight="1">
      <c r="B155" s="2"/>
      <c r="C155" s="2"/>
      <c r="D155" s="2"/>
      <c r="E155" s="2"/>
      <c r="F155" s="2"/>
      <c r="G155" s="2"/>
      <c r="H155" s="2"/>
      <c r="I155" s="2"/>
      <c r="J155" s="2"/>
      <c r="K155" s="2"/>
      <c r="L155" s="2"/>
      <c r="M155" s="2"/>
      <c r="N155" s="2"/>
    </row>
    <row r="156" spans="2:14" ht="15.75" customHeight="1">
      <c r="B156" s="2"/>
      <c r="C156" s="2"/>
      <c r="D156" s="2"/>
      <c r="E156" s="2"/>
      <c r="F156" s="2"/>
      <c r="G156" s="2"/>
      <c r="H156" s="2"/>
      <c r="I156" s="2"/>
      <c r="J156" s="2"/>
      <c r="K156" s="2"/>
      <c r="L156" s="2"/>
      <c r="M156" s="2"/>
      <c r="N156" s="2"/>
    </row>
    <row r="157" spans="2:14" ht="15.75" customHeight="1">
      <c r="B157" s="2"/>
      <c r="C157" s="2"/>
      <c r="D157" s="2"/>
      <c r="E157" s="2"/>
      <c r="F157" s="2"/>
      <c r="G157" s="2"/>
      <c r="H157" s="2"/>
      <c r="I157" s="2"/>
      <c r="J157" s="2"/>
      <c r="K157" s="2"/>
      <c r="L157" s="2"/>
      <c r="M157" s="2"/>
      <c r="N157" s="2"/>
    </row>
    <row r="158" spans="2:14" ht="15.75" customHeight="1">
      <c r="B158" s="2"/>
      <c r="C158" s="2"/>
      <c r="D158" s="2"/>
      <c r="E158" s="2"/>
      <c r="F158" s="2"/>
      <c r="G158" s="2"/>
      <c r="H158" s="2"/>
      <c r="I158" s="2"/>
      <c r="J158" s="2"/>
      <c r="K158" s="2"/>
      <c r="L158" s="2"/>
      <c r="M158" s="2"/>
      <c r="N158" s="2"/>
    </row>
    <row r="159" spans="2:14" ht="15.75" customHeight="1">
      <c r="B159" s="2"/>
      <c r="C159" s="2"/>
      <c r="D159" s="2"/>
      <c r="E159" s="2"/>
      <c r="F159" s="2"/>
      <c r="G159" s="2"/>
      <c r="H159" s="2"/>
      <c r="I159" s="2"/>
      <c r="J159" s="2"/>
      <c r="K159" s="2"/>
      <c r="L159" s="2"/>
      <c r="M159" s="2"/>
      <c r="N159" s="2"/>
    </row>
    <row r="160" spans="2:14" ht="15.75" customHeight="1">
      <c r="B160" s="2"/>
      <c r="C160" s="2"/>
      <c r="D160" s="2"/>
      <c r="E160" s="2"/>
      <c r="F160" s="2"/>
      <c r="G160" s="2"/>
      <c r="H160" s="2"/>
      <c r="I160" s="2"/>
      <c r="J160" s="2"/>
      <c r="K160" s="2"/>
      <c r="L160" s="2"/>
      <c r="M160" s="2"/>
      <c r="N160" s="2"/>
    </row>
    <row r="161" spans="2:14" ht="15.75" customHeight="1">
      <c r="B161" s="2"/>
      <c r="C161" s="2"/>
      <c r="D161" s="2"/>
      <c r="E161" s="2"/>
      <c r="F161" s="2"/>
      <c r="G161" s="2"/>
      <c r="H161" s="2"/>
      <c r="I161" s="2"/>
      <c r="J161" s="2"/>
      <c r="K161" s="2"/>
      <c r="L161" s="2"/>
      <c r="M161" s="2"/>
      <c r="N161" s="2"/>
    </row>
    <row r="162" spans="2:14" ht="15.75" customHeight="1">
      <c r="B162" s="2"/>
      <c r="C162" s="2"/>
      <c r="D162" s="2"/>
      <c r="E162" s="2"/>
      <c r="F162" s="2"/>
      <c r="G162" s="2"/>
      <c r="H162" s="2"/>
      <c r="I162" s="2"/>
      <c r="J162" s="2"/>
      <c r="K162" s="2"/>
      <c r="L162" s="2"/>
      <c r="M162" s="2"/>
      <c r="N162" s="2"/>
    </row>
    <row r="163" spans="2:14" ht="15.75" customHeight="1">
      <c r="B163" s="2"/>
      <c r="C163" s="2"/>
      <c r="D163" s="2"/>
      <c r="E163" s="2"/>
      <c r="F163" s="2"/>
      <c r="G163" s="2"/>
      <c r="H163" s="2"/>
      <c r="I163" s="2"/>
      <c r="J163" s="2"/>
      <c r="K163" s="2"/>
      <c r="L163" s="2"/>
      <c r="M163" s="2"/>
      <c r="N163" s="2"/>
    </row>
    <row r="164" spans="2:14" ht="15.75" customHeight="1">
      <c r="B164" s="2"/>
      <c r="C164" s="2"/>
      <c r="D164" s="2"/>
      <c r="E164" s="2"/>
      <c r="F164" s="2"/>
      <c r="G164" s="2"/>
      <c r="H164" s="2"/>
      <c r="I164" s="2"/>
      <c r="J164" s="2"/>
      <c r="K164" s="2"/>
      <c r="L164" s="2"/>
      <c r="M164" s="2"/>
      <c r="N164" s="2"/>
    </row>
    <row r="165" spans="2:14" ht="15.75" customHeight="1">
      <c r="B165" s="2"/>
      <c r="C165" s="2"/>
      <c r="D165" s="2"/>
      <c r="E165" s="2"/>
      <c r="F165" s="2"/>
      <c r="G165" s="2"/>
      <c r="H165" s="2"/>
      <c r="I165" s="2"/>
      <c r="J165" s="2"/>
      <c r="K165" s="2"/>
      <c r="L165" s="2"/>
      <c r="M165" s="2"/>
      <c r="N165" s="2"/>
    </row>
    <row r="166" spans="2:14" ht="15.75" customHeight="1">
      <c r="B166" s="2"/>
      <c r="C166" s="2"/>
      <c r="D166" s="2"/>
      <c r="E166" s="2"/>
      <c r="F166" s="2"/>
      <c r="G166" s="2"/>
      <c r="H166" s="2"/>
      <c r="I166" s="2"/>
      <c r="J166" s="2"/>
      <c r="K166" s="2"/>
      <c r="L166" s="2"/>
      <c r="M166" s="2"/>
      <c r="N166" s="2"/>
    </row>
    <row r="167" spans="2:14" ht="15.75" customHeight="1">
      <c r="B167" s="2"/>
      <c r="C167" s="2"/>
      <c r="D167" s="2"/>
      <c r="E167" s="2"/>
      <c r="F167" s="2"/>
      <c r="G167" s="2"/>
      <c r="H167" s="2"/>
      <c r="I167" s="2"/>
      <c r="J167" s="2"/>
      <c r="K167" s="2"/>
      <c r="L167" s="2"/>
      <c r="M167" s="2"/>
      <c r="N167" s="2"/>
    </row>
    <row r="168" spans="2:14" ht="15.75" customHeight="1">
      <c r="B168" s="2"/>
      <c r="C168" s="2"/>
      <c r="D168" s="2"/>
      <c r="E168" s="2"/>
      <c r="F168" s="2"/>
      <c r="G168" s="2"/>
      <c r="H168" s="2"/>
      <c r="I168" s="2"/>
      <c r="J168" s="2"/>
      <c r="K168" s="2"/>
      <c r="L168" s="2"/>
      <c r="M168" s="2"/>
      <c r="N168" s="2"/>
    </row>
    <row r="169" spans="2:14" ht="15.75" customHeight="1">
      <c r="B169" s="2"/>
      <c r="C169" s="2"/>
      <c r="D169" s="2"/>
      <c r="E169" s="2"/>
      <c r="F169" s="2"/>
      <c r="G169" s="2"/>
      <c r="H169" s="2"/>
      <c r="I169" s="2"/>
      <c r="J169" s="2"/>
      <c r="K169" s="2"/>
      <c r="L169" s="2"/>
      <c r="M169" s="2"/>
      <c r="N169" s="2"/>
    </row>
    <row r="170" spans="2:14" ht="15.75" customHeight="1">
      <c r="B170" s="2"/>
      <c r="C170" s="2"/>
      <c r="D170" s="2"/>
      <c r="E170" s="2"/>
      <c r="F170" s="2"/>
      <c r="G170" s="2"/>
      <c r="H170" s="2"/>
      <c r="I170" s="2"/>
      <c r="J170" s="2"/>
      <c r="K170" s="2"/>
      <c r="L170" s="2"/>
      <c r="M170" s="2"/>
      <c r="N170" s="2"/>
    </row>
    <row r="171" spans="2:14" ht="15.75" customHeight="1">
      <c r="B171" s="2"/>
      <c r="C171" s="2"/>
      <c r="D171" s="2"/>
      <c r="E171" s="2"/>
      <c r="F171" s="2"/>
      <c r="G171" s="2"/>
      <c r="H171" s="2"/>
      <c r="I171" s="2"/>
      <c r="J171" s="2"/>
      <c r="K171" s="2"/>
      <c r="L171" s="2"/>
      <c r="M171" s="2"/>
      <c r="N171" s="2"/>
    </row>
    <row r="172" spans="2:14" ht="15.75" customHeight="1">
      <c r="B172" s="2"/>
      <c r="C172" s="2"/>
      <c r="D172" s="2"/>
      <c r="E172" s="2"/>
      <c r="F172" s="2"/>
      <c r="G172" s="2"/>
      <c r="H172" s="2"/>
      <c r="I172" s="2"/>
      <c r="J172" s="2"/>
      <c r="K172" s="2"/>
      <c r="L172" s="2"/>
      <c r="M172" s="2"/>
      <c r="N172" s="2"/>
    </row>
    <row r="173" spans="2:14" ht="15.75" customHeight="1">
      <c r="B173" s="2"/>
      <c r="C173" s="2"/>
      <c r="D173" s="2"/>
      <c r="E173" s="2"/>
      <c r="F173" s="2"/>
      <c r="G173" s="2"/>
      <c r="H173" s="2"/>
      <c r="I173" s="2"/>
      <c r="J173" s="2"/>
      <c r="K173" s="2"/>
      <c r="L173" s="2"/>
      <c r="M173" s="2"/>
      <c r="N173" s="2"/>
    </row>
    <row r="174" spans="2:14" ht="15.75" customHeight="1">
      <c r="B174" s="2"/>
      <c r="C174" s="2"/>
      <c r="D174" s="2"/>
      <c r="E174" s="2"/>
      <c r="F174" s="2"/>
      <c r="G174" s="2"/>
      <c r="H174" s="2"/>
      <c r="I174" s="2"/>
      <c r="J174" s="2"/>
      <c r="K174" s="2"/>
      <c r="L174" s="2"/>
      <c r="M174" s="2"/>
      <c r="N174" s="2"/>
    </row>
    <row r="175" spans="2:14" ht="15.75" customHeight="1">
      <c r="B175" s="2"/>
      <c r="C175" s="2"/>
      <c r="D175" s="2"/>
      <c r="E175" s="2"/>
      <c r="F175" s="2"/>
      <c r="G175" s="2"/>
      <c r="H175" s="2"/>
      <c r="I175" s="2"/>
      <c r="J175" s="2"/>
      <c r="K175" s="2"/>
      <c r="L175" s="2"/>
      <c r="M175" s="2"/>
      <c r="N175" s="2"/>
    </row>
    <row r="176" spans="2:14" ht="15.75" customHeight="1">
      <c r="B176" s="2"/>
      <c r="C176" s="2"/>
      <c r="D176" s="2"/>
      <c r="E176" s="2"/>
      <c r="F176" s="2"/>
      <c r="G176" s="2"/>
      <c r="H176" s="2"/>
      <c r="I176" s="2"/>
      <c r="J176" s="2"/>
      <c r="K176" s="2"/>
      <c r="L176" s="2"/>
      <c r="M176" s="2"/>
      <c r="N176" s="2"/>
    </row>
    <row r="177" spans="2:14" ht="15.75" customHeight="1">
      <c r="B177" s="2"/>
      <c r="C177" s="2"/>
      <c r="D177" s="2"/>
      <c r="E177" s="2"/>
      <c r="F177" s="2"/>
      <c r="G177" s="2"/>
      <c r="H177" s="2"/>
      <c r="I177" s="2"/>
      <c r="J177" s="2"/>
      <c r="K177" s="2"/>
      <c r="L177" s="2"/>
      <c r="M177" s="2"/>
      <c r="N177" s="2"/>
    </row>
    <row r="178" spans="2:14" ht="15.75" customHeight="1">
      <c r="B178" s="2"/>
      <c r="C178" s="2"/>
      <c r="D178" s="2"/>
      <c r="E178" s="2"/>
      <c r="F178" s="2"/>
      <c r="G178" s="2"/>
      <c r="H178" s="2"/>
      <c r="I178" s="2"/>
      <c r="J178" s="2"/>
      <c r="K178" s="2"/>
      <c r="L178" s="2"/>
      <c r="M178" s="2"/>
      <c r="N178" s="2"/>
    </row>
    <row r="179" spans="2:14" ht="15.75" customHeight="1">
      <c r="B179" s="2"/>
      <c r="C179" s="2"/>
      <c r="D179" s="2"/>
      <c r="E179" s="2"/>
      <c r="F179" s="2"/>
      <c r="G179" s="2"/>
      <c r="H179" s="2"/>
      <c r="I179" s="2"/>
      <c r="J179" s="2"/>
      <c r="K179" s="2"/>
      <c r="L179" s="2"/>
      <c r="M179" s="2"/>
      <c r="N179" s="2"/>
    </row>
    <row r="180" spans="2:14" ht="15.75" customHeight="1">
      <c r="B180" s="2"/>
      <c r="C180" s="2"/>
      <c r="D180" s="2"/>
      <c r="E180" s="2"/>
      <c r="F180" s="2"/>
      <c r="G180" s="2"/>
      <c r="H180" s="2"/>
      <c r="I180" s="2"/>
      <c r="J180" s="2"/>
      <c r="K180" s="2"/>
      <c r="L180" s="2"/>
      <c r="M180" s="2"/>
      <c r="N180" s="2"/>
    </row>
    <row r="181" spans="2:14" ht="15.75" customHeight="1">
      <c r="B181" s="2"/>
      <c r="C181" s="2"/>
      <c r="D181" s="2"/>
      <c r="E181" s="2"/>
      <c r="F181" s="2"/>
      <c r="G181" s="2"/>
      <c r="H181" s="2"/>
      <c r="I181" s="2"/>
      <c r="J181" s="2"/>
      <c r="K181" s="2"/>
      <c r="L181" s="2"/>
      <c r="M181" s="2"/>
      <c r="N181" s="2"/>
    </row>
    <row r="182" spans="2:14" ht="15.75" customHeight="1">
      <c r="B182" s="2"/>
      <c r="C182" s="2"/>
      <c r="D182" s="2"/>
      <c r="E182" s="2"/>
      <c r="F182" s="2"/>
      <c r="G182" s="2"/>
      <c r="H182" s="2"/>
      <c r="I182" s="2"/>
      <c r="J182" s="2"/>
      <c r="K182" s="2"/>
      <c r="L182" s="2"/>
      <c r="M182" s="2"/>
      <c r="N182" s="2"/>
    </row>
    <row r="183" spans="2:14" ht="15.75" customHeight="1">
      <c r="B183" s="2"/>
      <c r="C183" s="2"/>
      <c r="D183" s="2"/>
      <c r="E183" s="2"/>
      <c r="F183" s="2"/>
      <c r="G183" s="2"/>
      <c r="H183" s="2"/>
      <c r="I183" s="2"/>
      <c r="J183" s="2"/>
      <c r="K183" s="2"/>
      <c r="L183" s="2"/>
      <c r="M183" s="2"/>
      <c r="N183" s="2"/>
    </row>
    <row r="184" spans="2:14" ht="15.75" customHeight="1">
      <c r="B184" s="2"/>
      <c r="C184" s="2"/>
      <c r="D184" s="2"/>
      <c r="E184" s="2"/>
      <c r="F184" s="2"/>
      <c r="G184" s="2"/>
      <c r="H184" s="2"/>
      <c r="I184" s="2"/>
      <c r="J184" s="2"/>
      <c r="K184" s="2"/>
      <c r="L184" s="2"/>
      <c r="M184" s="2"/>
      <c r="N184" s="2"/>
    </row>
    <row r="185" spans="2:14" ht="15.75" customHeight="1">
      <c r="B185" s="2"/>
      <c r="C185" s="2"/>
      <c r="D185" s="2"/>
      <c r="E185" s="2"/>
      <c r="F185" s="2"/>
      <c r="G185" s="2"/>
      <c r="H185" s="2"/>
      <c r="I185" s="2"/>
      <c r="J185" s="2"/>
      <c r="K185" s="2"/>
      <c r="L185" s="2"/>
      <c r="M185" s="2"/>
      <c r="N185" s="2"/>
    </row>
    <row r="186" spans="2:14" ht="15.75" customHeight="1">
      <c r="B186" s="2"/>
      <c r="C186" s="2"/>
      <c r="D186" s="2"/>
      <c r="E186" s="2"/>
      <c r="F186" s="2"/>
      <c r="G186" s="2"/>
      <c r="H186" s="2"/>
      <c r="I186" s="2"/>
      <c r="J186" s="2"/>
      <c r="K186" s="2"/>
      <c r="L186" s="2"/>
      <c r="M186" s="2"/>
      <c r="N186" s="2"/>
    </row>
    <row r="187" spans="2:14" ht="15.75" customHeight="1">
      <c r="B187" s="2"/>
      <c r="C187" s="2"/>
      <c r="D187" s="2"/>
      <c r="E187" s="2"/>
      <c r="F187" s="2"/>
      <c r="G187" s="2"/>
      <c r="H187" s="2"/>
      <c r="I187" s="2"/>
      <c r="J187" s="2"/>
      <c r="K187" s="2"/>
      <c r="L187" s="2"/>
      <c r="M187" s="2"/>
      <c r="N187" s="2"/>
    </row>
    <row r="188" spans="2:14" ht="15.75" customHeight="1">
      <c r="B188" s="2"/>
      <c r="C188" s="2"/>
      <c r="D188" s="2"/>
      <c r="E188" s="2"/>
      <c r="F188" s="2"/>
      <c r="G188" s="2"/>
      <c r="H188" s="2"/>
      <c r="I188" s="2"/>
      <c r="J188" s="2"/>
      <c r="K188" s="2"/>
      <c r="L188" s="2"/>
      <c r="M188" s="2"/>
      <c r="N188" s="2"/>
    </row>
    <row r="189" spans="2:14" ht="15.75" customHeight="1">
      <c r="B189" s="2"/>
      <c r="C189" s="2"/>
      <c r="D189" s="2"/>
      <c r="E189" s="2"/>
      <c r="F189" s="2"/>
      <c r="G189" s="2"/>
      <c r="H189" s="2"/>
      <c r="I189" s="2"/>
      <c r="J189" s="2"/>
      <c r="K189" s="2"/>
      <c r="L189" s="2"/>
      <c r="M189" s="2"/>
      <c r="N189" s="2"/>
    </row>
    <row r="190" spans="2:14" ht="15.75" customHeight="1">
      <c r="B190" s="2"/>
      <c r="C190" s="2"/>
      <c r="D190" s="2"/>
      <c r="E190" s="2"/>
      <c r="F190" s="2"/>
      <c r="G190" s="2"/>
      <c r="H190" s="2"/>
      <c r="I190" s="2"/>
      <c r="J190" s="2"/>
      <c r="K190" s="2"/>
      <c r="L190" s="2"/>
      <c r="M190" s="2"/>
      <c r="N190" s="2"/>
    </row>
    <row r="191" spans="2:14" ht="15.75" customHeight="1">
      <c r="B191" s="2"/>
      <c r="C191" s="2"/>
      <c r="D191" s="2"/>
      <c r="E191" s="2"/>
      <c r="F191" s="2"/>
      <c r="G191" s="2"/>
      <c r="H191" s="2"/>
      <c r="I191" s="2"/>
      <c r="J191" s="2"/>
      <c r="K191" s="2"/>
      <c r="L191" s="2"/>
      <c r="M191" s="2"/>
      <c r="N191" s="2"/>
    </row>
    <row r="192" spans="2:14" ht="15.75" customHeight="1">
      <c r="B192" s="2"/>
      <c r="C192" s="2"/>
      <c r="D192" s="2"/>
      <c r="E192" s="2"/>
      <c r="F192" s="2"/>
      <c r="G192" s="2"/>
      <c r="H192" s="2"/>
      <c r="I192" s="2"/>
      <c r="J192" s="2"/>
      <c r="K192" s="2"/>
      <c r="L192" s="2"/>
      <c r="M192" s="2"/>
      <c r="N192" s="2"/>
    </row>
    <row r="193" spans="2:14" ht="15.75" customHeight="1">
      <c r="B193" s="2"/>
      <c r="C193" s="2"/>
      <c r="D193" s="2"/>
      <c r="E193" s="2"/>
      <c r="F193" s="2"/>
      <c r="G193" s="2"/>
      <c r="H193" s="2"/>
      <c r="I193" s="2"/>
      <c r="J193" s="2"/>
      <c r="K193" s="2"/>
      <c r="L193" s="2"/>
      <c r="M193" s="2"/>
      <c r="N193" s="2"/>
    </row>
    <row r="194" spans="2:14" ht="15.75" customHeight="1">
      <c r="B194" s="2"/>
      <c r="C194" s="2"/>
      <c r="D194" s="2"/>
      <c r="E194" s="2"/>
      <c r="F194" s="2"/>
      <c r="G194" s="2"/>
      <c r="H194" s="2"/>
      <c r="I194" s="2"/>
      <c r="J194" s="2"/>
      <c r="K194" s="2"/>
      <c r="L194" s="2"/>
      <c r="M194" s="2"/>
      <c r="N194" s="2"/>
    </row>
    <row r="195" spans="2:14" ht="15.75" customHeight="1">
      <c r="B195" s="2"/>
      <c r="C195" s="2"/>
      <c r="D195" s="2"/>
      <c r="E195" s="2"/>
      <c r="F195" s="2"/>
      <c r="G195" s="2"/>
      <c r="H195" s="2"/>
      <c r="I195" s="2"/>
      <c r="J195" s="2"/>
      <c r="K195" s="2"/>
      <c r="L195" s="2"/>
      <c r="M195" s="2"/>
      <c r="N195" s="2"/>
    </row>
    <row r="196" spans="2:14" ht="15.75" customHeight="1">
      <c r="B196" s="2"/>
      <c r="C196" s="2"/>
      <c r="D196" s="2"/>
      <c r="E196" s="2"/>
      <c r="F196" s="2"/>
      <c r="G196" s="2"/>
      <c r="H196" s="2"/>
      <c r="I196" s="2"/>
      <c r="J196" s="2"/>
      <c r="K196" s="2"/>
      <c r="L196" s="2"/>
      <c r="M196" s="2"/>
      <c r="N196" s="2"/>
    </row>
    <row r="197" spans="2:14" ht="15.75" customHeight="1">
      <c r="B197" s="2"/>
      <c r="C197" s="2"/>
      <c r="D197" s="2"/>
      <c r="E197" s="2"/>
      <c r="F197" s="2"/>
      <c r="G197" s="2"/>
      <c r="H197" s="2"/>
      <c r="I197" s="2"/>
      <c r="J197" s="2"/>
      <c r="K197" s="2"/>
      <c r="L197" s="2"/>
      <c r="M197" s="2"/>
      <c r="N197" s="2"/>
    </row>
    <row r="198" spans="2:14" ht="15.75" customHeight="1">
      <c r="B198" s="2"/>
      <c r="C198" s="2"/>
      <c r="D198" s="2"/>
      <c r="E198" s="2"/>
      <c r="F198" s="2"/>
      <c r="G198" s="2"/>
      <c r="H198" s="2"/>
      <c r="I198" s="2"/>
      <c r="J198" s="2"/>
      <c r="K198" s="2"/>
      <c r="L198" s="2"/>
      <c r="M198" s="2"/>
      <c r="N198" s="2"/>
    </row>
    <row r="199" spans="2:14" ht="15.75" customHeight="1">
      <c r="B199" s="2"/>
      <c r="C199" s="2"/>
      <c r="D199" s="2"/>
      <c r="E199" s="2"/>
      <c r="F199" s="2"/>
      <c r="G199" s="2"/>
      <c r="H199" s="2"/>
      <c r="I199" s="2"/>
      <c r="J199" s="2"/>
      <c r="K199" s="2"/>
      <c r="L199" s="2"/>
      <c r="M199" s="2"/>
      <c r="N199" s="2"/>
    </row>
    <row r="200" spans="2:14" ht="15.75" customHeight="1">
      <c r="B200" s="2"/>
      <c r="C200" s="2"/>
      <c r="D200" s="2"/>
      <c r="E200" s="2"/>
      <c r="F200" s="2"/>
      <c r="G200" s="2"/>
      <c r="H200" s="2"/>
      <c r="I200" s="2"/>
      <c r="J200" s="2"/>
      <c r="K200" s="2"/>
      <c r="L200" s="2"/>
      <c r="M200" s="2"/>
      <c r="N200" s="2"/>
    </row>
    <row r="201" spans="2:14" ht="15.75" customHeight="1">
      <c r="B201" s="2"/>
      <c r="C201" s="2"/>
      <c r="D201" s="2"/>
      <c r="E201" s="2"/>
      <c r="F201" s="2"/>
      <c r="G201" s="2"/>
      <c r="H201" s="2"/>
      <c r="I201" s="2"/>
      <c r="J201" s="2"/>
      <c r="K201" s="2"/>
      <c r="L201" s="2"/>
      <c r="M201" s="2"/>
      <c r="N201" s="2"/>
    </row>
    <row r="202" spans="2:14" ht="15.75" customHeight="1">
      <c r="B202" s="2"/>
      <c r="C202" s="2"/>
      <c r="D202" s="2"/>
      <c r="E202" s="2"/>
      <c r="F202" s="2"/>
      <c r="G202" s="2"/>
      <c r="H202" s="2"/>
      <c r="I202" s="2"/>
      <c r="J202" s="2"/>
      <c r="K202" s="2"/>
      <c r="L202" s="2"/>
      <c r="M202" s="2"/>
      <c r="N202" s="2"/>
    </row>
    <row r="203" spans="2:14" ht="15.75" customHeight="1">
      <c r="B203" s="2"/>
      <c r="C203" s="2"/>
      <c r="D203" s="2"/>
      <c r="E203" s="2"/>
      <c r="F203" s="2"/>
      <c r="G203" s="2"/>
      <c r="H203" s="2"/>
      <c r="I203" s="2"/>
      <c r="J203" s="2"/>
      <c r="K203" s="2"/>
      <c r="L203" s="2"/>
      <c r="M203" s="2"/>
      <c r="N203" s="2"/>
    </row>
    <row r="204" spans="2:14" ht="15.75" customHeight="1">
      <c r="B204" s="2"/>
      <c r="C204" s="2"/>
      <c r="D204" s="2"/>
      <c r="E204" s="2"/>
      <c r="F204" s="2"/>
      <c r="G204" s="2"/>
      <c r="H204" s="2"/>
      <c r="I204" s="2"/>
      <c r="J204" s="2"/>
      <c r="K204" s="2"/>
      <c r="L204" s="2"/>
      <c r="M204" s="2"/>
      <c r="N204" s="2"/>
    </row>
    <row r="205" spans="2:14" ht="15.75" customHeight="1">
      <c r="B205" s="2"/>
      <c r="C205" s="2"/>
      <c r="D205" s="2"/>
      <c r="E205" s="2"/>
      <c r="F205" s="2"/>
      <c r="G205" s="2"/>
      <c r="H205" s="2"/>
      <c r="I205" s="2"/>
      <c r="J205" s="2"/>
      <c r="K205" s="2"/>
      <c r="L205" s="2"/>
      <c r="M205" s="2"/>
      <c r="N205" s="2"/>
    </row>
    <row r="206" spans="2:14" ht="15.75" customHeight="1">
      <c r="B206" s="2"/>
      <c r="C206" s="2"/>
      <c r="D206" s="2"/>
      <c r="E206" s="2"/>
      <c r="F206" s="2"/>
      <c r="G206" s="2"/>
      <c r="H206" s="2"/>
      <c r="I206" s="2"/>
      <c r="J206" s="2"/>
      <c r="K206" s="2"/>
      <c r="L206" s="2"/>
      <c r="M206" s="2"/>
      <c r="N206" s="2"/>
    </row>
    <row r="207" spans="2:14" ht="15.75" customHeight="1">
      <c r="B207" s="2"/>
      <c r="C207" s="2"/>
      <c r="D207" s="2"/>
      <c r="E207" s="2"/>
      <c r="F207" s="2"/>
      <c r="G207" s="2"/>
      <c r="H207" s="2"/>
      <c r="I207" s="2"/>
      <c r="J207" s="2"/>
      <c r="K207" s="2"/>
      <c r="L207" s="2"/>
      <c r="M207" s="2"/>
      <c r="N207" s="2"/>
    </row>
    <row r="208" spans="2:14" ht="15.75" customHeight="1">
      <c r="B208" s="2"/>
      <c r="C208" s="2"/>
      <c r="D208" s="2"/>
      <c r="E208" s="2"/>
      <c r="F208" s="2"/>
      <c r="G208" s="2"/>
      <c r="H208" s="2"/>
      <c r="I208" s="2"/>
      <c r="J208" s="2"/>
      <c r="K208" s="2"/>
      <c r="L208" s="2"/>
      <c r="M208" s="2"/>
      <c r="N208" s="2"/>
    </row>
    <row r="209" spans="2:14" ht="15.75" customHeight="1">
      <c r="B209" s="2"/>
      <c r="C209" s="2"/>
      <c r="D209" s="2"/>
      <c r="E209" s="2"/>
      <c r="F209" s="2"/>
      <c r="G209" s="2"/>
      <c r="H209" s="2"/>
      <c r="I209" s="2"/>
      <c r="J209" s="2"/>
      <c r="K209" s="2"/>
      <c r="L209" s="2"/>
      <c r="M209" s="2"/>
      <c r="N209" s="2"/>
    </row>
    <row r="210" spans="2:14" ht="15.75" customHeight="1">
      <c r="B210" s="2"/>
      <c r="C210" s="2"/>
      <c r="D210" s="2"/>
      <c r="E210" s="2"/>
      <c r="F210" s="2"/>
      <c r="G210" s="2"/>
      <c r="H210" s="2"/>
      <c r="I210" s="2"/>
      <c r="J210" s="2"/>
      <c r="K210" s="2"/>
      <c r="L210" s="2"/>
      <c r="M210" s="2"/>
      <c r="N210" s="2"/>
    </row>
    <row r="211" spans="2:14" ht="15.75" customHeight="1">
      <c r="B211" s="2"/>
      <c r="C211" s="2"/>
      <c r="D211" s="2"/>
      <c r="E211" s="2"/>
      <c r="F211" s="2"/>
      <c r="G211" s="2"/>
      <c r="H211" s="2"/>
      <c r="I211" s="2"/>
      <c r="J211" s="2"/>
      <c r="K211" s="2"/>
      <c r="L211" s="2"/>
      <c r="M211" s="2"/>
      <c r="N211" s="2"/>
    </row>
    <row r="212" spans="2:14" ht="15.75" customHeight="1">
      <c r="B212" s="2"/>
      <c r="C212" s="2"/>
      <c r="D212" s="2"/>
      <c r="E212" s="2"/>
      <c r="F212" s="2"/>
      <c r="G212" s="2"/>
      <c r="H212" s="2"/>
      <c r="I212" s="2"/>
      <c r="J212" s="2"/>
      <c r="K212" s="2"/>
      <c r="L212" s="2"/>
      <c r="M212" s="2"/>
      <c r="N212" s="2"/>
    </row>
    <row r="213" spans="2:14" ht="15.75" customHeight="1">
      <c r="B213" s="2"/>
      <c r="C213" s="2"/>
      <c r="D213" s="2"/>
      <c r="E213" s="2"/>
      <c r="F213" s="2"/>
      <c r="G213" s="2"/>
      <c r="H213" s="2"/>
      <c r="I213" s="2"/>
      <c r="J213" s="2"/>
      <c r="K213" s="2"/>
      <c r="L213" s="2"/>
      <c r="M213" s="2"/>
      <c r="N213" s="2"/>
    </row>
    <row r="214" spans="2:14" ht="15.75" customHeight="1">
      <c r="B214" s="2"/>
      <c r="C214" s="2"/>
      <c r="D214" s="2"/>
      <c r="E214" s="2"/>
      <c r="F214" s="2"/>
      <c r="G214" s="2"/>
      <c r="H214" s="2"/>
      <c r="I214" s="2"/>
      <c r="J214" s="2"/>
      <c r="K214" s="2"/>
      <c r="L214" s="2"/>
      <c r="M214" s="2"/>
      <c r="N214" s="2"/>
    </row>
    <row r="215" spans="2:14" ht="15.75" customHeight="1">
      <c r="B215" s="2"/>
      <c r="C215" s="2"/>
      <c r="D215" s="2"/>
      <c r="E215" s="2"/>
      <c r="F215" s="2"/>
      <c r="G215" s="2"/>
      <c r="H215" s="2"/>
      <c r="I215" s="2"/>
      <c r="J215" s="2"/>
      <c r="K215" s="2"/>
      <c r="L215" s="2"/>
      <c r="M215" s="2"/>
      <c r="N215" s="2"/>
    </row>
    <row r="216" spans="2:14" ht="15.75" customHeight="1">
      <c r="B216" s="2"/>
      <c r="C216" s="2"/>
      <c r="D216" s="2"/>
      <c r="E216" s="2"/>
      <c r="F216" s="2"/>
      <c r="G216" s="2"/>
      <c r="H216" s="2"/>
      <c r="I216" s="2"/>
      <c r="J216" s="2"/>
      <c r="K216" s="2"/>
      <c r="L216" s="2"/>
      <c r="M216" s="2"/>
      <c r="N216" s="2"/>
    </row>
    <row r="217" spans="2:14" ht="15.75" customHeight="1">
      <c r="B217" s="2"/>
      <c r="C217" s="2"/>
      <c r="D217" s="2"/>
      <c r="E217" s="2"/>
      <c r="F217" s="2"/>
      <c r="G217" s="2"/>
      <c r="H217" s="2"/>
      <c r="I217" s="2"/>
      <c r="J217" s="2"/>
      <c r="K217" s="2"/>
      <c r="L217" s="2"/>
      <c r="M217" s="2"/>
      <c r="N217" s="2"/>
    </row>
    <row r="218" spans="2:14" ht="15.75" customHeight="1">
      <c r="B218" s="2"/>
      <c r="C218" s="2"/>
      <c r="D218" s="2"/>
      <c r="E218" s="2"/>
      <c r="F218" s="2"/>
      <c r="G218" s="2"/>
      <c r="H218" s="2"/>
      <c r="I218" s="2"/>
      <c r="J218" s="2"/>
      <c r="K218" s="2"/>
      <c r="L218" s="2"/>
      <c r="M218" s="2"/>
      <c r="N218" s="2"/>
    </row>
    <row r="219" spans="2:14" ht="15.75" customHeight="1">
      <c r="B219" s="2"/>
      <c r="C219" s="2"/>
      <c r="D219" s="2"/>
      <c r="E219" s="2"/>
      <c r="F219" s="2"/>
      <c r="G219" s="2"/>
      <c r="H219" s="2"/>
      <c r="I219" s="2"/>
      <c r="J219" s="2"/>
      <c r="K219" s="2"/>
      <c r="L219" s="2"/>
      <c r="M219" s="2"/>
      <c r="N219" s="2"/>
    </row>
    <row r="220" spans="2:14" ht="15.75" customHeight="1">
      <c r="B220" s="2"/>
      <c r="C220" s="2"/>
      <c r="D220" s="2"/>
      <c r="E220" s="2"/>
      <c r="F220" s="2"/>
      <c r="G220" s="2"/>
      <c r="H220" s="2"/>
      <c r="I220" s="2"/>
      <c r="J220" s="2"/>
      <c r="K220" s="2"/>
      <c r="L220" s="2"/>
      <c r="M220" s="2"/>
      <c r="N220" s="2"/>
    </row>
    <row r="221" spans="2:14" ht="15.75" customHeight="1">
      <c r="B221" s="2"/>
      <c r="C221" s="2"/>
      <c r="D221" s="2"/>
      <c r="E221" s="2"/>
      <c r="F221" s="2"/>
      <c r="G221" s="2"/>
      <c r="H221" s="2"/>
      <c r="I221" s="2"/>
      <c r="J221" s="2"/>
      <c r="K221" s="2"/>
      <c r="L221" s="2"/>
      <c r="M221" s="2"/>
      <c r="N221" s="2"/>
    </row>
    <row r="222" spans="2:14" ht="15.75" customHeight="1">
      <c r="B222" s="2"/>
      <c r="C222" s="2"/>
      <c r="D222" s="2"/>
      <c r="E222" s="2"/>
      <c r="F222" s="2"/>
      <c r="G222" s="2"/>
      <c r="H222" s="2"/>
      <c r="I222" s="2"/>
      <c r="J222" s="2"/>
      <c r="K222" s="2"/>
      <c r="L222" s="2"/>
      <c r="M222" s="2"/>
      <c r="N222" s="2"/>
    </row>
    <row r="223" spans="2:14" ht="15.75" customHeight="1">
      <c r="B223" s="2"/>
      <c r="C223" s="2"/>
      <c r="D223" s="2"/>
      <c r="E223" s="2"/>
      <c r="F223" s="2"/>
      <c r="G223" s="2"/>
      <c r="H223" s="2"/>
      <c r="I223" s="2"/>
      <c r="J223" s="2"/>
      <c r="K223" s="2"/>
      <c r="L223" s="2"/>
      <c r="M223" s="2"/>
      <c r="N223" s="2"/>
    </row>
    <row r="224" spans="2:14" ht="15.75" customHeight="1">
      <c r="B224" s="2"/>
      <c r="C224" s="2"/>
      <c r="D224" s="2"/>
      <c r="E224" s="2"/>
      <c r="F224" s="2"/>
      <c r="G224" s="2"/>
      <c r="H224" s="2"/>
      <c r="I224" s="2"/>
      <c r="J224" s="2"/>
      <c r="K224" s="2"/>
      <c r="L224" s="2"/>
      <c r="M224" s="2"/>
      <c r="N224" s="2"/>
    </row>
    <row r="225" spans="2:14" ht="15.75" customHeight="1">
      <c r="B225" s="2"/>
      <c r="C225" s="2"/>
      <c r="D225" s="2"/>
      <c r="E225" s="2"/>
      <c r="F225" s="2"/>
      <c r="G225" s="2"/>
      <c r="H225" s="2"/>
      <c r="I225" s="2"/>
      <c r="J225" s="2"/>
      <c r="K225" s="2"/>
      <c r="L225" s="2"/>
      <c r="M225" s="2"/>
      <c r="N225" s="2"/>
    </row>
    <row r="226" spans="2:14" ht="15.75" customHeight="1">
      <c r="B226" s="2"/>
      <c r="C226" s="2"/>
      <c r="D226" s="2"/>
      <c r="E226" s="2"/>
      <c r="F226" s="2"/>
      <c r="G226" s="2"/>
      <c r="H226" s="2"/>
      <c r="I226" s="2"/>
      <c r="J226" s="2"/>
      <c r="K226" s="2"/>
      <c r="L226" s="2"/>
      <c r="M226" s="2"/>
      <c r="N226" s="2"/>
    </row>
    <row r="227" spans="2:14" ht="15.75" customHeight="1">
      <c r="B227" s="2"/>
      <c r="C227" s="2"/>
      <c r="D227" s="2"/>
      <c r="E227" s="2"/>
      <c r="F227" s="2"/>
      <c r="G227" s="2"/>
      <c r="H227" s="2"/>
      <c r="I227" s="2"/>
      <c r="J227" s="2"/>
      <c r="K227" s="2"/>
      <c r="L227" s="2"/>
      <c r="M227" s="2"/>
      <c r="N227" s="2"/>
    </row>
    <row r="228" spans="2:14" ht="15.75" customHeight="1">
      <c r="B228" s="2"/>
      <c r="C228" s="2"/>
      <c r="D228" s="2"/>
      <c r="E228" s="2"/>
      <c r="F228" s="2"/>
      <c r="G228" s="2"/>
      <c r="H228" s="2"/>
      <c r="I228" s="2"/>
      <c r="J228" s="2"/>
      <c r="K228" s="2"/>
      <c r="L228" s="2"/>
      <c r="M228" s="2"/>
      <c r="N228" s="2"/>
    </row>
    <row r="229" spans="2:14" ht="15.75" customHeight="1">
      <c r="B229" s="2"/>
      <c r="C229" s="2"/>
      <c r="D229" s="2"/>
      <c r="E229" s="2"/>
      <c r="F229" s="2"/>
      <c r="G229" s="2"/>
      <c r="H229" s="2"/>
      <c r="I229" s="2"/>
      <c r="J229" s="2"/>
      <c r="K229" s="2"/>
      <c r="L229" s="2"/>
      <c r="M229" s="2"/>
      <c r="N229" s="2"/>
    </row>
    <row r="230" spans="2:14" ht="15.75" customHeight="1">
      <c r="B230" s="2"/>
      <c r="C230" s="2"/>
      <c r="D230" s="2"/>
      <c r="E230" s="2"/>
      <c r="F230" s="2"/>
      <c r="G230" s="2"/>
      <c r="H230" s="2"/>
      <c r="I230" s="2"/>
      <c r="J230" s="2"/>
      <c r="K230" s="2"/>
      <c r="L230" s="2"/>
      <c r="M230" s="2"/>
      <c r="N230" s="2"/>
    </row>
    <row r="231" spans="2:14" ht="15.75" customHeight="1">
      <c r="B231" s="2"/>
      <c r="C231" s="2"/>
      <c r="D231" s="2"/>
      <c r="E231" s="2"/>
      <c r="F231" s="2"/>
      <c r="G231" s="2"/>
      <c r="H231" s="2"/>
      <c r="I231" s="2"/>
      <c r="J231" s="2"/>
      <c r="K231" s="2"/>
      <c r="L231" s="2"/>
      <c r="M231" s="2"/>
      <c r="N231" s="2"/>
    </row>
    <row r="232" spans="2:14" ht="15.75" customHeight="1">
      <c r="B232" s="2"/>
      <c r="C232" s="2"/>
      <c r="D232" s="2"/>
      <c r="E232" s="2"/>
      <c r="F232" s="2"/>
      <c r="G232" s="2"/>
      <c r="H232" s="2"/>
      <c r="I232" s="2"/>
      <c r="J232" s="2"/>
      <c r="K232" s="2"/>
      <c r="L232" s="2"/>
      <c r="M232" s="2"/>
      <c r="N232" s="2"/>
    </row>
    <row r="233" spans="2:14" ht="15.75" customHeight="1">
      <c r="B233" s="2"/>
      <c r="C233" s="2"/>
      <c r="D233" s="2"/>
      <c r="E233" s="2"/>
      <c r="F233" s="2"/>
      <c r="G233" s="2"/>
      <c r="H233" s="2"/>
      <c r="I233" s="2"/>
      <c r="J233" s="2"/>
      <c r="K233" s="2"/>
      <c r="L233" s="2"/>
      <c r="M233" s="2"/>
      <c r="N233" s="2"/>
    </row>
    <row r="234" spans="2:14" ht="15.75" customHeight="1">
      <c r="B234" s="2"/>
      <c r="C234" s="2"/>
      <c r="D234" s="2"/>
      <c r="E234" s="2"/>
      <c r="F234" s="2"/>
      <c r="G234" s="2"/>
      <c r="H234" s="2"/>
      <c r="I234" s="2"/>
      <c r="J234" s="2"/>
      <c r="K234" s="2"/>
      <c r="L234" s="2"/>
      <c r="M234" s="2"/>
      <c r="N234" s="2"/>
    </row>
    <row r="235" spans="2:14" ht="15.75" customHeight="1">
      <c r="B235" s="2"/>
      <c r="C235" s="2"/>
      <c r="D235" s="2"/>
      <c r="E235" s="2"/>
      <c r="F235" s="2"/>
      <c r="G235" s="2"/>
      <c r="H235" s="2"/>
      <c r="I235" s="2"/>
      <c r="J235" s="2"/>
      <c r="K235" s="2"/>
      <c r="L235" s="2"/>
      <c r="M235" s="2"/>
      <c r="N235" s="2"/>
    </row>
    <row r="236" spans="2:14" ht="15.75" customHeight="1">
      <c r="B236" s="2"/>
      <c r="C236" s="2"/>
      <c r="D236" s="2"/>
      <c r="E236" s="2"/>
      <c r="F236" s="2"/>
      <c r="G236" s="2"/>
      <c r="H236" s="2"/>
      <c r="I236" s="2"/>
      <c r="J236" s="2"/>
      <c r="K236" s="2"/>
      <c r="L236" s="2"/>
      <c r="M236" s="2"/>
      <c r="N236" s="2"/>
    </row>
    <row r="237" spans="2:14" ht="15.75" customHeight="1">
      <c r="B237" s="2"/>
      <c r="C237" s="2"/>
      <c r="D237" s="2"/>
      <c r="E237" s="2"/>
      <c r="F237" s="2"/>
      <c r="G237" s="2"/>
      <c r="H237" s="2"/>
      <c r="I237" s="2"/>
      <c r="J237" s="2"/>
      <c r="K237" s="2"/>
      <c r="L237" s="2"/>
      <c r="M237" s="2"/>
      <c r="N237" s="2"/>
    </row>
    <row r="238" spans="2:14" ht="15.75" customHeight="1">
      <c r="B238" s="2"/>
      <c r="C238" s="2"/>
      <c r="D238" s="2"/>
      <c r="E238" s="2"/>
      <c r="F238" s="2"/>
      <c r="G238" s="2"/>
      <c r="H238" s="2"/>
      <c r="I238" s="2"/>
      <c r="J238" s="2"/>
      <c r="K238" s="2"/>
      <c r="L238" s="2"/>
      <c r="M238" s="2"/>
      <c r="N238" s="2"/>
    </row>
    <row r="239" spans="2:14" ht="15.75" customHeight="1">
      <c r="B239" s="2"/>
      <c r="C239" s="2"/>
      <c r="D239" s="2"/>
      <c r="E239" s="2"/>
      <c r="F239" s="2"/>
      <c r="G239" s="2"/>
      <c r="H239" s="2"/>
      <c r="I239" s="2"/>
      <c r="J239" s="2"/>
      <c r="K239" s="2"/>
      <c r="L239" s="2"/>
      <c r="M239" s="2"/>
      <c r="N239" s="2"/>
    </row>
    <row r="240" spans="2:14" ht="15.75" customHeight="1">
      <c r="B240" s="2"/>
      <c r="C240" s="2"/>
      <c r="D240" s="2"/>
      <c r="E240" s="2"/>
      <c r="F240" s="2"/>
      <c r="G240" s="2"/>
      <c r="H240" s="2"/>
      <c r="I240" s="2"/>
      <c r="J240" s="2"/>
      <c r="K240" s="2"/>
      <c r="L240" s="2"/>
      <c r="M240" s="2"/>
      <c r="N240" s="2"/>
    </row>
    <row r="241" spans="2:14" ht="15.75" customHeight="1">
      <c r="B241" s="2"/>
      <c r="C241" s="2"/>
      <c r="D241" s="2"/>
      <c r="E241" s="2"/>
      <c r="F241" s="2"/>
      <c r="G241" s="2"/>
      <c r="H241" s="2"/>
      <c r="I241" s="2"/>
      <c r="J241" s="2"/>
      <c r="K241" s="2"/>
      <c r="L241" s="2"/>
      <c r="M241" s="2"/>
      <c r="N241" s="2"/>
    </row>
    <row r="242" spans="2:14" ht="15.75" customHeight="1">
      <c r="B242" s="2"/>
      <c r="C242" s="2"/>
      <c r="D242" s="2"/>
      <c r="E242" s="2"/>
      <c r="F242" s="2"/>
      <c r="G242" s="2"/>
      <c r="H242" s="2"/>
      <c r="I242" s="2"/>
      <c r="J242" s="2"/>
      <c r="K242" s="2"/>
      <c r="L242" s="2"/>
      <c r="M242" s="2"/>
      <c r="N242" s="2"/>
    </row>
    <row r="243" spans="2:14" ht="15.75" customHeight="1">
      <c r="B243" s="2"/>
      <c r="C243" s="2"/>
      <c r="D243" s="2"/>
      <c r="E243" s="2"/>
      <c r="F243" s="2"/>
      <c r="G243" s="2"/>
      <c r="H243" s="2"/>
      <c r="I243" s="2"/>
      <c r="J243" s="2"/>
      <c r="K243" s="2"/>
      <c r="L243" s="2"/>
      <c r="M243" s="2"/>
      <c r="N243" s="2"/>
    </row>
    <row r="244" spans="2:14" ht="15.75" customHeight="1">
      <c r="B244" s="2"/>
      <c r="C244" s="2"/>
      <c r="D244" s="2"/>
      <c r="E244" s="2"/>
      <c r="F244" s="2"/>
      <c r="G244" s="2"/>
      <c r="H244" s="2"/>
      <c r="I244" s="2"/>
      <c r="J244" s="2"/>
      <c r="K244" s="2"/>
      <c r="L244" s="2"/>
      <c r="M244" s="2"/>
      <c r="N244" s="2"/>
    </row>
    <row r="245" spans="2:14" ht="15.75" customHeight="1">
      <c r="B245" s="2"/>
      <c r="C245" s="2"/>
      <c r="D245" s="2"/>
      <c r="E245" s="2"/>
      <c r="F245" s="2"/>
      <c r="G245" s="2"/>
      <c r="H245" s="2"/>
      <c r="I245" s="2"/>
      <c r="J245" s="2"/>
      <c r="K245" s="2"/>
      <c r="L245" s="2"/>
      <c r="M245" s="2"/>
      <c r="N245" s="2"/>
    </row>
    <row r="246" spans="2:14" ht="15.75" customHeight="1">
      <c r="B246" s="2"/>
      <c r="C246" s="2"/>
      <c r="D246" s="2"/>
      <c r="E246" s="2"/>
      <c r="F246" s="2"/>
      <c r="G246" s="2"/>
      <c r="H246" s="2"/>
      <c r="I246" s="2"/>
      <c r="J246" s="2"/>
      <c r="K246" s="2"/>
      <c r="L246" s="2"/>
      <c r="M246" s="2"/>
      <c r="N246" s="2"/>
    </row>
    <row r="247" spans="2:14" ht="15.75" customHeight="1">
      <c r="B247" s="2"/>
      <c r="C247" s="2"/>
      <c r="D247" s="2"/>
      <c r="E247" s="2"/>
      <c r="F247" s="2"/>
      <c r="G247" s="2"/>
      <c r="H247" s="2"/>
      <c r="I247" s="2"/>
      <c r="J247" s="2"/>
      <c r="K247" s="2"/>
      <c r="L247" s="2"/>
      <c r="M247" s="2"/>
      <c r="N247" s="2"/>
    </row>
    <row r="248" spans="2:14" ht="15.75" customHeight="1">
      <c r="B248" s="2"/>
      <c r="C248" s="2"/>
      <c r="D248" s="2"/>
      <c r="E248" s="2"/>
      <c r="F248" s="2"/>
      <c r="G248" s="2"/>
      <c r="H248" s="2"/>
      <c r="I248" s="2"/>
      <c r="J248" s="2"/>
      <c r="K248" s="2"/>
      <c r="L248" s="2"/>
      <c r="M248" s="2"/>
      <c r="N248" s="2"/>
    </row>
    <row r="249" spans="2:14" ht="15.75" customHeight="1">
      <c r="B249" s="2"/>
      <c r="C249" s="2"/>
      <c r="D249" s="2"/>
      <c r="E249" s="2"/>
      <c r="F249" s="2"/>
      <c r="G249" s="2"/>
      <c r="H249" s="2"/>
      <c r="I249" s="2"/>
      <c r="J249" s="2"/>
      <c r="K249" s="2"/>
      <c r="L249" s="2"/>
      <c r="M249" s="2"/>
      <c r="N249" s="2"/>
    </row>
    <row r="250" spans="2:14" ht="15.75" customHeight="1">
      <c r="B250" s="2"/>
      <c r="C250" s="2"/>
      <c r="D250" s="2"/>
      <c r="E250" s="2"/>
      <c r="F250" s="2"/>
      <c r="G250" s="2"/>
      <c r="H250" s="2"/>
      <c r="I250" s="2"/>
      <c r="J250" s="2"/>
      <c r="K250" s="2"/>
      <c r="L250" s="2"/>
      <c r="M250" s="2"/>
      <c r="N250" s="2"/>
    </row>
    <row r="251" spans="2:14" ht="15.75" customHeight="1">
      <c r="B251" s="2"/>
      <c r="C251" s="2"/>
      <c r="D251" s="2"/>
      <c r="E251" s="2"/>
      <c r="F251" s="2"/>
      <c r="G251" s="2"/>
      <c r="H251" s="2"/>
      <c r="I251" s="2"/>
      <c r="J251" s="2"/>
      <c r="K251" s="2"/>
      <c r="L251" s="2"/>
      <c r="M251" s="2"/>
      <c r="N251" s="2"/>
    </row>
    <row r="252" spans="2:14" ht="15.75" customHeight="1">
      <c r="B252" s="2"/>
      <c r="C252" s="2"/>
      <c r="D252" s="2"/>
      <c r="E252" s="2"/>
      <c r="F252" s="2"/>
      <c r="G252" s="2"/>
      <c r="H252" s="2"/>
      <c r="I252" s="2"/>
      <c r="J252" s="2"/>
      <c r="K252" s="2"/>
      <c r="L252" s="2"/>
      <c r="M252" s="2"/>
      <c r="N252" s="2"/>
    </row>
    <row r="253" spans="2:14" ht="15.75" customHeight="1">
      <c r="B253" s="2"/>
      <c r="C253" s="2"/>
      <c r="D253" s="2"/>
      <c r="E253" s="2"/>
      <c r="F253" s="2"/>
      <c r="G253" s="2"/>
      <c r="H253" s="2"/>
      <c r="I253" s="2"/>
      <c r="J253" s="2"/>
      <c r="K253" s="2"/>
      <c r="L253" s="2"/>
      <c r="M253" s="2"/>
      <c r="N253" s="2"/>
    </row>
    <row r="254" spans="2:14" ht="15.75" customHeight="1">
      <c r="B254" s="2"/>
      <c r="C254" s="2"/>
      <c r="D254" s="2"/>
      <c r="E254" s="2"/>
      <c r="F254" s="2"/>
      <c r="G254" s="2"/>
      <c r="H254" s="2"/>
      <c r="I254" s="2"/>
      <c r="J254" s="2"/>
      <c r="K254" s="2"/>
      <c r="L254" s="2"/>
      <c r="M254" s="2"/>
      <c r="N254" s="2"/>
    </row>
    <row r="255" spans="2:14" ht="15.75" customHeight="1">
      <c r="B255" s="2"/>
      <c r="C255" s="2"/>
      <c r="D255" s="2"/>
      <c r="E255" s="2"/>
      <c r="F255" s="2"/>
      <c r="G255" s="2"/>
      <c r="H255" s="2"/>
      <c r="I255" s="2"/>
      <c r="J255" s="2"/>
      <c r="K255" s="2"/>
      <c r="L255" s="2"/>
      <c r="M255" s="2"/>
      <c r="N255" s="2"/>
    </row>
    <row r="256" spans="2:14" ht="15.75" customHeight="1">
      <c r="B256" s="2"/>
      <c r="C256" s="2"/>
      <c r="D256" s="2"/>
      <c r="E256" s="2"/>
      <c r="F256" s="2"/>
      <c r="G256" s="2"/>
      <c r="H256" s="2"/>
      <c r="I256" s="2"/>
      <c r="J256" s="2"/>
      <c r="K256" s="2"/>
      <c r="L256" s="2"/>
      <c r="M256" s="2"/>
      <c r="N256" s="2"/>
    </row>
    <row r="257" spans="2:14" ht="15.75" customHeight="1">
      <c r="B257" s="2"/>
      <c r="C257" s="2"/>
      <c r="D257" s="2"/>
      <c r="E257" s="2"/>
      <c r="F257" s="2"/>
      <c r="G257" s="2"/>
      <c r="H257" s="2"/>
      <c r="I257" s="2"/>
      <c r="J257" s="2"/>
      <c r="K257" s="2"/>
      <c r="L257" s="2"/>
      <c r="M257" s="2"/>
      <c r="N257" s="2"/>
    </row>
    <row r="258" spans="2:14" ht="15.75" customHeight="1">
      <c r="B258" s="2"/>
      <c r="C258" s="2"/>
      <c r="D258" s="2"/>
      <c r="E258" s="2"/>
      <c r="F258" s="2"/>
      <c r="G258" s="2"/>
      <c r="H258" s="2"/>
      <c r="I258" s="2"/>
      <c r="J258" s="2"/>
      <c r="K258" s="2"/>
      <c r="L258" s="2"/>
      <c r="M258" s="2"/>
      <c r="N258" s="2"/>
    </row>
    <row r="259" spans="2:14" ht="15.75" customHeight="1">
      <c r="B259" s="2"/>
      <c r="C259" s="2"/>
      <c r="D259" s="2"/>
      <c r="E259" s="2"/>
      <c r="F259" s="2"/>
      <c r="G259" s="2"/>
      <c r="H259" s="2"/>
      <c r="I259" s="2"/>
      <c r="J259" s="2"/>
      <c r="K259" s="2"/>
      <c r="L259" s="2"/>
      <c r="M259" s="2"/>
      <c r="N259" s="2"/>
    </row>
    <row r="260" spans="2:14" ht="15.75" customHeight="1">
      <c r="B260" s="2"/>
      <c r="C260" s="2"/>
      <c r="D260" s="2"/>
      <c r="E260" s="2"/>
      <c r="F260" s="2"/>
      <c r="G260" s="2"/>
      <c r="H260" s="2"/>
      <c r="I260" s="2"/>
      <c r="J260" s="2"/>
      <c r="K260" s="2"/>
      <c r="L260" s="2"/>
      <c r="M260" s="2"/>
      <c r="N260" s="2"/>
    </row>
    <row r="261" spans="2:14" ht="15.75" customHeight="1">
      <c r="B261" s="2"/>
      <c r="C261" s="2"/>
      <c r="D261" s="2"/>
      <c r="E261" s="2"/>
      <c r="F261" s="2"/>
      <c r="G261" s="2"/>
      <c r="H261" s="2"/>
      <c r="I261" s="2"/>
      <c r="J261" s="2"/>
      <c r="K261" s="2"/>
      <c r="L261" s="2"/>
      <c r="M261" s="2"/>
      <c r="N261" s="2"/>
    </row>
    <row r="262" spans="2:14" ht="15.75" customHeight="1">
      <c r="B262" s="2"/>
      <c r="C262" s="2"/>
      <c r="D262" s="2"/>
      <c r="E262" s="2"/>
      <c r="F262" s="2"/>
      <c r="G262" s="2"/>
      <c r="H262" s="2"/>
      <c r="I262" s="2"/>
      <c r="J262" s="2"/>
      <c r="K262" s="2"/>
      <c r="L262" s="2"/>
      <c r="M262" s="2"/>
      <c r="N262" s="2"/>
    </row>
    <row r="263" spans="2:14" ht="15.75" customHeight="1">
      <c r="B263" s="2"/>
      <c r="C263" s="2"/>
      <c r="D263" s="2"/>
      <c r="E263" s="2"/>
      <c r="F263" s="2"/>
      <c r="G263" s="2"/>
      <c r="H263" s="2"/>
      <c r="I263" s="2"/>
      <c r="J263" s="2"/>
      <c r="K263" s="2"/>
      <c r="L263" s="2"/>
      <c r="M263" s="2"/>
      <c r="N263" s="2"/>
    </row>
    <row r="264" spans="2:14" ht="15.75" customHeight="1">
      <c r="B264" s="2"/>
      <c r="C264" s="2"/>
      <c r="D264" s="2"/>
      <c r="E264" s="2"/>
      <c r="F264" s="2"/>
      <c r="G264" s="2"/>
      <c r="H264" s="2"/>
      <c r="I264" s="2"/>
      <c r="J264" s="2"/>
      <c r="K264" s="2"/>
      <c r="L264" s="2"/>
      <c r="M264" s="2"/>
      <c r="N264" s="2"/>
    </row>
    <row r="265" spans="2:14" ht="15.75" customHeight="1">
      <c r="B265" s="2"/>
      <c r="C265" s="2"/>
      <c r="D265" s="2"/>
      <c r="E265" s="2"/>
      <c r="F265" s="2"/>
      <c r="G265" s="2"/>
      <c r="H265" s="2"/>
      <c r="I265" s="2"/>
      <c r="J265" s="2"/>
      <c r="K265" s="2"/>
      <c r="L265" s="2"/>
      <c r="M265" s="2"/>
      <c r="N265" s="2"/>
    </row>
    <row r="266" spans="2:14" ht="15.75" customHeight="1">
      <c r="B266" s="2"/>
      <c r="C266" s="2"/>
      <c r="D266" s="2"/>
      <c r="E266" s="2"/>
      <c r="F266" s="2"/>
      <c r="G266" s="2"/>
      <c r="H266" s="2"/>
      <c r="I266" s="2"/>
      <c r="J266" s="2"/>
      <c r="K266" s="2"/>
      <c r="L266" s="2"/>
      <c r="M266" s="2"/>
      <c r="N266" s="2"/>
    </row>
    <row r="267" spans="2:14" ht="15.75" customHeight="1">
      <c r="B267" s="2"/>
      <c r="C267" s="2"/>
      <c r="D267" s="2"/>
      <c r="E267" s="2"/>
      <c r="F267" s="2"/>
      <c r="G267" s="2"/>
      <c r="H267" s="2"/>
      <c r="I267" s="2"/>
      <c r="J267" s="2"/>
      <c r="K267" s="2"/>
      <c r="L267" s="2"/>
      <c r="M267" s="2"/>
      <c r="N267" s="2"/>
    </row>
    <row r="268" spans="2:14" ht="15.75" customHeight="1">
      <c r="B268" s="2"/>
      <c r="C268" s="2"/>
      <c r="D268" s="2"/>
      <c r="E268" s="2"/>
      <c r="F268" s="2"/>
      <c r="G268" s="2"/>
      <c r="H268" s="2"/>
      <c r="I268" s="2"/>
      <c r="J268" s="2"/>
      <c r="K268" s="2"/>
      <c r="L268" s="2"/>
      <c r="M268" s="2"/>
      <c r="N268" s="2"/>
    </row>
    <row r="269" spans="2:14" ht="15.75" customHeight="1">
      <c r="B269" s="2"/>
      <c r="C269" s="2"/>
      <c r="D269" s="2"/>
      <c r="E269" s="2"/>
      <c r="F269" s="2"/>
      <c r="G269" s="2"/>
      <c r="H269" s="2"/>
      <c r="I269" s="2"/>
      <c r="J269" s="2"/>
      <c r="K269" s="2"/>
      <c r="L269" s="2"/>
      <c r="M269" s="2"/>
      <c r="N269" s="2"/>
    </row>
    <row r="270" spans="2:14" ht="15.75" customHeight="1">
      <c r="B270" s="2"/>
      <c r="C270" s="2"/>
      <c r="D270" s="2"/>
      <c r="E270" s="2"/>
      <c r="F270" s="2"/>
      <c r="G270" s="2"/>
      <c r="H270" s="2"/>
      <c r="I270" s="2"/>
      <c r="J270" s="2"/>
      <c r="K270" s="2"/>
      <c r="L270" s="2"/>
      <c r="M270" s="2"/>
      <c r="N270" s="2"/>
    </row>
    <row r="271" spans="2:14" ht="15.75" customHeight="1">
      <c r="B271" s="2"/>
      <c r="C271" s="2"/>
      <c r="D271" s="2"/>
      <c r="E271" s="2"/>
      <c r="F271" s="2"/>
      <c r="G271" s="2"/>
      <c r="H271" s="2"/>
      <c r="I271" s="2"/>
      <c r="J271" s="2"/>
      <c r="K271" s="2"/>
      <c r="L271" s="2"/>
      <c r="M271" s="2"/>
      <c r="N271" s="2"/>
    </row>
    <row r="272" spans="2:14" ht="15.75" customHeight="1">
      <c r="B272" s="2"/>
      <c r="C272" s="2"/>
      <c r="D272" s="2"/>
      <c r="E272" s="2"/>
      <c r="F272" s="2"/>
      <c r="G272" s="2"/>
      <c r="H272" s="2"/>
      <c r="I272" s="2"/>
      <c r="J272" s="2"/>
      <c r="K272" s="2"/>
      <c r="L272" s="2"/>
      <c r="M272" s="2"/>
      <c r="N272" s="2"/>
    </row>
    <row r="273" spans="2:14" ht="15.75" customHeight="1">
      <c r="B273" s="2"/>
      <c r="C273" s="2"/>
      <c r="D273" s="2"/>
      <c r="E273" s="2"/>
      <c r="F273" s="2"/>
      <c r="G273" s="2"/>
      <c r="H273" s="2"/>
      <c r="I273" s="2"/>
      <c r="J273" s="2"/>
      <c r="K273" s="2"/>
      <c r="L273" s="2"/>
      <c r="M273" s="2"/>
      <c r="N273" s="2"/>
    </row>
    <row r="274" spans="2:14" ht="15.75" customHeight="1">
      <c r="B274" s="2"/>
      <c r="C274" s="2"/>
      <c r="D274" s="2"/>
      <c r="E274" s="2"/>
      <c r="F274" s="2"/>
      <c r="G274" s="2"/>
      <c r="H274" s="2"/>
      <c r="I274" s="2"/>
      <c r="J274" s="2"/>
      <c r="K274" s="2"/>
      <c r="L274" s="2"/>
      <c r="M274" s="2"/>
      <c r="N274" s="2"/>
    </row>
    <row r="275" spans="2:14" ht="15.75" customHeight="1">
      <c r="B275" s="2"/>
      <c r="C275" s="2"/>
      <c r="D275" s="2"/>
      <c r="E275" s="2"/>
      <c r="F275" s="2"/>
      <c r="G275" s="2"/>
      <c r="H275" s="2"/>
      <c r="I275" s="2"/>
      <c r="J275" s="2"/>
      <c r="K275" s="2"/>
      <c r="L275" s="2"/>
      <c r="M275" s="2"/>
      <c r="N275" s="2"/>
    </row>
    <row r="276" spans="2:14" ht="15.75" customHeight="1">
      <c r="B276" s="2"/>
      <c r="C276" s="2"/>
      <c r="D276" s="2"/>
      <c r="E276" s="2"/>
      <c r="F276" s="2"/>
      <c r="G276" s="2"/>
      <c r="H276" s="2"/>
      <c r="I276" s="2"/>
      <c r="J276" s="2"/>
      <c r="K276" s="2"/>
      <c r="L276" s="2"/>
      <c r="M276" s="2"/>
      <c r="N276" s="2"/>
    </row>
    <row r="277" spans="2:14" ht="15.75" customHeight="1">
      <c r="B277" s="2"/>
      <c r="C277" s="2"/>
      <c r="D277" s="2"/>
      <c r="E277" s="2"/>
      <c r="F277" s="2"/>
      <c r="G277" s="2"/>
      <c r="H277" s="2"/>
      <c r="I277" s="2"/>
      <c r="J277" s="2"/>
      <c r="K277" s="2"/>
      <c r="L277" s="2"/>
      <c r="M277" s="2"/>
      <c r="N277" s="2"/>
    </row>
    <row r="278" spans="2:14" ht="15.75" customHeight="1">
      <c r="B278" s="2"/>
      <c r="C278" s="2"/>
      <c r="D278" s="2"/>
      <c r="E278" s="2"/>
      <c r="F278" s="2"/>
      <c r="G278" s="2"/>
      <c r="H278" s="2"/>
      <c r="I278" s="2"/>
      <c r="J278" s="2"/>
      <c r="K278" s="2"/>
      <c r="L278" s="2"/>
      <c r="M278" s="2"/>
      <c r="N278" s="2"/>
    </row>
    <row r="279" spans="2:14" ht="15.75" customHeight="1">
      <c r="B279" s="2"/>
      <c r="C279" s="2"/>
      <c r="D279" s="2"/>
      <c r="E279" s="2"/>
      <c r="F279" s="2"/>
      <c r="G279" s="2"/>
      <c r="H279" s="2"/>
      <c r="I279" s="2"/>
      <c r="J279" s="2"/>
      <c r="K279" s="2"/>
      <c r="L279" s="2"/>
      <c r="M279" s="2"/>
      <c r="N279" s="2"/>
    </row>
    <row r="280" spans="2:14" ht="15.75" customHeight="1">
      <c r="B280" s="2"/>
      <c r="C280" s="2"/>
      <c r="D280" s="2"/>
      <c r="E280" s="2"/>
      <c r="F280" s="2"/>
      <c r="G280" s="2"/>
      <c r="H280" s="2"/>
      <c r="I280" s="2"/>
      <c r="J280" s="2"/>
      <c r="K280" s="2"/>
      <c r="L280" s="2"/>
      <c r="M280" s="2"/>
      <c r="N280" s="2"/>
    </row>
    <row r="281" spans="2:14" ht="15.75" customHeight="1">
      <c r="B281" s="2"/>
      <c r="C281" s="2"/>
      <c r="D281" s="2"/>
      <c r="E281" s="2"/>
      <c r="F281" s="2"/>
      <c r="G281" s="2"/>
      <c r="H281" s="2"/>
      <c r="I281" s="2"/>
      <c r="J281" s="2"/>
      <c r="K281" s="2"/>
      <c r="L281" s="2"/>
      <c r="M281" s="2"/>
      <c r="N281" s="2"/>
    </row>
    <row r="282" spans="2:14" ht="15.75" customHeight="1">
      <c r="B282" s="2"/>
      <c r="C282" s="2"/>
      <c r="D282" s="2"/>
      <c r="E282" s="2"/>
      <c r="F282" s="2"/>
      <c r="G282" s="2"/>
      <c r="H282" s="2"/>
      <c r="I282" s="2"/>
      <c r="J282" s="2"/>
      <c r="K282" s="2"/>
      <c r="L282" s="2"/>
      <c r="M282" s="2"/>
      <c r="N282" s="2"/>
    </row>
    <row r="283" spans="2:14" ht="15.75" customHeight="1">
      <c r="B283" s="2"/>
      <c r="C283" s="2"/>
      <c r="D283" s="2"/>
      <c r="E283" s="2"/>
      <c r="F283" s="2"/>
      <c r="G283" s="2"/>
      <c r="H283" s="2"/>
      <c r="I283" s="2"/>
      <c r="J283" s="2"/>
      <c r="K283" s="2"/>
      <c r="L283" s="2"/>
      <c r="M283" s="2"/>
      <c r="N283" s="2"/>
    </row>
    <row r="284" spans="2:14" ht="15.75" customHeight="1">
      <c r="B284" s="2"/>
      <c r="C284" s="2"/>
      <c r="D284" s="2"/>
      <c r="E284" s="2"/>
      <c r="F284" s="2"/>
      <c r="G284" s="2"/>
      <c r="H284" s="2"/>
      <c r="I284" s="2"/>
      <c r="J284" s="2"/>
      <c r="K284" s="2"/>
      <c r="L284" s="2"/>
      <c r="M284" s="2"/>
      <c r="N284" s="2"/>
    </row>
    <row r="285" spans="2:14" ht="15.75" customHeight="1">
      <c r="B285" s="2"/>
      <c r="C285" s="2"/>
      <c r="D285" s="2"/>
      <c r="E285" s="2"/>
      <c r="F285" s="2"/>
      <c r="G285" s="2"/>
      <c r="H285" s="2"/>
      <c r="I285" s="2"/>
      <c r="J285" s="2"/>
      <c r="K285" s="2"/>
      <c r="L285" s="2"/>
      <c r="M285" s="2"/>
      <c r="N285" s="2"/>
    </row>
    <row r="286" spans="2:14" ht="15.75" customHeight="1">
      <c r="B286" s="2"/>
      <c r="C286" s="2"/>
      <c r="D286" s="2"/>
      <c r="E286" s="2"/>
      <c r="F286" s="2"/>
      <c r="G286" s="2"/>
      <c r="H286" s="2"/>
      <c r="I286" s="2"/>
      <c r="J286" s="2"/>
      <c r="K286" s="2"/>
      <c r="L286" s="2"/>
      <c r="M286" s="2"/>
      <c r="N286" s="2"/>
    </row>
    <row r="287" spans="2:14" ht="15.75" customHeight="1">
      <c r="B287" s="2"/>
      <c r="C287" s="2"/>
      <c r="D287" s="2"/>
      <c r="E287" s="2"/>
      <c r="F287" s="2"/>
      <c r="G287" s="2"/>
      <c r="H287" s="2"/>
      <c r="I287" s="2"/>
      <c r="J287" s="2"/>
      <c r="K287" s="2"/>
      <c r="L287" s="2"/>
      <c r="M287" s="2"/>
      <c r="N287" s="2"/>
    </row>
    <row r="288" spans="2:14" ht="15.75" customHeight="1">
      <c r="B288" s="2"/>
      <c r="C288" s="2"/>
      <c r="D288" s="2"/>
      <c r="E288" s="2"/>
      <c r="F288" s="2"/>
      <c r="G288" s="2"/>
      <c r="H288" s="2"/>
      <c r="I288" s="2"/>
      <c r="J288" s="2"/>
      <c r="K288" s="2"/>
      <c r="L288" s="2"/>
      <c r="M288" s="2"/>
      <c r="N288" s="2"/>
    </row>
    <row r="289" spans="2:14" ht="15.75" customHeight="1">
      <c r="B289" s="2"/>
      <c r="C289" s="2"/>
      <c r="D289" s="2"/>
      <c r="E289" s="2"/>
      <c r="F289" s="2"/>
      <c r="G289" s="2"/>
      <c r="H289" s="2"/>
      <c r="I289" s="2"/>
      <c r="J289" s="2"/>
      <c r="K289" s="2"/>
      <c r="L289" s="2"/>
      <c r="M289" s="2"/>
      <c r="N289" s="2"/>
    </row>
    <row r="290" spans="2:14" ht="15.75" customHeight="1">
      <c r="B290" s="2"/>
      <c r="C290" s="2"/>
      <c r="D290" s="2"/>
      <c r="E290" s="2"/>
      <c r="F290" s="2"/>
      <c r="G290" s="2"/>
      <c r="H290" s="2"/>
      <c r="I290" s="2"/>
      <c r="J290" s="2"/>
      <c r="K290" s="2"/>
      <c r="L290" s="2"/>
      <c r="M290" s="2"/>
      <c r="N290" s="2"/>
    </row>
    <row r="291" spans="2:14" ht="15.75" customHeight="1">
      <c r="B291" s="2"/>
      <c r="C291" s="2"/>
      <c r="D291" s="2"/>
      <c r="E291" s="2"/>
      <c r="F291" s="2"/>
      <c r="G291" s="2"/>
      <c r="H291" s="2"/>
      <c r="I291" s="2"/>
      <c r="J291" s="2"/>
      <c r="K291" s="2"/>
      <c r="L291" s="2"/>
      <c r="M291" s="2"/>
      <c r="N291" s="2"/>
    </row>
    <row r="292" spans="2:14" ht="15.75" customHeight="1">
      <c r="B292" s="2"/>
      <c r="C292" s="2"/>
      <c r="D292" s="2"/>
      <c r="E292" s="2"/>
      <c r="F292" s="2"/>
      <c r="G292" s="2"/>
      <c r="H292" s="2"/>
      <c r="I292" s="2"/>
      <c r="J292" s="2"/>
      <c r="K292" s="2"/>
      <c r="L292" s="2"/>
      <c r="M292" s="2"/>
      <c r="N292" s="2"/>
    </row>
    <row r="293" spans="2:14" ht="15.75" customHeight="1">
      <c r="B293" s="2"/>
      <c r="C293" s="2"/>
      <c r="D293" s="2"/>
      <c r="E293" s="2"/>
      <c r="F293" s="2"/>
      <c r="G293" s="2"/>
      <c r="H293" s="2"/>
      <c r="I293" s="2"/>
      <c r="J293" s="2"/>
      <c r="K293" s="2"/>
      <c r="L293" s="2"/>
      <c r="M293" s="2"/>
      <c r="N293" s="2"/>
    </row>
    <row r="294" spans="2:14" ht="15.75" customHeight="1">
      <c r="B294" s="2"/>
      <c r="C294" s="2"/>
      <c r="D294" s="2"/>
      <c r="E294" s="2"/>
      <c r="F294" s="2"/>
      <c r="G294" s="2"/>
      <c r="H294" s="2"/>
      <c r="I294" s="2"/>
      <c r="J294" s="2"/>
      <c r="K294" s="2"/>
      <c r="L294" s="2"/>
      <c r="M294" s="2"/>
      <c r="N294" s="2"/>
    </row>
    <row r="295" spans="2:14" ht="15.75" customHeight="1">
      <c r="B295" s="2"/>
      <c r="C295" s="2"/>
      <c r="D295" s="2"/>
      <c r="E295" s="2"/>
      <c r="F295" s="2"/>
      <c r="G295" s="2"/>
      <c r="H295" s="2"/>
      <c r="I295" s="2"/>
      <c r="J295" s="2"/>
      <c r="K295" s="2"/>
      <c r="L295" s="2"/>
      <c r="M295" s="2"/>
      <c r="N295" s="2"/>
    </row>
    <row r="296" spans="2:14" ht="15.75" customHeight="1">
      <c r="B296" s="2"/>
      <c r="C296" s="2"/>
      <c r="D296" s="2"/>
      <c r="E296" s="2"/>
      <c r="F296" s="2"/>
      <c r="G296" s="2"/>
      <c r="H296" s="2"/>
      <c r="I296" s="2"/>
      <c r="J296" s="2"/>
      <c r="K296" s="2"/>
      <c r="L296" s="2"/>
      <c r="M296" s="2"/>
      <c r="N296" s="2"/>
    </row>
    <row r="297" spans="2:14" ht="15.75" customHeight="1">
      <c r="B297" s="2"/>
      <c r="C297" s="2"/>
      <c r="D297" s="2"/>
      <c r="E297" s="2"/>
      <c r="F297" s="2"/>
      <c r="G297" s="2"/>
      <c r="H297" s="2"/>
      <c r="I297" s="2"/>
      <c r="J297" s="2"/>
      <c r="K297" s="2"/>
      <c r="L297" s="2"/>
      <c r="M297" s="2"/>
      <c r="N297" s="2"/>
    </row>
    <row r="298" spans="2:14" ht="15.75" customHeight="1">
      <c r="B298" s="2"/>
      <c r="C298" s="2"/>
      <c r="D298" s="2"/>
      <c r="E298" s="2"/>
      <c r="F298" s="2"/>
      <c r="G298" s="2"/>
      <c r="H298" s="2"/>
      <c r="I298" s="2"/>
      <c r="J298" s="2"/>
      <c r="K298" s="2"/>
      <c r="L298" s="2"/>
      <c r="M298" s="2"/>
      <c r="N298" s="2"/>
    </row>
    <row r="299" spans="2:14" ht="15.75" customHeight="1">
      <c r="B299" s="2"/>
      <c r="C299" s="2"/>
      <c r="D299" s="2"/>
      <c r="E299" s="2"/>
      <c r="F299" s="2"/>
      <c r="G299" s="2"/>
      <c r="H299" s="2"/>
      <c r="I299" s="2"/>
      <c r="J299" s="2"/>
      <c r="K299" s="2"/>
      <c r="L299" s="2"/>
      <c r="M299" s="2"/>
      <c r="N299" s="2"/>
    </row>
    <row r="300" spans="2:14" ht="15.75" customHeight="1">
      <c r="B300" s="2"/>
      <c r="C300" s="2"/>
      <c r="D300" s="2"/>
      <c r="E300" s="2"/>
      <c r="F300" s="2"/>
      <c r="G300" s="2"/>
      <c r="H300" s="2"/>
      <c r="I300" s="2"/>
      <c r="J300" s="2"/>
      <c r="K300" s="2"/>
      <c r="L300" s="2"/>
      <c r="M300" s="2"/>
      <c r="N300" s="2"/>
    </row>
    <row r="301" spans="2:14" ht="15.75" customHeight="1">
      <c r="B301" s="2"/>
      <c r="C301" s="2"/>
      <c r="D301" s="2"/>
      <c r="E301" s="2"/>
      <c r="F301" s="2"/>
      <c r="G301" s="2"/>
      <c r="H301" s="2"/>
      <c r="I301" s="2"/>
      <c r="J301" s="2"/>
      <c r="K301" s="2"/>
      <c r="L301" s="2"/>
      <c r="M301" s="2"/>
      <c r="N301" s="2"/>
    </row>
    <row r="302" spans="2:14" ht="15.75" customHeight="1">
      <c r="B302" s="2"/>
      <c r="C302" s="2"/>
      <c r="D302" s="2"/>
      <c r="E302" s="2"/>
      <c r="F302" s="2"/>
      <c r="G302" s="2"/>
      <c r="H302" s="2"/>
      <c r="I302" s="2"/>
      <c r="J302" s="2"/>
      <c r="K302" s="2"/>
      <c r="L302" s="2"/>
      <c r="M302" s="2"/>
      <c r="N302" s="2"/>
    </row>
    <row r="303" spans="2:14" ht="15.75" customHeight="1">
      <c r="B303" s="2"/>
      <c r="C303" s="2"/>
      <c r="D303" s="2"/>
      <c r="E303" s="2"/>
      <c r="F303" s="2"/>
      <c r="G303" s="2"/>
      <c r="H303" s="2"/>
      <c r="I303" s="2"/>
      <c r="J303" s="2"/>
      <c r="K303" s="2"/>
      <c r="L303" s="2"/>
      <c r="M303" s="2"/>
      <c r="N303" s="2"/>
    </row>
    <row r="304" spans="2:14" ht="15.75" customHeight="1">
      <c r="B304" s="2"/>
      <c r="C304" s="2"/>
      <c r="D304" s="2"/>
      <c r="E304" s="2"/>
      <c r="F304" s="2"/>
      <c r="G304" s="2"/>
      <c r="H304" s="2"/>
      <c r="I304" s="2"/>
      <c r="J304" s="2"/>
      <c r="K304" s="2"/>
      <c r="L304" s="2"/>
      <c r="M304" s="2"/>
      <c r="N304" s="2"/>
    </row>
    <row r="305" spans="2:14" ht="15.75" customHeight="1">
      <c r="B305" s="2"/>
      <c r="C305" s="2"/>
      <c r="D305" s="2"/>
      <c r="E305" s="2"/>
      <c r="F305" s="2"/>
      <c r="G305" s="2"/>
      <c r="H305" s="2"/>
      <c r="I305" s="2"/>
      <c r="J305" s="2"/>
      <c r="K305" s="2"/>
      <c r="L305" s="2"/>
      <c r="M305" s="2"/>
      <c r="N305" s="2"/>
    </row>
    <row r="306" spans="2:14" ht="15.75" customHeight="1">
      <c r="B306" s="2"/>
      <c r="C306" s="2"/>
      <c r="D306" s="2"/>
      <c r="E306" s="2"/>
      <c r="F306" s="2"/>
      <c r="G306" s="2"/>
      <c r="H306" s="2"/>
      <c r="I306" s="2"/>
      <c r="J306" s="2"/>
      <c r="K306" s="2"/>
      <c r="L306" s="2"/>
      <c r="M306" s="2"/>
      <c r="N306" s="2"/>
    </row>
    <row r="307" spans="2:14" ht="15.75" customHeight="1">
      <c r="B307" s="2"/>
      <c r="C307" s="2"/>
      <c r="D307" s="2"/>
      <c r="E307" s="2"/>
      <c r="F307" s="2"/>
      <c r="G307" s="2"/>
      <c r="H307" s="2"/>
      <c r="I307" s="2"/>
      <c r="J307" s="2"/>
      <c r="K307" s="2"/>
      <c r="L307" s="2"/>
      <c r="M307" s="2"/>
      <c r="N307" s="2"/>
    </row>
    <row r="308" spans="2:14" ht="15.75" customHeight="1">
      <c r="B308" s="2"/>
      <c r="C308" s="2"/>
      <c r="D308" s="2"/>
      <c r="E308" s="2"/>
      <c r="F308" s="2"/>
      <c r="G308" s="2"/>
      <c r="H308" s="2"/>
      <c r="I308" s="2"/>
      <c r="J308" s="2"/>
      <c r="K308" s="2"/>
      <c r="L308" s="2"/>
      <c r="M308" s="2"/>
      <c r="N308" s="2"/>
    </row>
    <row r="309" spans="2:14" ht="15.75" customHeight="1">
      <c r="B309" s="2"/>
      <c r="C309" s="2"/>
      <c r="D309" s="2"/>
      <c r="E309" s="2"/>
      <c r="F309" s="2"/>
      <c r="G309" s="2"/>
      <c r="H309" s="2"/>
      <c r="I309" s="2"/>
      <c r="J309" s="2"/>
      <c r="K309" s="2"/>
      <c r="L309" s="2"/>
      <c r="M309" s="2"/>
      <c r="N309" s="2"/>
    </row>
    <row r="310" spans="2:14" ht="15.75" customHeight="1">
      <c r="B310" s="2"/>
      <c r="C310" s="2"/>
      <c r="D310" s="2"/>
      <c r="E310" s="2"/>
      <c r="F310" s="2"/>
      <c r="G310" s="2"/>
      <c r="H310" s="2"/>
      <c r="I310" s="2"/>
      <c r="J310" s="2"/>
      <c r="K310" s="2"/>
      <c r="L310" s="2"/>
      <c r="M310" s="2"/>
      <c r="N310" s="2"/>
    </row>
    <row r="311" spans="2:14" ht="15.75" customHeight="1">
      <c r="B311" s="2"/>
      <c r="C311" s="2"/>
      <c r="D311" s="2"/>
      <c r="E311" s="2"/>
      <c r="F311" s="2"/>
      <c r="G311" s="2"/>
      <c r="H311" s="2"/>
      <c r="I311" s="2"/>
      <c r="J311" s="2"/>
      <c r="K311" s="2"/>
      <c r="L311" s="2"/>
      <c r="M311" s="2"/>
      <c r="N311" s="2"/>
    </row>
    <row r="312" spans="2:14" ht="15.75" customHeight="1">
      <c r="B312" s="2"/>
      <c r="C312" s="2"/>
      <c r="D312" s="2"/>
      <c r="E312" s="2"/>
      <c r="F312" s="2"/>
      <c r="G312" s="2"/>
      <c r="H312" s="2"/>
      <c r="I312" s="2"/>
      <c r="J312" s="2"/>
      <c r="K312" s="2"/>
      <c r="L312" s="2"/>
      <c r="M312" s="2"/>
      <c r="N312" s="2"/>
    </row>
    <row r="313" spans="2:14" ht="15.75" customHeight="1">
      <c r="B313" s="2"/>
      <c r="C313" s="2"/>
      <c r="D313" s="2"/>
      <c r="E313" s="2"/>
      <c r="F313" s="2"/>
      <c r="G313" s="2"/>
      <c r="H313" s="2"/>
      <c r="I313" s="2"/>
      <c r="J313" s="2"/>
      <c r="K313" s="2"/>
      <c r="L313" s="2"/>
      <c r="M313" s="2"/>
      <c r="N313" s="2"/>
    </row>
    <row r="314" spans="2:14" ht="15.75" customHeight="1">
      <c r="B314" s="2"/>
      <c r="C314" s="2"/>
      <c r="D314" s="2"/>
      <c r="E314" s="2"/>
      <c r="F314" s="2"/>
      <c r="G314" s="2"/>
      <c r="H314" s="2"/>
      <c r="I314" s="2"/>
      <c r="J314" s="2"/>
      <c r="K314" s="2"/>
      <c r="L314" s="2"/>
      <c r="M314" s="2"/>
      <c r="N314" s="2"/>
    </row>
    <row r="315" spans="2:14" ht="15.75" customHeight="1">
      <c r="B315" s="2"/>
      <c r="C315" s="2"/>
      <c r="D315" s="2"/>
      <c r="E315" s="2"/>
      <c r="F315" s="2"/>
      <c r="G315" s="2"/>
      <c r="H315" s="2"/>
      <c r="I315" s="2"/>
      <c r="J315" s="2"/>
      <c r="K315" s="2"/>
      <c r="L315" s="2"/>
      <c r="M315" s="2"/>
      <c r="N315" s="2"/>
    </row>
    <row r="316" spans="2:14" ht="15.75" customHeight="1">
      <c r="B316" s="2"/>
      <c r="C316" s="2"/>
      <c r="D316" s="2"/>
      <c r="E316" s="2"/>
      <c r="F316" s="2"/>
      <c r="G316" s="2"/>
      <c r="H316" s="2"/>
      <c r="I316" s="2"/>
      <c r="J316" s="2"/>
      <c r="K316" s="2"/>
      <c r="L316" s="2"/>
      <c r="M316" s="2"/>
      <c r="N316" s="2"/>
    </row>
    <row r="317" spans="2:14" ht="15.75" customHeight="1">
      <c r="B317" s="2"/>
      <c r="C317" s="2"/>
      <c r="D317" s="2"/>
      <c r="E317" s="2"/>
      <c r="F317" s="2"/>
      <c r="G317" s="2"/>
      <c r="H317" s="2"/>
      <c r="I317" s="2"/>
      <c r="J317" s="2"/>
      <c r="K317" s="2"/>
      <c r="L317" s="2"/>
      <c r="M317" s="2"/>
      <c r="N317" s="2"/>
    </row>
    <row r="318" spans="2:14" ht="15.75" customHeight="1">
      <c r="B318" s="2"/>
      <c r="C318" s="2"/>
      <c r="D318" s="2"/>
      <c r="E318" s="2"/>
      <c r="F318" s="2"/>
      <c r="G318" s="2"/>
      <c r="H318" s="2"/>
      <c r="I318" s="2"/>
      <c r="J318" s="2"/>
      <c r="K318" s="2"/>
      <c r="L318" s="2"/>
      <c r="M318" s="2"/>
      <c r="N318" s="2"/>
    </row>
    <row r="319" spans="2:14" ht="15.75" customHeight="1">
      <c r="B319" s="2"/>
      <c r="C319" s="2"/>
      <c r="D319" s="2"/>
      <c r="E319" s="2"/>
      <c r="F319" s="2"/>
      <c r="G319" s="2"/>
      <c r="H319" s="2"/>
      <c r="I319" s="2"/>
      <c r="J319" s="2"/>
      <c r="K319" s="2"/>
      <c r="L319" s="2"/>
      <c r="M319" s="2"/>
      <c r="N319" s="2"/>
    </row>
    <row r="320" spans="2:14" ht="15.75" customHeight="1">
      <c r="B320" s="2"/>
      <c r="C320" s="2"/>
      <c r="D320" s="2"/>
      <c r="E320" s="2"/>
      <c r="F320" s="2"/>
      <c r="G320" s="2"/>
      <c r="H320" s="2"/>
      <c r="I320" s="2"/>
      <c r="J320" s="2"/>
      <c r="K320" s="2"/>
      <c r="L320" s="2"/>
      <c r="M320" s="2"/>
      <c r="N320" s="2"/>
    </row>
    <row r="321" spans="2:14" ht="15.75" customHeight="1">
      <c r="B321" s="2"/>
      <c r="C321" s="2"/>
      <c r="D321" s="2"/>
      <c r="E321" s="2"/>
      <c r="F321" s="2"/>
      <c r="G321" s="2"/>
      <c r="H321" s="2"/>
      <c r="I321" s="2"/>
      <c r="J321" s="2"/>
      <c r="K321" s="2"/>
      <c r="L321" s="2"/>
      <c r="M321" s="2"/>
      <c r="N321" s="2"/>
    </row>
    <row r="322" spans="2:14" ht="15.75" customHeight="1">
      <c r="B322" s="2"/>
      <c r="C322" s="2"/>
      <c r="D322" s="2"/>
      <c r="E322" s="2"/>
      <c r="F322" s="2"/>
      <c r="G322" s="2"/>
      <c r="H322" s="2"/>
      <c r="I322" s="2"/>
      <c r="J322" s="2"/>
      <c r="K322" s="2"/>
      <c r="L322" s="2"/>
      <c r="M322" s="2"/>
      <c r="N322" s="2"/>
    </row>
    <row r="323" spans="2:14" ht="15.75" customHeight="1">
      <c r="B323" s="2"/>
      <c r="C323" s="2"/>
      <c r="D323" s="2"/>
      <c r="E323" s="2"/>
      <c r="F323" s="2"/>
      <c r="G323" s="2"/>
      <c r="H323" s="2"/>
      <c r="I323" s="2"/>
      <c r="J323" s="2"/>
      <c r="K323" s="2"/>
      <c r="L323" s="2"/>
      <c r="M323" s="2"/>
      <c r="N323" s="2"/>
    </row>
    <row r="324" spans="2:14" ht="15.75" customHeight="1">
      <c r="B324" s="2"/>
      <c r="C324" s="2"/>
      <c r="D324" s="2"/>
      <c r="E324" s="2"/>
      <c r="F324" s="2"/>
      <c r="G324" s="2"/>
      <c r="H324" s="2"/>
      <c r="I324" s="2"/>
      <c r="J324" s="2"/>
      <c r="K324" s="2"/>
      <c r="L324" s="2"/>
      <c r="M324" s="2"/>
      <c r="N324" s="2"/>
    </row>
    <row r="325" spans="2:14" ht="15.75" customHeight="1">
      <c r="B325" s="2"/>
      <c r="C325" s="2"/>
      <c r="D325" s="2"/>
      <c r="E325" s="2"/>
      <c r="F325" s="2"/>
      <c r="G325" s="2"/>
      <c r="H325" s="2"/>
      <c r="I325" s="2"/>
      <c r="J325" s="2"/>
      <c r="K325" s="2"/>
      <c r="L325" s="2"/>
      <c r="M325" s="2"/>
      <c r="N325" s="2"/>
    </row>
    <row r="326" spans="2:14" ht="15.75" customHeight="1">
      <c r="B326" s="2"/>
      <c r="C326" s="2"/>
      <c r="D326" s="2"/>
      <c r="E326" s="2"/>
      <c r="F326" s="2"/>
      <c r="G326" s="2"/>
      <c r="H326" s="2"/>
      <c r="I326" s="2"/>
      <c r="J326" s="2"/>
      <c r="K326" s="2"/>
      <c r="L326" s="2"/>
      <c r="M326" s="2"/>
      <c r="N326" s="2"/>
    </row>
    <row r="327" spans="2:14" ht="15.75" customHeight="1">
      <c r="B327" s="2"/>
      <c r="C327" s="2"/>
      <c r="D327" s="2"/>
      <c r="E327" s="2"/>
      <c r="F327" s="2"/>
      <c r="G327" s="2"/>
      <c r="H327" s="2"/>
      <c r="I327" s="2"/>
      <c r="J327" s="2"/>
      <c r="K327" s="2"/>
      <c r="L327" s="2"/>
      <c r="M327" s="2"/>
      <c r="N327" s="2"/>
    </row>
    <row r="328" spans="2:14" ht="15.75" customHeight="1">
      <c r="B328" s="2"/>
      <c r="C328" s="2"/>
      <c r="D328" s="2"/>
      <c r="E328" s="2"/>
      <c r="F328" s="2"/>
      <c r="G328" s="2"/>
      <c r="H328" s="2"/>
      <c r="I328" s="2"/>
      <c r="J328" s="2"/>
      <c r="K328" s="2"/>
      <c r="L328" s="2"/>
      <c r="M328" s="2"/>
      <c r="N328" s="2"/>
    </row>
    <row r="329" spans="2:14" ht="15.75" customHeight="1">
      <c r="B329" s="2"/>
      <c r="C329" s="2"/>
      <c r="D329" s="2"/>
      <c r="E329" s="2"/>
      <c r="F329" s="2"/>
      <c r="G329" s="2"/>
      <c r="H329" s="2"/>
      <c r="I329" s="2"/>
      <c r="J329" s="2"/>
      <c r="K329" s="2"/>
      <c r="L329" s="2"/>
      <c r="M329" s="2"/>
      <c r="N329" s="2"/>
    </row>
    <row r="330" spans="2:14" ht="15.75" customHeight="1">
      <c r="B330" s="2"/>
      <c r="C330" s="2"/>
      <c r="D330" s="2"/>
      <c r="E330" s="2"/>
      <c r="F330" s="2"/>
      <c r="G330" s="2"/>
      <c r="H330" s="2"/>
      <c r="I330" s="2"/>
      <c r="J330" s="2"/>
      <c r="K330" s="2"/>
      <c r="L330" s="2"/>
      <c r="M330" s="2"/>
      <c r="N330" s="2"/>
    </row>
    <row r="331" spans="2:14" ht="15.75" customHeight="1">
      <c r="B331" s="2"/>
      <c r="C331" s="2"/>
      <c r="D331" s="2"/>
      <c r="E331" s="2"/>
      <c r="F331" s="2"/>
      <c r="G331" s="2"/>
      <c r="H331" s="2"/>
      <c r="I331" s="2"/>
      <c r="J331" s="2"/>
      <c r="K331" s="2"/>
      <c r="L331" s="2"/>
      <c r="M331" s="2"/>
      <c r="N331" s="2"/>
    </row>
    <row r="332" spans="2:14" ht="15.75" customHeight="1">
      <c r="B332" s="2"/>
      <c r="C332" s="2"/>
      <c r="D332" s="2"/>
      <c r="E332" s="2"/>
      <c r="F332" s="2"/>
      <c r="G332" s="2"/>
      <c r="H332" s="2"/>
      <c r="I332" s="2"/>
      <c r="J332" s="2"/>
      <c r="K332" s="2"/>
      <c r="L332" s="2"/>
      <c r="M332" s="2"/>
      <c r="N332" s="2"/>
    </row>
    <row r="333" spans="2:14" ht="15.75" customHeight="1">
      <c r="B333" s="2"/>
      <c r="C333" s="2"/>
      <c r="D333" s="2"/>
      <c r="E333" s="2"/>
      <c r="F333" s="2"/>
      <c r="G333" s="2"/>
      <c r="H333" s="2"/>
      <c r="I333" s="2"/>
      <c r="J333" s="2"/>
      <c r="K333" s="2"/>
      <c r="L333" s="2"/>
      <c r="M333" s="2"/>
      <c r="N333" s="2"/>
    </row>
    <row r="334" spans="2:14" ht="15.75" customHeight="1">
      <c r="B334" s="2"/>
      <c r="C334" s="2"/>
      <c r="D334" s="2"/>
      <c r="E334" s="2"/>
      <c r="F334" s="2"/>
      <c r="G334" s="2"/>
      <c r="H334" s="2"/>
      <c r="I334" s="2"/>
      <c r="J334" s="2"/>
      <c r="K334" s="2"/>
      <c r="L334" s="2"/>
      <c r="M334" s="2"/>
      <c r="N334" s="2"/>
    </row>
    <row r="335" spans="2:14" ht="15.75" customHeight="1">
      <c r="B335" s="2"/>
      <c r="C335" s="2"/>
      <c r="D335" s="2"/>
      <c r="E335" s="2"/>
      <c r="F335" s="2"/>
      <c r="G335" s="2"/>
      <c r="H335" s="2"/>
      <c r="I335" s="2"/>
      <c r="J335" s="2"/>
      <c r="K335" s="2"/>
      <c r="L335" s="2"/>
      <c r="M335" s="2"/>
      <c r="N335" s="2"/>
    </row>
    <row r="336" spans="2:14" ht="15.75" customHeight="1">
      <c r="B336" s="2"/>
      <c r="C336" s="2"/>
      <c r="D336" s="2"/>
      <c r="E336" s="2"/>
      <c r="F336" s="2"/>
      <c r="G336" s="2"/>
      <c r="H336" s="2"/>
      <c r="I336" s="2"/>
      <c r="J336" s="2"/>
      <c r="K336" s="2"/>
      <c r="L336" s="2"/>
      <c r="M336" s="2"/>
      <c r="N336" s="2"/>
    </row>
    <row r="337" spans="2:14" ht="15.75" customHeight="1">
      <c r="B337" s="2"/>
      <c r="C337" s="2"/>
      <c r="D337" s="2"/>
      <c r="E337" s="2"/>
      <c r="F337" s="2"/>
      <c r="G337" s="2"/>
      <c r="H337" s="2"/>
      <c r="I337" s="2"/>
      <c r="J337" s="2"/>
      <c r="K337" s="2"/>
      <c r="L337" s="2"/>
      <c r="M337" s="2"/>
      <c r="N337" s="2"/>
    </row>
    <row r="338" spans="2:14" ht="15.75" customHeight="1">
      <c r="B338" s="2"/>
      <c r="C338" s="2"/>
      <c r="D338" s="2"/>
      <c r="E338" s="2"/>
      <c r="F338" s="2"/>
      <c r="G338" s="2"/>
      <c r="H338" s="2"/>
      <c r="I338" s="2"/>
      <c r="J338" s="2"/>
      <c r="K338" s="2"/>
      <c r="L338" s="2"/>
      <c r="M338" s="2"/>
      <c r="N338" s="2"/>
    </row>
    <row r="339" spans="2:14" ht="15.75" customHeight="1">
      <c r="B339" s="2"/>
      <c r="C339" s="2"/>
      <c r="D339" s="2"/>
      <c r="E339" s="2"/>
      <c r="F339" s="2"/>
      <c r="G339" s="2"/>
      <c r="H339" s="2"/>
      <c r="I339" s="2"/>
      <c r="J339" s="2"/>
      <c r="K339" s="2"/>
      <c r="L339" s="2"/>
      <c r="M339" s="2"/>
      <c r="N339" s="2"/>
    </row>
    <row r="340" spans="2:14" ht="15.75" customHeight="1">
      <c r="B340" s="2"/>
      <c r="C340" s="2"/>
      <c r="D340" s="2"/>
      <c r="E340" s="2"/>
      <c r="F340" s="2"/>
      <c r="G340" s="2"/>
      <c r="H340" s="2"/>
      <c r="I340" s="2"/>
      <c r="J340" s="2"/>
      <c r="K340" s="2"/>
      <c r="L340" s="2"/>
      <c r="M340" s="2"/>
      <c r="N340" s="2"/>
    </row>
    <row r="341" spans="2:14" ht="15.75" customHeight="1">
      <c r="B341" s="2"/>
      <c r="C341" s="2"/>
      <c r="D341" s="2"/>
      <c r="E341" s="2"/>
      <c r="F341" s="2"/>
      <c r="G341" s="2"/>
      <c r="H341" s="2"/>
      <c r="I341" s="2"/>
      <c r="J341" s="2"/>
      <c r="K341" s="2"/>
      <c r="L341" s="2"/>
      <c r="M341" s="2"/>
      <c r="N341" s="2"/>
    </row>
    <row r="342" spans="2:14" ht="15.75" customHeight="1">
      <c r="B342" s="2"/>
      <c r="C342" s="2"/>
      <c r="D342" s="2"/>
      <c r="E342" s="2"/>
      <c r="F342" s="2"/>
      <c r="G342" s="2"/>
      <c r="H342" s="2"/>
      <c r="I342" s="2"/>
      <c r="J342" s="2"/>
      <c r="K342" s="2"/>
      <c r="L342" s="2"/>
      <c r="M342" s="2"/>
      <c r="N342" s="2"/>
    </row>
    <row r="343" spans="2:14" ht="15.75" customHeight="1">
      <c r="B343" s="2"/>
      <c r="C343" s="2"/>
      <c r="D343" s="2"/>
      <c r="E343" s="2"/>
      <c r="F343" s="2"/>
      <c r="G343" s="2"/>
      <c r="H343" s="2"/>
      <c r="I343" s="2"/>
      <c r="J343" s="2"/>
      <c r="K343" s="2"/>
      <c r="L343" s="2"/>
      <c r="M343" s="2"/>
      <c r="N343" s="2"/>
    </row>
    <row r="344" spans="2:14" ht="15.75" customHeight="1">
      <c r="B344" s="2"/>
      <c r="C344" s="2"/>
      <c r="D344" s="2"/>
      <c r="E344" s="2"/>
      <c r="F344" s="2"/>
      <c r="G344" s="2"/>
      <c r="H344" s="2"/>
      <c r="I344" s="2"/>
      <c r="J344" s="2"/>
      <c r="K344" s="2"/>
      <c r="L344" s="2"/>
      <c r="M344" s="2"/>
      <c r="N344" s="2"/>
    </row>
    <row r="345" spans="2:14" ht="15.75" customHeight="1">
      <c r="B345" s="2"/>
      <c r="C345" s="2"/>
      <c r="D345" s="2"/>
      <c r="E345" s="2"/>
      <c r="F345" s="2"/>
      <c r="G345" s="2"/>
      <c r="H345" s="2"/>
      <c r="I345" s="2"/>
      <c r="J345" s="2"/>
      <c r="K345" s="2"/>
      <c r="L345" s="2"/>
      <c r="M345" s="2"/>
      <c r="N345" s="2"/>
    </row>
    <row r="346" spans="2:14" ht="15.75" customHeight="1">
      <c r="B346" s="2"/>
      <c r="C346" s="2"/>
      <c r="D346" s="2"/>
      <c r="E346" s="2"/>
      <c r="F346" s="2"/>
      <c r="G346" s="2"/>
      <c r="H346" s="2"/>
      <c r="I346" s="2"/>
      <c r="J346" s="2"/>
      <c r="K346" s="2"/>
      <c r="L346" s="2"/>
      <c r="M346" s="2"/>
      <c r="N346" s="2"/>
    </row>
    <row r="347" spans="2:14" ht="15.75" customHeight="1">
      <c r="B347" s="2"/>
      <c r="C347" s="2"/>
      <c r="D347" s="2"/>
      <c r="E347" s="2"/>
      <c r="F347" s="2"/>
      <c r="G347" s="2"/>
      <c r="H347" s="2"/>
      <c r="I347" s="2"/>
      <c r="J347" s="2"/>
      <c r="K347" s="2"/>
      <c r="L347" s="2"/>
      <c r="M347" s="2"/>
      <c r="N347" s="2"/>
    </row>
    <row r="348" spans="2:14" ht="15.75" customHeight="1">
      <c r="B348" s="2"/>
      <c r="C348" s="2"/>
      <c r="D348" s="2"/>
      <c r="E348" s="2"/>
      <c r="F348" s="2"/>
      <c r="G348" s="2"/>
      <c r="H348" s="2"/>
      <c r="I348" s="2"/>
      <c r="J348" s="2"/>
      <c r="K348" s="2"/>
      <c r="L348" s="2"/>
      <c r="M348" s="2"/>
      <c r="N348" s="2"/>
    </row>
    <row r="349" spans="2:14" ht="15.75" customHeight="1">
      <c r="B349" s="2"/>
      <c r="C349" s="2"/>
      <c r="D349" s="2"/>
      <c r="E349" s="2"/>
      <c r="F349" s="2"/>
      <c r="G349" s="2"/>
      <c r="H349" s="2"/>
      <c r="I349" s="2"/>
      <c r="J349" s="2"/>
      <c r="K349" s="2"/>
      <c r="L349" s="2"/>
      <c r="M349" s="2"/>
      <c r="N349" s="2"/>
    </row>
    <row r="350" spans="2:14" ht="15.75" customHeight="1">
      <c r="B350" s="2"/>
      <c r="C350" s="2"/>
      <c r="D350" s="2"/>
      <c r="E350" s="2"/>
      <c r="F350" s="2"/>
      <c r="G350" s="2"/>
      <c r="H350" s="2"/>
      <c r="I350" s="2"/>
      <c r="J350" s="2"/>
      <c r="K350" s="2"/>
      <c r="L350" s="2"/>
      <c r="M350" s="2"/>
      <c r="N350" s="2"/>
    </row>
    <row r="351" spans="2:14" ht="15.75" customHeight="1">
      <c r="B351" s="2"/>
      <c r="C351" s="2"/>
      <c r="D351" s="2"/>
      <c r="E351" s="2"/>
      <c r="F351" s="2"/>
      <c r="G351" s="2"/>
      <c r="H351" s="2"/>
      <c r="I351" s="2"/>
      <c r="J351" s="2"/>
      <c r="K351" s="2"/>
      <c r="L351" s="2"/>
      <c r="M351" s="2"/>
      <c r="N351" s="2"/>
    </row>
    <row r="352" spans="2:14" ht="15.75" customHeight="1">
      <c r="B352" s="2"/>
      <c r="C352" s="2"/>
      <c r="D352" s="2"/>
      <c r="E352" s="2"/>
      <c r="F352" s="2"/>
      <c r="G352" s="2"/>
      <c r="H352" s="2"/>
      <c r="I352" s="2"/>
      <c r="J352" s="2"/>
      <c r="K352" s="2"/>
      <c r="L352" s="2"/>
      <c r="M352" s="2"/>
      <c r="N352" s="2"/>
    </row>
    <row r="353" spans="2:14" ht="15.75" customHeight="1">
      <c r="B353" s="2"/>
      <c r="C353" s="2"/>
      <c r="D353" s="2"/>
      <c r="E353" s="2"/>
      <c r="F353" s="2"/>
      <c r="G353" s="2"/>
      <c r="H353" s="2"/>
      <c r="I353" s="2"/>
      <c r="J353" s="2"/>
      <c r="K353" s="2"/>
      <c r="L353" s="2"/>
      <c r="M353" s="2"/>
      <c r="N353" s="2"/>
    </row>
    <row r="354" spans="2:14" ht="15.75" customHeight="1">
      <c r="B354" s="2"/>
      <c r="C354" s="2"/>
      <c r="D354" s="2"/>
      <c r="E354" s="2"/>
      <c r="F354" s="2"/>
      <c r="G354" s="2"/>
      <c r="H354" s="2"/>
      <c r="I354" s="2"/>
      <c r="J354" s="2"/>
      <c r="K354" s="2"/>
      <c r="L354" s="2"/>
      <c r="M354" s="2"/>
      <c r="N354" s="2"/>
    </row>
    <row r="355" spans="2:14" ht="15.75" customHeight="1">
      <c r="B355" s="2"/>
      <c r="C355" s="2"/>
      <c r="D355" s="2"/>
      <c r="E355" s="2"/>
      <c r="F355" s="2"/>
      <c r="G355" s="2"/>
      <c r="H355" s="2"/>
      <c r="I355" s="2"/>
      <c r="J355" s="2"/>
      <c r="K355" s="2"/>
      <c r="L355" s="2"/>
      <c r="M355" s="2"/>
      <c r="N355" s="2"/>
    </row>
    <row r="356" spans="2:14" ht="15.75" customHeight="1">
      <c r="B356" s="2"/>
      <c r="C356" s="2"/>
      <c r="D356" s="2"/>
      <c r="E356" s="2"/>
      <c r="F356" s="2"/>
      <c r="G356" s="2"/>
      <c r="H356" s="2"/>
      <c r="I356" s="2"/>
      <c r="J356" s="2"/>
      <c r="K356" s="2"/>
      <c r="L356" s="2"/>
      <c r="M356" s="2"/>
      <c r="N356" s="2"/>
    </row>
    <row r="357" spans="2:14" ht="15.75" customHeight="1">
      <c r="B357" s="2"/>
      <c r="C357" s="2"/>
      <c r="D357" s="2"/>
      <c r="E357" s="2"/>
      <c r="F357" s="2"/>
      <c r="G357" s="2"/>
      <c r="H357" s="2"/>
      <c r="I357" s="2"/>
      <c r="J357" s="2"/>
      <c r="K357" s="2"/>
      <c r="L357" s="2"/>
      <c r="M357" s="2"/>
      <c r="N357" s="2"/>
    </row>
    <row r="358" spans="2:14" ht="15.75" customHeight="1">
      <c r="B358" s="2"/>
      <c r="C358" s="2"/>
      <c r="D358" s="2"/>
      <c r="E358" s="2"/>
      <c r="F358" s="2"/>
      <c r="G358" s="2"/>
      <c r="H358" s="2"/>
      <c r="I358" s="2"/>
      <c r="J358" s="2"/>
      <c r="K358" s="2"/>
      <c r="L358" s="2"/>
      <c r="M358" s="2"/>
      <c r="N358" s="2"/>
    </row>
    <row r="359" spans="2:14" ht="15.75" customHeight="1">
      <c r="B359" s="2"/>
      <c r="C359" s="2"/>
      <c r="D359" s="2"/>
      <c r="E359" s="2"/>
      <c r="F359" s="2"/>
      <c r="G359" s="2"/>
      <c r="H359" s="2"/>
      <c r="I359" s="2"/>
      <c r="J359" s="2"/>
      <c r="K359" s="2"/>
      <c r="L359" s="2"/>
      <c r="M359" s="2"/>
      <c r="N359" s="2"/>
    </row>
    <row r="360" spans="2:14" ht="15.75" customHeight="1">
      <c r="B360" s="2"/>
      <c r="C360" s="2"/>
      <c r="D360" s="2"/>
      <c r="E360" s="2"/>
      <c r="F360" s="2"/>
      <c r="G360" s="2"/>
      <c r="H360" s="2"/>
      <c r="I360" s="2"/>
      <c r="J360" s="2"/>
      <c r="K360" s="2"/>
      <c r="L360" s="2"/>
      <c r="M360" s="2"/>
      <c r="N360" s="2"/>
    </row>
    <row r="361" spans="2:14" ht="15.75" customHeight="1">
      <c r="B361" s="2"/>
      <c r="C361" s="2"/>
      <c r="D361" s="2"/>
      <c r="E361" s="2"/>
      <c r="F361" s="2"/>
      <c r="G361" s="2"/>
      <c r="H361" s="2"/>
      <c r="I361" s="2"/>
      <c r="J361" s="2"/>
      <c r="K361" s="2"/>
      <c r="L361" s="2"/>
      <c r="M361" s="2"/>
      <c r="N361" s="2"/>
    </row>
    <row r="362" spans="2:14" ht="15.75" customHeight="1">
      <c r="B362" s="2"/>
      <c r="C362" s="2"/>
      <c r="D362" s="2"/>
      <c r="E362" s="2"/>
      <c r="F362" s="2"/>
      <c r="G362" s="2"/>
      <c r="H362" s="2"/>
      <c r="I362" s="2"/>
      <c r="J362" s="2"/>
      <c r="K362" s="2"/>
      <c r="L362" s="2"/>
      <c r="M362" s="2"/>
      <c r="N362" s="2"/>
    </row>
    <row r="363" spans="2:14" ht="15.75" customHeight="1">
      <c r="B363" s="2"/>
      <c r="C363" s="2"/>
      <c r="D363" s="2"/>
      <c r="E363" s="2"/>
      <c r="F363" s="2"/>
      <c r="G363" s="2"/>
      <c r="H363" s="2"/>
      <c r="I363" s="2"/>
      <c r="J363" s="2"/>
      <c r="K363" s="2"/>
      <c r="L363" s="2"/>
      <c r="M363" s="2"/>
      <c r="N363" s="2"/>
    </row>
    <row r="364" spans="2:14" ht="15.75" customHeight="1">
      <c r="B364" s="2"/>
      <c r="C364" s="2"/>
      <c r="D364" s="2"/>
      <c r="E364" s="2"/>
      <c r="F364" s="2"/>
      <c r="G364" s="2"/>
      <c r="H364" s="2"/>
      <c r="I364" s="2"/>
      <c r="J364" s="2"/>
      <c r="K364" s="2"/>
      <c r="L364" s="2"/>
      <c r="M364" s="2"/>
      <c r="N364" s="2"/>
    </row>
    <row r="365" spans="2:14" ht="15.75" customHeight="1">
      <c r="B365" s="2"/>
      <c r="C365" s="2"/>
      <c r="D365" s="2"/>
      <c r="E365" s="2"/>
      <c r="F365" s="2"/>
      <c r="G365" s="2"/>
      <c r="H365" s="2"/>
      <c r="I365" s="2"/>
      <c r="J365" s="2"/>
      <c r="K365" s="2"/>
      <c r="L365" s="2"/>
      <c r="M365" s="2"/>
      <c r="N365" s="2"/>
    </row>
    <row r="366" spans="2:14" ht="15.75" customHeight="1">
      <c r="B366" s="2"/>
      <c r="C366" s="2"/>
      <c r="D366" s="2"/>
      <c r="E366" s="2"/>
      <c r="F366" s="2"/>
      <c r="G366" s="2"/>
      <c r="H366" s="2"/>
      <c r="I366" s="2"/>
      <c r="J366" s="2"/>
      <c r="K366" s="2"/>
      <c r="L366" s="2"/>
      <c r="M366" s="2"/>
      <c r="N366" s="2"/>
    </row>
    <row r="367" spans="2:14" ht="15.75" customHeight="1">
      <c r="B367" s="2"/>
      <c r="C367" s="2"/>
      <c r="D367" s="2"/>
      <c r="E367" s="2"/>
      <c r="F367" s="2"/>
      <c r="G367" s="2"/>
      <c r="H367" s="2"/>
      <c r="I367" s="2"/>
      <c r="J367" s="2"/>
      <c r="K367" s="2"/>
      <c r="L367" s="2"/>
      <c r="M367" s="2"/>
      <c r="N367" s="2"/>
    </row>
    <row r="368" spans="2:14" ht="15.75" customHeight="1">
      <c r="B368" s="2"/>
      <c r="C368" s="2"/>
      <c r="D368" s="2"/>
      <c r="E368" s="2"/>
      <c r="F368" s="2"/>
      <c r="G368" s="2"/>
      <c r="H368" s="2"/>
      <c r="I368" s="2"/>
      <c r="J368" s="2"/>
      <c r="K368" s="2"/>
      <c r="L368" s="2"/>
      <c r="M368" s="2"/>
      <c r="N368" s="2"/>
    </row>
    <row r="369" spans="2:14" ht="15.75" customHeight="1">
      <c r="B369" s="2"/>
      <c r="C369" s="2"/>
      <c r="D369" s="2"/>
      <c r="E369" s="2"/>
      <c r="F369" s="2"/>
      <c r="G369" s="2"/>
      <c r="H369" s="2"/>
      <c r="I369" s="2"/>
      <c r="J369" s="2"/>
      <c r="K369" s="2"/>
      <c r="L369" s="2"/>
      <c r="M369" s="2"/>
      <c r="N369" s="2"/>
    </row>
    <row r="370" spans="2:14" ht="15.75" customHeight="1">
      <c r="B370" s="2"/>
      <c r="C370" s="2"/>
      <c r="D370" s="2"/>
      <c r="E370" s="2"/>
      <c r="F370" s="2"/>
      <c r="G370" s="2"/>
      <c r="H370" s="2"/>
      <c r="I370" s="2"/>
      <c r="J370" s="2"/>
      <c r="K370" s="2"/>
      <c r="L370" s="2"/>
      <c r="M370" s="2"/>
      <c r="N370" s="2"/>
    </row>
    <row r="371" spans="2:14" ht="15.75" customHeight="1">
      <c r="B371" s="2"/>
      <c r="C371" s="2"/>
      <c r="D371" s="2"/>
      <c r="E371" s="2"/>
      <c r="F371" s="2"/>
      <c r="G371" s="2"/>
      <c r="H371" s="2"/>
      <c r="I371" s="2"/>
      <c r="J371" s="2"/>
      <c r="K371" s="2"/>
      <c r="L371" s="2"/>
      <c r="M371" s="2"/>
      <c r="N371" s="2"/>
    </row>
    <row r="372" spans="2:14" ht="15.75" customHeight="1">
      <c r="B372" s="2"/>
      <c r="C372" s="2"/>
      <c r="D372" s="2"/>
      <c r="E372" s="2"/>
      <c r="F372" s="2"/>
      <c r="G372" s="2"/>
      <c r="H372" s="2"/>
      <c r="I372" s="2"/>
      <c r="J372" s="2"/>
      <c r="K372" s="2"/>
      <c r="L372" s="2"/>
      <c r="M372" s="2"/>
      <c r="N372" s="2"/>
    </row>
    <row r="373" spans="2:14" ht="15.75" customHeight="1">
      <c r="B373" s="2"/>
      <c r="C373" s="2"/>
      <c r="D373" s="2"/>
      <c r="E373" s="2"/>
      <c r="F373" s="2"/>
      <c r="G373" s="2"/>
      <c r="H373" s="2"/>
      <c r="I373" s="2"/>
      <c r="J373" s="2"/>
      <c r="K373" s="2"/>
      <c r="L373" s="2"/>
      <c r="M373" s="2"/>
      <c r="N373" s="2"/>
    </row>
    <row r="374" spans="2:14" ht="15.75" customHeight="1">
      <c r="B374" s="2"/>
      <c r="C374" s="2"/>
      <c r="D374" s="2"/>
      <c r="E374" s="2"/>
      <c r="F374" s="2"/>
      <c r="G374" s="2"/>
      <c r="H374" s="2"/>
      <c r="I374" s="2"/>
      <c r="J374" s="2"/>
      <c r="K374" s="2"/>
      <c r="L374" s="2"/>
      <c r="M374" s="2"/>
      <c r="N374" s="2"/>
    </row>
    <row r="375" spans="2:14" ht="15.75" customHeight="1">
      <c r="B375" s="2"/>
      <c r="C375" s="2"/>
      <c r="D375" s="2"/>
      <c r="E375" s="2"/>
      <c r="F375" s="2"/>
      <c r="G375" s="2"/>
      <c r="H375" s="2"/>
      <c r="I375" s="2"/>
      <c r="J375" s="2"/>
      <c r="K375" s="2"/>
      <c r="L375" s="2"/>
      <c r="M375" s="2"/>
      <c r="N375" s="2"/>
    </row>
    <row r="376" spans="2:14" ht="15.75" customHeight="1">
      <c r="B376" s="2"/>
      <c r="C376" s="2"/>
      <c r="D376" s="2"/>
      <c r="E376" s="2"/>
      <c r="F376" s="2"/>
      <c r="G376" s="2"/>
      <c r="H376" s="2"/>
      <c r="I376" s="2"/>
      <c r="J376" s="2"/>
      <c r="K376" s="2"/>
      <c r="L376" s="2"/>
      <c r="M376" s="2"/>
      <c r="N376" s="2"/>
    </row>
    <row r="377" spans="2:14" ht="15.75" customHeight="1">
      <c r="B377" s="2"/>
      <c r="C377" s="2"/>
      <c r="D377" s="2"/>
      <c r="E377" s="2"/>
      <c r="F377" s="2"/>
      <c r="G377" s="2"/>
      <c r="H377" s="2"/>
      <c r="I377" s="2"/>
      <c r="J377" s="2"/>
      <c r="K377" s="2"/>
      <c r="L377" s="2"/>
      <c r="M377" s="2"/>
      <c r="N377" s="2"/>
    </row>
    <row r="378" spans="2:14" ht="15.75" customHeight="1">
      <c r="B378" s="2"/>
      <c r="C378" s="2"/>
      <c r="D378" s="2"/>
      <c r="E378" s="2"/>
      <c r="F378" s="2"/>
      <c r="G378" s="2"/>
      <c r="H378" s="2"/>
      <c r="I378" s="2"/>
      <c r="J378" s="2"/>
      <c r="K378" s="2"/>
      <c r="L378" s="2"/>
      <c r="M378" s="2"/>
      <c r="N378" s="2"/>
    </row>
    <row r="379" spans="2:14" ht="15.75" customHeight="1">
      <c r="B379" s="2"/>
      <c r="C379" s="2"/>
      <c r="D379" s="2"/>
      <c r="E379" s="2"/>
      <c r="F379" s="2"/>
      <c r="G379" s="2"/>
      <c r="H379" s="2"/>
      <c r="I379" s="2"/>
      <c r="J379" s="2"/>
      <c r="K379" s="2"/>
      <c r="L379" s="2"/>
      <c r="M379" s="2"/>
      <c r="N379" s="2"/>
    </row>
    <row r="380" spans="2:14" ht="15.75" customHeight="1">
      <c r="B380" s="2"/>
      <c r="C380" s="2"/>
      <c r="D380" s="2"/>
      <c r="E380" s="2"/>
      <c r="F380" s="2"/>
      <c r="G380" s="2"/>
      <c r="H380" s="2"/>
      <c r="I380" s="2"/>
      <c r="J380" s="2"/>
      <c r="K380" s="2"/>
      <c r="L380" s="2"/>
      <c r="M380" s="2"/>
      <c r="N380" s="2"/>
    </row>
    <row r="381" spans="2:14" ht="15.75" customHeight="1">
      <c r="B381" s="2"/>
      <c r="C381" s="2"/>
      <c r="D381" s="2"/>
      <c r="E381" s="2"/>
      <c r="F381" s="2"/>
      <c r="G381" s="2"/>
      <c r="H381" s="2"/>
      <c r="I381" s="2"/>
      <c r="J381" s="2"/>
      <c r="K381" s="2"/>
      <c r="L381" s="2"/>
      <c r="M381" s="2"/>
      <c r="N381" s="2"/>
    </row>
    <row r="382" spans="2:14" ht="15.75" customHeight="1">
      <c r="B382" s="2"/>
      <c r="C382" s="2"/>
      <c r="D382" s="2"/>
      <c r="E382" s="2"/>
      <c r="F382" s="2"/>
      <c r="G382" s="2"/>
      <c r="H382" s="2"/>
      <c r="I382" s="2"/>
      <c r="J382" s="2"/>
      <c r="K382" s="2"/>
      <c r="L382" s="2"/>
      <c r="M382" s="2"/>
      <c r="N382" s="2"/>
    </row>
    <row r="383" spans="2:14" ht="15.75" customHeight="1">
      <c r="B383" s="2"/>
      <c r="C383" s="2"/>
      <c r="D383" s="2"/>
      <c r="E383" s="2"/>
      <c r="F383" s="2"/>
      <c r="G383" s="2"/>
      <c r="H383" s="2"/>
      <c r="I383" s="2"/>
      <c r="J383" s="2"/>
      <c r="K383" s="2"/>
      <c r="L383" s="2"/>
      <c r="M383" s="2"/>
      <c r="N383" s="2"/>
    </row>
    <row r="384" spans="2:14" ht="15.75" customHeight="1">
      <c r="B384" s="2"/>
      <c r="C384" s="2"/>
      <c r="D384" s="2"/>
      <c r="E384" s="2"/>
      <c r="F384" s="2"/>
      <c r="G384" s="2"/>
      <c r="H384" s="2"/>
      <c r="I384" s="2"/>
      <c r="J384" s="2"/>
      <c r="K384" s="2"/>
      <c r="L384" s="2"/>
      <c r="M384" s="2"/>
      <c r="N384" s="2"/>
    </row>
    <row r="385" spans="2:14" ht="15.75" customHeight="1">
      <c r="B385" s="2"/>
      <c r="C385" s="2"/>
      <c r="D385" s="2"/>
      <c r="E385" s="2"/>
      <c r="F385" s="2"/>
      <c r="G385" s="2"/>
      <c r="H385" s="2"/>
      <c r="I385" s="2"/>
      <c r="J385" s="2"/>
      <c r="K385" s="2"/>
      <c r="L385" s="2"/>
      <c r="M385" s="2"/>
      <c r="N385" s="2"/>
    </row>
    <row r="386" spans="2:14" ht="15.75" customHeight="1">
      <c r="B386" s="2"/>
      <c r="C386" s="2"/>
      <c r="D386" s="2"/>
      <c r="E386" s="2"/>
      <c r="F386" s="2"/>
      <c r="G386" s="2"/>
      <c r="H386" s="2"/>
      <c r="I386" s="2"/>
      <c r="J386" s="2"/>
      <c r="K386" s="2"/>
      <c r="L386" s="2"/>
      <c r="M386" s="2"/>
      <c r="N386" s="2"/>
    </row>
    <row r="387" spans="2:14" ht="15.75" customHeight="1">
      <c r="B387" s="2"/>
      <c r="C387" s="2"/>
      <c r="D387" s="2"/>
      <c r="E387" s="2"/>
      <c r="F387" s="2"/>
      <c r="G387" s="2"/>
      <c r="H387" s="2"/>
      <c r="I387" s="2"/>
      <c r="J387" s="2"/>
      <c r="K387" s="2"/>
      <c r="L387" s="2"/>
      <c r="M387" s="2"/>
      <c r="N387" s="2"/>
    </row>
    <row r="388" spans="2:14" ht="15.75" customHeight="1">
      <c r="B388" s="2"/>
      <c r="C388" s="2"/>
      <c r="D388" s="2"/>
      <c r="E388" s="2"/>
      <c r="F388" s="2"/>
      <c r="G388" s="2"/>
      <c r="H388" s="2"/>
      <c r="I388" s="2"/>
      <c r="J388" s="2"/>
      <c r="K388" s="2"/>
      <c r="L388" s="2"/>
      <c r="M388" s="2"/>
      <c r="N388" s="2"/>
    </row>
    <row r="389" spans="2:14" ht="15.75" customHeight="1">
      <c r="B389" s="2"/>
      <c r="C389" s="2"/>
      <c r="D389" s="2"/>
      <c r="E389" s="2"/>
      <c r="F389" s="2"/>
      <c r="G389" s="2"/>
      <c r="H389" s="2"/>
      <c r="I389" s="2"/>
      <c r="J389" s="2"/>
      <c r="K389" s="2"/>
      <c r="L389" s="2"/>
      <c r="M389" s="2"/>
      <c r="N389" s="2"/>
    </row>
    <row r="390" spans="2:14" ht="15.75" customHeight="1">
      <c r="B390" s="2"/>
      <c r="C390" s="2"/>
      <c r="D390" s="2"/>
      <c r="E390" s="2"/>
      <c r="F390" s="2"/>
      <c r="G390" s="2"/>
      <c r="H390" s="2"/>
      <c r="I390" s="2"/>
      <c r="J390" s="2"/>
      <c r="K390" s="2"/>
      <c r="L390" s="2"/>
      <c r="M390" s="2"/>
      <c r="N390" s="2"/>
    </row>
    <row r="391" spans="2:14" ht="15.75" customHeight="1">
      <c r="B391" s="2"/>
      <c r="C391" s="2"/>
      <c r="D391" s="2"/>
      <c r="E391" s="2"/>
      <c r="F391" s="2"/>
      <c r="G391" s="2"/>
      <c r="H391" s="2"/>
      <c r="I391" s="2"/>
      <c r="J391" s="2"/>
      <c r="K391" s="2"/>
      <c r="L391" s="2"/>
      <c r="M391" s="2"/>
      <c r="N391" s="2"/>
    </row>
    <row r="392" spans="2:14" ht="15.75" customHeight="1">
      <c r="B392" s="2"/>
      <c r="C392" s="2"/>
      <c r="D392" s="2"/>
      <c r="E392" s="2"/>
      <c r="F392" s="2"/>
      <c r="G392" s="2"/>
      <c r="H392" s="2"/>
      <c r="I392" s="2"/>
      <c r="J392" s="2"/>
      <c r="K392" s="2"/>
      <c r="L392" s="2"/>
      <c r="M392" s="2"/>
      <c r="N392" s="2"/>
    </row>
    <row r="393" spans="2:14" ht="15.75" customHeight="1">
      <c r="B393" s="2"/>
      <c r="C393" s="2"/>
      <c r="D393" s="2"/>
      <c r="E393" s="2"/>
      <c r="F393" s="2"/>
      <c r="G393" s="2"/>
      <c r="H393" s="2"/>
      <c r="I393" s="2"/>
      <c r="J393" s="2"/>
      <c r="K393" s="2"/>
      <c r="L393" s="2"/>
      <c r="M393" s="2"/>
      <c r="N393" s="2"/>
    </row>
    <row r="394" spans="2:14" ht="15.75" customHeight="1">
      <c r="B394" s="2"/>
      <c r="C394" s="2"/>
      <c r="D394" s="2"/>
      <c r="E394" s="2"/>
      <c r="F394" s="2"/>
      <c r="G394" s="2"/>
      <c r="H394" s="2"/>
      <c r="I394" s="2"/>
      <c r="J394" s="2"/>
      <c r="K394" s="2"/>
      <c r="L394" s="2"/>
      <c r="M394" s="2"/>
      <c r="N394" s="2"/>
    </row>
    <row r="395" spans="2:14" ht="15.75" customHeight="1">
      <c r="B395" s="2"/>
      <c r="C395" s="2"/>
      <c r="D395" s="2"/>
      <c r="E395" s="2"/>
      <c r="F395" s="2"/>
      <c r="G395" s="2"/>
      <c r="H395" s="2"/>
      <c r="I395" s="2"/>
      <c r="J395" s="2"/>
      <c r="K395" s="2"/>
      <c r="L395" s="2"/>
      <c r="M395" s="2"/>
      <c r="N395" s="2"/>
    </row>
    <row r="396" spans="2:14" ht="15.75" customHeight="1">
      <c r="B396" s="2"/>
      <c r="C396" s="2"/>
      <c r="D396" s="2"/>
      <c r="E396" s="2"/>
      <c r="F396" s="2"/>
      <c r="G396" s="2"/>
      <c r="H396" s="2"/>
      <c r="I396" s="2"/>
      <c r="J396" s="2"/>
      <c r="K396" s="2"/>
      <c r="L396" s="2"/>
      <c r="M396" s="2"/>
      <c r="N396" s="2"/>
    </row>
    <row r="397" spans="2:14" ht="15.75" customHeight="1">
      <c r="B397" s="2"/>
      <c r="C397" s="2"/>
      <c r="D397" s="2"/>
      <c r="E397" s="2"/>
      <c r="F397" s="2"/>
      <c r="G397" s="2"/>
      <c r="H397" s="2"/>
      <c r="I397" s="2"/>
      <c r="J397" s="2"/>
      <c r="K397" s="2"/>
      <c r="L397" s="2"/>
      <c r="M397" s="2"/>
      <c r="N397" s="2"/>
    </row>
    <row r="398" spans="2:14" ht="15.75" customHeight="1">
      <c r="B398" s="2"/>
      <c r="C398" s="2"/>
      <c r="D398" s="2"/>
      <c r="E398" s="2"/>
      <c r="F398" s="2"/>
      <c r="G398" s="2"/>
      <c r="H398" s="2"/>
      <c r="I398" s="2"/>
      <c r="J398" s="2"/>
      <c r="K398" s="2"/>
      <c r="L398" s="2"/>
      <c r="M398" s="2"/>
      <c r="N398" s="2"/>
    </row>
    <row r="399" spans="2:14" ht="15.75" customHeight="1">
      <c r="B399" s="2"/>
      <c r="C399" s="2"/>
      <c r="D399" s="2"/>
      <c r="E399" s="2"/>
      <c r="F399" s="2"/>
      <c r="G399" s="2"/>
      <c r="H399" s="2"/>
      <c r="I399" s="2"/>
      <c r="J399" s="2"/>
      <c r="K399" s="2"/>
      <c r="L399" s="2"/>
      <c r="M399" s="2"/>
      <c r="N399" s="2"/>
    </row>
    <row r="400" spans="2:14" ht="15.75" customHeight="1">
      <c r="B400" s="2"/>
      <c r="C400" s="2"/>
      <c r="D400" s="2"/>
      <c r="E400" s="2"/>
      <c r="F400" s="2"/>
      <c r="G400" s="2"/>
      <c r="H400" s="2"/>
      <c r="I400" s="2"/>
      <c r="J400" s="2"/>
      <c r="K400" s="2"/>
      <c r="L400" s="2"/>
      <c r="M400" s="2"/>
      <c r="N400" s="2"/>
    </row>
    <row r="401" spans="2:14" ht="15.75" customHeight="1">
      <c r="B401" s="2"/>
      <c r="C401" s="2"/>
      <c r="D401" s="2"/>
      <c r="E401" s="2"/>
      <c r="F401" s="2"/>
      <c r="G401" s="2"/>
      <c r="H401" s="2"/>
      <c r="I401" s="2"/>
      <c r="J401" s="2"/>
      <c r="K401" s="2"/>
      <c r="L401" s="2"/>
      <c r="M401" s="2"/>
      <c r="N401" s="2"/>
    </row>
    <row r="402" spans="2:14" ht="15.75" customHeight="1">
      <c r="B402" s="2"/>
      <c r="C402" s="2"/>
      <c r="D402" s="2"/>
      <c r="E402" s="2"/>
      <c r="F402" s="2"/>
      <c r="G402" s="2"/>
      <c r="H402" s="2"/>
      <c r="I402" s="2"/>
      <c r="J402" s="2"/>
      <c r="K402" s="2"/>
      <c r="L402" s="2"/>
      <c r="M402" s="2"/>
      <c r="N402" s="2"/>
    </row>
    <row r="403" spans="2:14" ht="15.75" customHeight="1">
      <c r="B403" s="2"/>
      <c r="C403" s="2"/>
      <c r="D403" s="2"/>
      <c r="E403" s="2"/>
      <c r="F403" s="2"/>
      <c r="G403" s="2"/>
      <c r="H403" s="2"/>
      <c r="I403" s="2"/>
      <c r="J403" s="2"/>
      <c r="K403" s="2"/>
      <c r="L403" s="2"/>
      <c r="M403" s="2"/>
      <c r="N403" s="2"/>
    </row>
    <row r="404" spans="2:14" ht="15.75" customHeight="1">
      <c r="B404" s="2"/>
      <c r="C404" s="2"/>
      <c r="D404" s="2"/>
      <c r="E404" s="2"/>
      <c r="F404" s="2"/>
      <c r="G404" s="2"/>
      <c r="H404" s="2"/>
      <c r="I404" s="2"/>
      <c r="J404" s="2"/>
      <c r="K404" s="2"/>
      <c r="L404" s="2"/>
      <c r="M404" s="2"/>
      <c r="N404" s="2"/>
    </row>
    <row r="405" spans="2:14" ht="15.75" customHeight="1">
      <c r="B405" s="2"/>
      <c r="C405" s="2"/>
      <c r="D405" s="2"/>
      <c r="E405" s="2"/>
      <c r="F405" s="2"/>
      <c r="G405" s="2"/>
      <c r="H405" s="2"/>
      <c r="I405" s="2"/>
      <c r="J405" s="2"/>
      <c r="K405" s="2"/>
      <c r="L405" s="2"/>
      <c r="M405" s="2"/>
      <c r="N405" s="2"/>
    </row>
    <row r="406" spans="2:14" ht="15.75" customHeight="1">
      <c r="B406" s="2"/>
      <c r="C406" s="2"/>
      <c r="D406" s="2"/>
      <c r="E406" s="2"/>
      <c r="F406" s="2"/>
      <c r="G406" s="2"/>
      <c r="H406" s="2"/>
      <c r="I406" s="2"/>
      <c r="J406" s="2"/>
      <c r="K406" s="2"/>
      <c r="L406" s="2"/>
      <c r="M406" s="2"/>
      <c r="N406" s="2"/>
    </row>
    <row r="407" spans="2:14" ht="15.75" customHeight="1">
      <c r="B407" s="2"/>
      <c r="C407" s="2"/>
      <c r="D407" s="2"/>
      <c r="E407" s="2"/>
      <c r="F407" s="2"/>
      <c r="G407" s="2"/>
      <c r="H407" s="2"/>
      <c r="I407" s="2"/>
      <c r="J407" s="2"/>
      <c r="K407" s="2"/>
      <c r="L407" s="2"/>
      <c r="M407" s="2"/>
      <c r="N407" s="2"/>
    </row>
    <row r="408" spans="2:14" ht="15.75" customHeight="1">
      <c r="B408" s="2"/>
      <c r="C408" s="2"/>
      <c r="D408" s="2"/>
      <c r="E408" s="2"/>
      <c r="F408" s="2"/>
      <c r="G408" s="2"/>
      <c r="H408" s="2"/>
      <c r="I408" s="2"/>
      <c r="J408" s="2"/>
      <c r="K408" s="2"/>
      <c r="L408" s="2"/>
      <c r="M408" s="2"/>
      <c r="N408" s="2"/>
    </row>
    <row r="409" spans="2:14" ht="15.75" customHeight="1">
      <c r="B409" s="2"/>
      <c r="C409" s="2"/>
      <c r="D409" s="2"/>
      <c r="E409" s="2"/>
      <c r="F409" s="2"/>
      <c r="G409" s="2"/>
      <c r="H409" s="2"/>
      <c r="I409" s="2"/>
      <c r="J409" s="2"/>
      <c r="K409" s="2"/>
      <c r="L409" s="2"/>
      <c r="M409" s="2"/>
      <c r="N409" s="2"/>
    </row>
    <row r="410" spans="2:14" ht="15.75" customHeight="1">
      <c r="B410" s="2"/>
      <c r="C410" s="2"/>
      <c r="D410" s="2"/>
      <c r="E410" s="2"/>
      <c r="F410" s="2"/>
      <c r="G410" s="2"/>
      <c r="H410" s="2"/>
      <c r="I410" s="2"/>
      <c r="J410" s="2"/>
      <c r="K410" s="2"/>
      <c r="L410" s="2"/>
      <c r="M410" s="2"/>
      <c r="N410" s="2"/>
    </row>
    <row r="411" spans="2:14" ht="15.75" customHeight="1">
      <c r="B411" s="2"/>
      <c r="C411" s="2"/>
      <c r="D411" s="2"/>
      <c r="E411" s="2"/>
      <c r="F411" s="2"/>
      <c r="G411" s="2"/>
      <c r="H411" s="2"/>
      <c r="I411" s="2"/>
      <c r="J411" s="2"/>
      <c r="K411" s="2"/>
      <c r="L411" s="2"/>
      <c r="M411" s="2"/>
      <c r="N411" s="2"/>
    </row>
    <row r="412" spans="2:14" ht="15.75" customHeight="1">
      <c r="B412" s="2"/>
      <c r="C412" s="2"/>
      <c r="D412" s="2"/>
      <c r="E412" s="2"/>
      <c r="F412" s="2"/>
      <c r="G412" s="2"/>
      <c r="H412" s="2"/>
      <c r="I412" s="2"/>
      <c r="J412" s="2"/>
      <c r="K412" s="2"/>
      <c r="L412" s="2"/>
      <c r="M412" s="2"/>
      <c r="N412" s="2"/>
    </row>
    <row r="413" spans="2:14" ht="15.75" customHeight="1">
      <c r="B413" s="2"/>
      <c r="C413" s="2"/>
      <c r="D413" s="2"/>
      <c r="E413" s="2"/>
      <c r="F413" s="2"/>
      <c r="G413" s="2"/>
      <c r="H413" s="2"/>
      <c r="I413" s="2"/>
      <c r="J413" s="2"/>
      <c r="K413" s="2"/>
      <c r="L413" s="2"/>
      <c r="M413" s="2"/>
      <c r="N413" s="2"/>
    </row>
    <row r="414" spans="2:14" ht="15.75" customHeight="1">
      <c r="B414" s="2"/>
      <c r="C414" s="2"/>
      <c r="D414" s="2"/>
      <c r="E414" s="2"/>
      <c r="F414" s="2"/>
      <c r="G414" s="2"/>
      <c r="H414" s="2"/>
      <c r="I414" s="2"/>
      <c r="J414" s="2"/>
      <c r="K414" s="2"/>
      <c r="L414" s="2"/>
      <c r="M414" s="2"/>
      <c r="N414" s="2"/>
    </row>
    <row r="415" spans="2:14" ht="15.75" customHeight="1">
      <c r="B415" s="2"/>
      <c r="C415" s="2"/>
      <c r="D415" s="2"/>
      <c r="E415" s="2"/>
      <c r="F415" s="2"/>
      <c r="G415" s="2"/>
      <c r="H415" s="2"/>
      <c r="I415" s="2"/>
      <c r="J415" s="2"/>
      <c r="K415" s="2"/>
      <c r="L415" s="2"/>
      <c r="M415" s="2"/>
      <c r="N415" s="2"/>
    </row>
    <row r="416" spans="2:14" ht="15.75" customHeight="1">
      <c r="B416" s="2"/>
      <c r="C416" s="2"/>
      <c r="D416" s="2"/>
      <c r="E416" s="2"/>
      <c r="F416" s="2"/>
      <c r="G416" s="2"/>
      <c r="H416" s="2"/>
      <c r="I416" s="2"/>
      <c r="J416" s="2"/>
      <c r="K416" s="2"/>
      <c r="L416" s="2"/>
      <c r="M416" s="2"/>
      <c r="N416" s="2"/>
    </row>
    <row r="417" spans="2:14" ht="15.75" customHeight="1">
      <c r="B417" s="2"/>
      <c r="C417" s="2"/>
      <c r="D417" s="2"/>
      <c r="E417" s="2"/>
      <c r="F417" s="2"/>
      <c r="G417" s="2"/>
      <c r="H417" s="2"/>
      <c r="I417" s="2"/>
      <c r="J417" s="2"/>
      <c r="K417" s="2"/>
      <c r="L417" s="2"/>
      <c r="M417" s="2"/>
      <c r="N417" s="2"/>
    </row>
    <row r="418" spans="2:14" ht="15.75" customHeight="1">
      <c r="B418" s="2"/>
      <c r="C418" s="2"/>
      <c r="D418" s="2"/>
      <c r="E418" s="2"/>
      <c r="F418" s="2"/>
      <c r="G418" s="2"/>
      <c r="H418" s="2"/>
      <c r="I418" s="2"/>
      <c r="J418" s="2"/>
      <c r="K418" s="2"/>
      <c r="L418" s="2"/>
      <c r="M418" s="2"/>
      <c r="N418" s="2"/>
    </row>
    <row r="419" spans="2:14" ht="15.75" customHeight="1">
      <c r="B419" s="2"/>
      <c r="C419" s="2"/>
      <c r="D419" s="2"/>
      <c r="E419" s="2"/>
      <c r="F419" s="2"/>
      <c r="G419" s="2"/>
      <c r="H419" s="2"/>
      <c r="I419" s="2"/>
      <c r="J419" s="2"/>
      <c r="K419" s="2"/>
      <c r="L419" s="2"/>
      <c r="M419" s="2"/>
      <c r="N419" s="2"/>
    </row>
    <row r="420" spans="2:14" ht="15.75" customHeight="1">
      <c r="B420" s="2"/>
      <c r="C420" s="2"/>
      <c r="D420" s="2"/>
      <c r="E420" s="2"/>
      <c r="F420" s="2"/>
      <c r="G420" s="2"/>
      <c r="H420" s="2"/>
      <c r="I420" s="2"/>
      <c r="J420" s="2"/>
      <c r="K420" s="2"/>
      <c r="L420" s="2"/>
      <c r="M420" s="2"/>
      <c r="N420" s="2"/>
    </row>
    <row r="421" spans="2:14" ht="15.75" customHeight="1">
      <c r="B421" s="2"/>
      <c r="C421" s="2"/>
      <c r="D421" s="2"/>
      <c r="E421" s="2"/>
      <c r="F421" s="2"/>
      <c r="G421" s="2"/>
      <c r="H421" s="2"/>
      <c r="I421" s="2"/>
      <c r="J421" s="2"/>
      <c r="K421" s="2"/>
      <c r="L421" s="2"/>
      <c r="M421" s="2"/>
      <c r="N421" s="2"/>
    </row>
    <row r="422" spans="2:14" ht="15.75" customHeight="1">
      <c r="B422" s="2"/>
      <c r="C422" s="2"/>
      <c r="D422" s="2"/>
      <c r="E422" s="2"/>
      <c r="F422" s="2"/>
      <c r="G422" s="2"/>
      <c r="H422" s="2"/>
      <c r="I422" s="2"/>
      <c r="J422" s="2"/>
      <c r="K422" s="2"/>
      <c r="L422" s="2"/>
      <c r="M422" s="2"/>
      <c r="N422" s="2"/>
    </row>
    <row r="423" spans="2:14" ht="15.75" customHeight="1">
      <c r="B423" s="2"/>
      <c r="C423" s="2"/>
      <c r="D423" s="2"/>
      <c r="E423" s="2"/>
      <c r="F423" s="2"/>
      <c r="G423" s="2"/>
      <c r="H423" s="2"/>
      <c r="I423" s="2"/>
      <c r="J423" s="2"/>
      <c r="K423" s="2"/>
      <c r="L423" s="2"/>
      <c r="M423" s="2"/>
      <c r="N423" s="2"/>
    </row>
    <row r="424" spans="2:14" ht="15.75" customHeight="1">
      <c r="B424" s="2"/>
      <c r="C424" s="2"/>
      <c r="D424" s="2"/>
      <c r="E424" s="2"/>
      <c r="F424" s="2"/>
      <c r="G424" s="2"/>
      <c r="H424" s="2"/>
      <c r="I424" s="2"/>
      <c r="J424" s="2"/>
      <c r="K424" s="2"/>
      <c r="L424" s="2"/>
      <c r="M424" s="2"/>
      <c r="N424" s="2"/>
    </row>
    <row r="425" spans="2:14" ht="15.75" customHeight="1">
      <c r="B425" s="2"/>
      <c r="C425" s="2"/>
      <c r="D425" s="2"/>
      <c r="E425" s="2"/>
      <c r="F425" s="2"/>
      <c r="G425" s="2"/>
      <c r="H425" s="2"/>
      <c r="I425" s="2"/>
      <c r="J425" s="2"/>
      <c r="K425" s="2"/>
      <c r="L425" s="2"/>
      <c r="M425" s="2"/>
      <c r="N425" s="2"/>
    </row>
    <row r="426" spans="2:14" ht="15.75" customHeight="1">
      <c r="B426" s="2"/>
      <c r="C426" s="2"/>
      <c r="D426" s="2"/>
      <c r="E426" s="2"/>
      <c r="F426" s="2"/>
      <c r="G426" s="2"/>
      <c r="H426" s="2"/>
      <c r="I426" s="2"/>
      <c r="J426" s="2"/>
      <c r="K426" s="2"/>
      <c r="L426" s="2"/>
      <c r="M426" s="2"/>
      <c r="N426" s="2"/>
    </row>
    <row r="427" spans="2:14" ht="15.75" customHeight="1">
      <c r="B427" s="2"/>
      <c r="C427" s="2"/>
      <c r="D427" s="2"/>
      <c r="E427" s="2"/>
      <c r="F427" s="2"/>
      <c r="G427" s="2"/>
      <c r="H427" s="2"/>
      <c r="I427" s="2"/>
      <c r="J427" s="2"/>
      <c r="K427" s="2"/>
      <c r="L427" s="2"/>
      <c r="M427" s="2"/>
      <c r="N427" s="2"/>
    </row>
    <row r="428" spans="2:14" ht="15.75" customHeight="1">
      <c r="B428" s="2"/>
      <c r="C428" s="2"/>
      <c r="D428" s="2"/>
      <c r="E428" s="2"/>
      <c r="F428" s="2"/>
      <c r="G428" s="2"/>
      <c r="H428" s="2"/>
      <c r="I428" s="2"/>
      <c r="J428" s="2"/>
      <c r="K428" s="2"/>
      <c r="L428" s="2"/>
      <c r="M428" s="2"/>
      <c r="N428" s="2"/>
    </row>
    <row r="429" spans="2:14" ht="15.75" customHeight="1">
      <c r="B429" s="2"/>
      <c r="C429" s="2"/>
      <c r="D429" s="2"/>
      <c r="E429" s="2"/>
      <c r="F429" s="2"/>
      <c r="G429" s="2"/>
      <c r="H429" s="2"/>
      <c r="I429" s="2"/>
      <c r="J429" s="2"/>
      <c r="K429" s="2"/>
      <c r="L429" s="2"/>
      <c r="M429" s="2"/>
      <c r="N429" s="2"/>
    </row>
    <row r="430" spans="2:14" ht="15.75" customHeight="1">
      <c r="B430" s="2"/>
      <c r="C430" s="2"/>
      <c r="D430" s="2"/>
      <c r="E430" s="2"/>
      <c r="F430" s="2"/>
      <c r="G430" s="2"/>
      <c r="H430" s="2"/>
      <c r="I430" s="2"/>
      <c r="J430" s="2"/>
      <c r="K430" s="2"/>
      <c r="L430" s="2"/>
      <c r="M430" s="2"/>
      <c r="N430" s="2"/>
    </row>
    <row r="431" spans="2:14" ht="15.75" customHeight="1">
      <c r="B431" s="2"/>
      <c r="C431" s="2"/>
      <c r="D431" s="2"/>
      <c r="E431" s="2"/>
      <c r="F431" s="2"/>
      <c r="G431" s="2"/>
      <c r="H431" s="2"/>
      <c r="I431" s="2"/>
      <c r="J431" s="2"/>
      <c r="K431" s="2"/>
      <c r="L431" s="2"/>
      <c r="M431" s="2"/>
      <c r="N431" s="2"/>
    </row>
    <row r="432" spans="2:14" ht="15.75" customHeight="1">
      <c r="B432" s="2"/>
      <c r="C432" s="2"/>
      <c r="D432" s="2"/>
      <c r="E432" s="2"/>
      <c r="F432" s="2"/>
      <c r="G432" s="2"/>
      <c r="H432" s="2"/>
      <c r="I432" s="2"/>
      <c r="J432" s="2"/>
      <c r="K432" s="2"/>
      <c r="L432" s="2"/>
      <c r="M432" s="2"/>
      <c r="N432" s="2"/>
    </row>
    <row r="433" spans="2:14" ht="15.75" customHeight="1">
      <c r="B433" s="2"/>
      <c r="C433" s="2"/>
      <c r="D433" s="2"/>
      <c r="E433" s="2"/>
      <c r="F433" s="2"/>
      <c r="G433" s="2"/>
      <c r="H433" s="2"/>
      <c r="I433" s="2"/>
      <c r="J433" s="2"/>
      <c r="K433" s="2"/>
      <c r="L433" s="2"/>
      <c r="M433" s="2"/>
      <c r="N433" s="2"/>
    </row>
    <row r="434" spans="2:14" ht="15.75" customHeight="1">
      <c r="B434" s="2"/>
      <c r="C434" s="2"/>
      <c r="D434" s="2"/>
      <c r="E434" s="2"/>
      <c r="F434" s="2"/>
      <c r="G434" s="2"/>
      <c r="H434" s="2"/>
      <c r="I434" s="2"/>
      <c r="J434" s="2"/>
      <c r="K434" s="2"/>
      <c r="L434" s="2"/>
      <c r="M434" s="2"/>
      <c r="N434" s="2"/>
    </row>
    <row r="435" spans="2:14" ht="15.75" customHeight="1">
      <c r="B435" s="2"/>
      <c r="C435" s="2"/>
      <c r="D435" s="2"/>
      <c r="E435" s="2"/>
      <c r="F435" s="2"/>
      <c r="G435" s="2"/>
      <c r="H435" s="2"/>
      <c r="I435" s="2"/>
      <c r="J435" s="2"/>
      <c r="K435" s="2"/>
      <c r="L435" s="2"/>
      <c r="M435" s="2"/>
      <c r="N435" s="2"/>
    </row>
    <row r="436" spans="2:14" ht="15.75" customHeight="1">
      <c r="B436" s="2"/>
      <c r="C436" s="2"/>
      <c r="D436" s="2"/>
      <c r="E436" s="2"/>
      <c r="F436" s="2"/>
      <c r="G436" s="2"/>
      <c r="H436" s="2"/>
      <c r="I436" s="2"/>
      <c r="J436" s="2"/>
      <c r="K436" s="2"/>
      <c r="L436" s="2"/>
      <c r="M436" s="2"/>
      <c r="N436" s="2"/>
    </row>
    <row r="437" spans="2:14" ht="15.75" customHeight="1">
      <c r="B437" s="2"/>
      <c r="C437" s="2"/>
      <c r="D437" s="2"/>
      <c r="E437" s="2"/>
      <c r="F437" s="2"/>
      <c r="G437" s="2"/>
      <c r="H437" s="2"/>
      <c r="I437" s="2"/>
      <c r="J437" s="2"/>
      <c r="K437" s="2"/>
      <c r="L437" s="2"/>
      <c r="M437" s="2"/>
      <c r="N437" s="2"/>
    </row>
    <row r="438" spans="2:14" ht="15.75" customHeight="1">
      <c r="B438" s="2"/>
      <c r="C438" s="2"/>
      <c r="D438" s="2"/>
      <c r="E438" s="2"/>
      <c r="F438" s="2"/>
      <c r="G438" s="2"/>
      <c r="H438" s="2"/>
      <c r="I438" s="2"/>
      <c r="J438" s="2"/>
      <c r="K438" s="2"/>
      <c r="L438" s="2"/>
      <c r="M438" s="2"/>
      <c r="N438" s="2"/>
    </row>
    <row r="439" spans="2:14" ht="15.75" customHeight="1">
      <c r="B439" s="2"/>
      <c r="C439" s="2"/>
      <c r="D439" s="2"/>
      <c r="E439" s="2"/>
      <c r="F439" s="2"/>
      <c r="G439" s="2"/>
      <c r="H439" s="2"/>
      <c r="I439" s="2"/>
      <c r="J439" s="2"/>
      <c r="K439" s="2"/>
      <c r="L439" s="2"/>
      <c r="M439" s="2"/>
      <c r="N439" s="2"/>
    </row>
    <row r="440" spans="2:14" ht="15.75" customHeight="1">
      <c r="B440" s="2"/>
      <c r="C440" s="2"/>
      <c r="D440" s="2"/>
      <c r="E440" s="2"/>
      <c r="F440" s="2"/>
      <c r="G440" s="2"/>
      <c r="H440" s="2"/>
      <c r="I440" s="2"/>
      <c r="J440" s="2"/>
      <c r="K440" s="2"/>
      <c r="L440" s="2"/>
      <c r="M440" s="2"/>
      <c r="N440" s="2"/>
    </row>
    <row r="441" spans="2:14" ht="15.75" customHeight="1">
      <c r="B441" s="2"/>
      <c r="C441" s="2"/>
      <c r="D441" s="2"/>
      <c r="E441" s="2"/>
      <c r="F441" s="2"/>
      <c r="G441" s="2"/>
      <c r="H441" s="2"/>
      <c r="I441" s="2"/>
      <c r="J441" s="2"/>
      <c r="K441" s="2"/>
      <c r="L441" s="2"/>
      <c r="M441" s="2"/>
      <c r="N441" s="2"/>
    </row>
    <row r="442" spans="2:14" ht="15.75" customHeight="1">
      <c r="B442" s="2"/>
      <c r="C442" s="2"/>
      <c r="D442" s="2"/>
      <c r="E442" s="2"/>
      <c r="F442" s="2"/>
      <c r="G442" s="2"/>
      <c r="H442" s="2"/>
      <c r="I442" s="2"/>
      <c r="J442" s="2"/>
      <c r="K442" s="2"/>
      <c r="L442" s="2"/>
      <c r="M442" s="2"/>
      <c r="N442" s="2"/>
    </row>
    <row r="443" spans="2:14" ht="15.75" customHeight="1">
      <c r="B443" s="2"/>
      <c r="C443" s="2"/>
      <c r="D443" s="2"/>
      <c r="E443" s="2"/>
      <c r="F443" s="2"/>
      <c r="G443" s="2"/>
      <c r="H443" s="2"/>
      <c r="I443" s="2"/>
      <c r="J443" s="2"/>
      <c r="K443" s="2"/>
      <c r="L443" s="2"/>
      <c r="M443" s="2"/>
      <c r="N443" s="2"/>
    </row>
    <row r="444" spans="2:14" ht="15.75" customHeight="1">
      <c r="B444" s="2"/>
      <c r="C444" s="2"/>
      <c r="D444" s="2"/>
      <c r="E444" s="2"/>
      <c r="F444" s="2"/>
      <c r="G444" s="2"/>
      <c r="H444" s="2"/>
      <c r="I444" s="2"/>
      <c r="J444" s="2"/>
      <c r="K444" s="2"/>
      <c r="L444" s="2"/>
      <c r="M444" s="2"/>
      <c r="N444" s="2"/>
    </row>
    <row r="445" spans="2:14" ht="15.75" customHeight="1">
      <c r="B445" s="2"/>
      <c r="C445" s="2"/>
      <c r="D445" s="2"/>
      <c r="E445" s="2"/>
      <c r="F445" s="2"/>
      <c r="G445" s="2"/>
      <c r="H445" s="2"/>
      <c r="I445" s="2"/>
      <c r="J445" s="2"/>
      <c r="K445" s="2"/>
      <c r="L445" s="2"/>
      <c r="M445" s="2"/>
      <c r="N445" s="2"/>
    </row>
    <row r="446" spans="2:14" ht="15.75" customHeight="1">
      <c r="B446" s="2"/>
      <c r="C446" s="2"/>
      <c r="D446" s="2"/>
      <c r="E446" s="2"/>
      <c r="F446" s="2"/>
      <c r="G446" s="2"/>
      <c r="H446" s="2"/>
      <c r="I446" s="2"/>
      <c r="J446" s="2"/>
      <c r="K446" s="2"/>
      <c r="L446" s="2"/>
      <c r="M446" s="2"/>
      <c r="N446" s="2"/>
    </row>
    <row r="447" spans="2:14" ht="15.75" customHeight="1">
      <c r="B447" s="2"/>
      <c r="C447" s="2"/>
      <c r="D447" s="2"/>
      <c r="E447" s="2"/>
      <c r="F447" s="2"/>
      <c r="G447" s="2"/>
      <c r="H447" s="2"/>
      <c r="I447" s="2"/>
      <c r="J447" s="2"/>
      <c r="K447" s="2"/>
      <c r="L447" s="2"/>
      <c r="M447" s="2"/>
      <c r="N447" s="2"/>
    </row>
    <row r="448" spans="2:14" ht="15.75" customHeight="1">
      <c r="B448" s="2"/>
      <c r="C448" s="2"/>
      <c r="D448" s="2"/>
      <c r="E448" s="2"/>
      <c r="F448" s="2"/>
      <c r="G448" s="2"/>
      <c r="H448" s="2"/>
      <c r="I448" s="2"/>
      <c r="J448" s="2"/>
      <c r="K448" s="2"/>
      <c r="L448" s="2"/>
      <c r="M448" s="2"/>
      <c r="N448" s="2"/>
    </row>
    <row r="449" spans="2:14" ht="15.75" customHeight="1">
      <c r="B449" s="2"/>
      <c r="C449" s="2"/>
      <c r="D449" s="2"/>
      <c r="E449" s="2"/>
      <c r="F449" s="2"/>
      <c r="G449" s="2"/>
      <c r="H449" s="2"/>
      <c r="I449" s="2"/>
      <c r="J449" s="2"/>
      <c r="K449" s="2"/>
      <c r="L449" s="2"/>
      <c r="M449" s="2"/>
      <c r="N449" s="2"/>
    </row>
    <row r="450" spans="2:14" ht="15.75" customHeight="1">
      <c r="B450" s="2"/>
      <c r="C450" s="2"/>
      <c r="D450" s="2"/>
      <c r="E450" s="2"/>
      <c r="F450" s="2"/>
      <c r="G450" s="2"/>
      <c r="H450" s="2"/>
      <c r="I450" s="2"/>
      <c r="J450" s="2"/>
      <c r="K450" s="2"/>
      <c r="L450" s="2"/>
      <c r="M450" s="2"/>
      <c r="N450" s="2"/>
    </row>
    <row r="451" spans="2:14" ht="15.75" customHeight="1">
      <c r="B451" s="2"/>
      <c r="C451" s="2"/>
      <c r="D451" s="2"/>
      <c r="E451" s="2"/>
      <c r="F451" s="2"/>
      <c r="G451" s="2"/>
      <c r="H451" s="2"/>
      <c r="I451" s="2"/>
      <c r="J451" s="2"/>
      <c r="K451" s="2"/>
      <c r="L451" s="2"/>
      <c r="M451" s="2"/>
      <c r="N451" s="2"/>
    </row>
    <row r="452" spans="2:14" ht="15.75" customHeight="1">
      <c r="B452" s="2"/>
      <c r="C452" s="2"/>
      <c r="D452" s="2"/>
      <c r="E452" s="2"/>
      <c r="F452" s="2"/>
      <c r="G452" s="2"/>
      <c r="H452" s="2"/>
      <c r="I452" s="2"/>
      <c r="J452" s="2"/>
      <c r="K452" s="2"/>
      <c r="L452" s="2"/>
      <c r="M452" s="2"/>
      <c r="N452" s="2"/>
    </row>
    <row r="453" spans="2:14" ht="15.75" customHeight="1">
      <c r="B453" s="2"/>
      <c r="C453" s="2"/>
      <c r="D453" s="2"/>
      <c r="E453" s="2"/>
      <c r="F453" s="2"/>
      <c r="G453" s="2"/>
      <c r="H453" s="2"/>
      <c r="I453" s="2"/>
      <c r="J453" s="2"/>
      <c r="K453" s="2"/>
      <c r="L453" s="2"/>
      <c r="M453" s="2"/>
      <c r="N453" s="2"/>
    </row>
    <row r="454" spans="2:14" ht="15.75" customHeight="1">
      <c r="B454" s="2"/>
      <c r="C454" s="2"/>
      <c r="D454" s="2"/>
      <c r="E454" s="2"/>
      <c r="F454" s="2"/>
      <c r="G454" s="2"/>
      <c r="H454" s="2"/>
      <c r="I454" s="2"/>
      <c r="J454" s="2"/>
      <c r="K454" s="2"/>
      <c r="L454" s="2"/>
      <c r="M454" s="2"/>
      <c r="N454" s="2"/>
    </row>
    <row r="455" spans="2:14" ht="15.75" customHeight="1">
      <c r="B455" s="2"/>
      <c r="C455" s="2"/>
      <c r="D455" s="2"/>
      <c r="E455" s="2"/>
      <c r="F455" s="2"/>
      <c r="G455" s="2"/>
      <c r="H455" s="2"/>
      <c r="I455" s="2"/>
      <c r="J455" s="2"/>
      <c r="K455" s="2"/>
      <c r="L455" s="2"/>
      <c r="M455" s="2"/>
      <c r="N455" s="2"/>
    </row>
    <row r="456" spans="2:14" ht="15.75" customHeight="1">
      <c r="B456" s="2"/>
      <c r="C456" s="2"/>
      <c r="D456" s="2"/>
      <c r="E456" s="2"/>
      <c r="F456" s="2"/>
      <c r="G456" s="2"/>
      <c r="H456" s="2"/>
      <c r="I456" s="2"/>
      <c r="J456" s="2"/>
      <c r="K456" s="2"/>
      <c r="L456" s="2"/>
      <c r="M456" s="2"/>
      <c r="N456" s="2"/>
    </row>
    <row r="457" spans="2:14" ht="15.75" customHeight="1">
      <c r="B457" s="2"/>
      <c r="C457" s="2"/>
      <c r="D457" s="2"/>
      <c r="E457" s="2"/>
      <c r="F457" s="2"/>
      <c r="G457" s="2"/>
      <c r="H457" s="2"/>
      <c r="I457" s="2"/>
      <c r="J457" s="2"/>
      <c r="K457" s="2"/>
      <c r="L457" s="2"/>
      <c r="M457" s="2"/>
      <c r="N457" s="2"/>
    </row>
    <row r="458" spans="2:14" ht="15.75" customHeight="1">
      <c r="B458" s="2"/>
      <c r="C458" s="2"/>
      <c r="D458" s="2"/>
      <c r="E458" s="2"/>
      <c r="F458" s="2"/>
      <c r="G458" s="2"/>
      <c r="H458" s="2"/>
      <c r="I458" s="2"/>
      <c r="J458" s="2"/>
      <c r="K458" s="2"/>
      <c r="L458" s="2"/>
      <c r="M458" s="2"/>
      <c r="N458" s="2"/>
    </row>
    <row r="459" spans="2:14" ht="15.75" customHeight="1">
      <c r="B459" s="2"/>
      <c r="C459" s="2"/>
      <c r="D459" s="2"/>
      <c r="E459" s="2"/>
      <c r="F459" s="2"/>
      <c r="G459" s="2"/>
      <c r="H459" s="2"/>
      <c r="I459" s="2"/>
      <c r="J459" s="2"/>
      <c r="K459" s="2"/>
      <c r="L459" s="2"/>
      <c r="M459" s="2"/>
      <c r="N459" s="2"/>
    </row>
    <row r="460" spans="2:14" ht="15.75" customHeight="1">
      <c r="B460" s="2"/>
      <c r="C460" s="2"/>
      <c r="D460" s="2"/>
      <c r="E460" s="2"/>
      <c r="F460" s="2"/>
      <c r="G460" s="2"/>
      <c r="H460" s="2"/>
      <c r="I460" s="2"/>
      <c r="J460" s="2"/>
      <c r="K460" s="2"/>
      <c r="L460" s="2"/>
      <c r="M460" s="2"/>
      <c r="N460" s="2"/>
    </row>
    <row r="461" spans="2:14" ht="15.75" customHeight="1">
      <c r="B461" s="2"/>
      <c r="C461" s="2"/>
      <c r="D461" s="2"/>
      <c r="E461" s="2"/>
      <c r="F461" s="2"/>
      <c r="G461" s="2"/>
      <c r="H461" s="2"/>
      <c r="I461" s="2"/>
      <c r="J461" s="2"/>
      <c r="K461" s="2"/>
      <c r="L461" s="2"/>
      <c r="M461" s="2"/>
      <c r="N461" s="2"/>
    </row>
    <row r="462" spans="2:14" ht="15.75" customHeight="1">
      <c r="B462" s="2"/>
      <c r="C462" s="2"/>
      <c r="D462" s="2"/>
      <c r="E462" s="2"/>
      <c r="F462" s="2"/>
      <c r="G462" s="2"/>
      <c r="H462" s="2"/>
      <c r="I462" s="2"/>
      <c r="J462" s="2"/>
      <c r="K462" s="2"/>
      <c r="L462" s="2"/>
      <c r="M462" s="2"/>
      <c r="N462" s="2"/>
    </row>
    <row r="463" spans="2:14" ht="15.75" customHeight="1">
      <c r="B463" s="2"/>
      <c r="C463" s="2"/>
      <c r="D463" s="2"/>
      <c r="E463" s="2"/>
      <c r="F463" s="2"/>
      <c r="G463" s="2"/>
      <c r="H463" s="2"/>
      <c r="I463" s="2"/>
      <c r="J463" s="2"/>
      <c r="K463" s="2"/>
      <c r="L463" s="2"/>
      <c r="M463" s="2"/>
      <c r="N463" s="2"/>
    </row>
    <row r="464" spans="2:14" ht="15.75" customHeight="1">
      <c r="B464" s="2"/>
      <c r="C464" s="2"/>
      <c r="D464" s="2"/>
      <c r="E464" s="2"/>
      <c r="F464" s="2"/>
      <c r="G464" s="2"/>
      <c r="H464" s="2"/>
      <c r="I464" s="2"/>
      <c r="J464" s="2"/>
      <c r="K464" s="2"/>
      <c r="L464" s="2"/>
      <c r="M464" s="2"/>
      <c r="N464" s="2"/>
    </row>
    <row r="465" spans="2:14" ht="15.75" customHeight="1">
      <c r="B465" s="2"/>
      <c r="C465" s="2"/>
      <c r="D465" s="2"/>
      <c r="E465" s="2"/>
      <c r="F465" s="2"/>
      <c r="G465" s="2"/>
      <c r="H465" s="2"/>
      <c r="I465" s="2"/>
      <c r="J465" s="2"/>
      <c r="K465" s="2"/>
      <c r="L465" s="2"/>
      <c r="M465" s="2"/>
      <c r="N465" s="2"/>
    </row>
    <row r="466" spans="2:14" ht="15.75" customHeight="1">
      <c r="B466" s="2"/>
      <c r="C466" s="2"/>
      <c r="D466" s="2"/>
      <c r="E466" s="2"/>
      <c r="F466" s="2"/>
      <c r="G466" s="2"/>
      <c r="H466" s="2"/>
      <c r="I466" s="2"/>
      <c r="J466" s="2"/>
      <c r="K466" s="2"/>
      <c r="L466" s="2"/>
      <c r="M466" s="2"/>
      <c r="N466" s="2"/>
    </row>
    <row r="467" spans="2:14" ht="15.75" customHeight="1">
      <c r="B467" s="2"/>
      <c r="C467" s="2"/>
      <c r="D467" s="2"/>
      <c r="E467" s="2"/>
      <c r="F467" s="2"/>
      <c r="G467" s="2"/>
      <c r="H467" s="2"/>
      <c r="I467" s="2"/>
      <c r="J467" s="2"/>
      <c r="K467" s="2"/>
      <c r="L467" s="2"/>
      <c r="M467" s="2"/>
      <c r="N467" s="2"/>
    </row>
    <row r="468" spans="2:14" ht="15.75" customHeight="1">
      <c r="B468" s="2"/>
      <c r="C468" s="2"/>
      <c r="D468" s="2"/>
      <c r="E468" s="2"/>
      <c r="F468" s="2"/>
      <c r="G468" s="2"/>
      <c r="H468" s="2"/>
      <c r="I468" s="2"/>
      <c r="J468" s="2"/>
      <c r="K468" s="2"/>
      <c r="L468" s="2"/>
      <c r="M468" s="2"/>
      <c r="N468" s="2"/>
    </row>
    <row r="469" spans="2:14" ht="15.75" customHeight="1">
      <c r="B469" s="2"/>
      <c r="C469" s="2"/>
      <c r="D469" s="2"/>
      <c r="E469" s="2"/>
      <c r="F469" s="2"/>
      <c r="G469" s="2"/>
      <c r="H469" s="2"/>
      <c r="I469" s="2"/>
      <c r="J469" s="2"/>
      <c r="K469" s="2"/>
      <c r="L469" s="2"/>
      <c r="M469" s="2"/>
      <c r="N469" s="2"/>
    </row>
    <row r="470" spans="2:14" ht="15.75" customHeight="1">
      <c r="B470" s="2"/>
      <c r="C470" s="2"/>
      <c r="D470" s="2"/>
      <c r="E470" s="2"/>
      <c r="F470" s="2"/>
      <c r="G470" s="2"/>
      <c r="H470" s="2"/>
      <c r="I470" s="2"/>
      <c r="J470" s="2"/>
      <c r="K470" s="2"/>
      <c r="L470" s="2"/>
      <c r="M470" s="2"/>
      <c r="N470" s="2"/>
    </row>
    <row r="471" spans="2:14" ht="15.75" customHeight="1">
      <c r="B471" s="2"/>
      <c r="C471" s="2"/>
      <c r="D471" s="2"/>
      <c r="E471" s="2"/>
      <c r="F471" s="2"/>
      <c r="G471" s="2"/>
      <c r="H471" s="2"/>
      <c r="I471" s="2"/>
      <c r="J471" s="2"/>
      <c r="K471" s="2"/>
      <c r="L471" s="2"/>
      <c r="M471" s="2"/>
      <c r="N471" s="2"/>
    </row>
    <row r="472" spans="2:14" ht="15.75" customHeight="1">
      <c r="B472" s="2"/>
      <c r="C472" s="2"/>
      <c r="D472" s="2"/>
      <c r="E472" s="2"/>
      <c r="F472" s="2"/>
      <c r="G472" s="2"/>
      <c r="H472" s="2"/>
      <c r="I472" s="2"/>
      <c r="J472" s="2"/>
      <c r="K472" s="2"/>
      <c r="L472" s="2"/>
      <c r="M472" s="2"/>
      <c r="N472" s="2"/>
    </row>
    <row r="473" spans="2:14" ht="15.75" customHeight="1">
      <c r="B473" s="2"/>
      <c r="C473" s="2"/>
      <c r="D473" s="2"/>
      <c r="E473" s="2"/>
      <c r="F473" s="2"/>
      <c r="G473" s="2"/>
      <c r="H473" s="2"/>
      <c r="I473" s="2"/>
      <c r="J473" s="2"/>
      <c r="K473" s="2"/>
      <c r="L473" s="2"/>
      <c r="M473" s="2"/>
      <c r="N473" s="2"/>
    </row>
    <row r="474" spans="2:14" ht="15.75" customHeight="1">
      <c r="B474" s="2"/>
      <c r="C474" s="2"/>
      <c r="D474" s="2"/>
      <c r="E474" s="2"/>
      <c r="F474" s="2"/>
      <c r="G474" s="2"/>
      <c r="H474" s="2"/>
      <c r="I474" s="2"/>
      <c r="J474" s="2"/>
      <c r="K474" s="2"/>
      <c r="L474" s="2"/>
      <c r="M474" s="2"/>
      <c r="N474" s="2"/>
    </row>
    <row r="475" spans="2:14" ht="15.75" customHeight="1">
      <c r="B475" s="2"/>
      <c r="C475" s="2"/>
      <c r="D475" s="2"/>
      <c r="E475" s="2"/>
      <c r="F475" s="2"/>
      <c r="G475" s="2"/>
      <c r="H475" s="2"/>
      <c r="I475" s="2"/>
      <c r="J475" s="2"/>
      <c r="K475" s="2"/>
      <c r="L475" s="2"/>
      <c r="M475" s="2"/>
      <c r="N475" s="2"/>
    </row>
    <row r="476" spans="2:14" ht="15.75" customHeight="1">
      <c r="B476" s="2"/>
      <c r="C476" s="2"/>
      <c r="D476" s="2"/>
      <c r="E476" s="2"/>
      <c r="F476" s="2"/>
      <c r="G476" s="2"/>
      <c r="H476" s="2"/>
      <c r="I476" s="2"/>
      <c r="J476" s="2"/>
      <c r="K476" s="2"/>
      <c r="L476" s="2"/>
      <c r="M476" s="2"/>
      <c r="N476" s="2"/>
    </row>
    <row r="477" spans="2:14" ht="15.75" customHeight="1">
      <c r="B477" s="2"/>
      <c r="C477" s="2"/>
      <c r="D477" s="2"/>
      <c r="E477" s="2"/>
      <c r="F477" s="2"/>
      <c r="G477" s="2"/>
      <c r="H477" s="2"/>
      <c r="I477" s="2"/>
      <c r="J477" s="2"/>
      <c r="K477" s="2"/>
      <c r="L477" s="2"/>
      <c r="M477" s="2"/>
      <c r="N477" s="2"/>
    </row>
    <row r="478" spans="2:14" ht="15.75" customHeight="1">
      <c r="B478" s="2"/>
      <c r="C478" s="2"/>
      <c r="D478" s="2"/>
      <c r="E478" s="2"/>
      <c r="F478" s="2"/>
      <c r="G478" s="2"/>
      <c r="H478" s="2"/>
      <c r="I478" s="2"/>
      <c r="J478" s="2"/>
      <c r="K478" s="2"/>
      <c r="L478" s="2"/>
      <c r="M478" s="2"/>
      <c r="N478" s="2"/>
    </row>
    <row r="479" spans="2:14" ht="15.75" customHeight="1">
      <c r="B479" s="2"/>
      <c r="C479" s="2"/>
      <c r="D479" s="2"/>
      <c r="E479" s="2"/>
      <c r="F479" s="2"/>
      <c r="G479" s="2"/>
      <c r="H479" s="2"/>
      <c r="I479" s="2"/>
      <c r="J479" s="2"/>
      <c r="K479" s="2"/>
      <c r="L479" s="2"/>
      <c r="M479" s="2"/>
      <c r="N479" s="2"/>
    </row>
    <row r="480" spans="2:14" ht="15.75" customHeight="1">
      <c r="B480" s="2"/>
      <c r="C480" s="2"/>
      <c r="D480" s="2"/>
      <c r="E480" s="2"/>
      <c r="F480" s="2"/>
      <c r="G480" s="2"/>
      <c r="H480" s="2"/>
      <c r="I480" s="2"/>
      <c r="J480" s="2"/>
      <c r="K480" s="2"/>
      <c r="L480" s="2"/>
      <c r="M480" s="2"/>
      <c r="N480" s="2"/>
    </row>
    <row r="481" spans="2:14" ht="15.75" customHeight="1">
      <c r="B481" s="2"/>
      <c r="C481" s="2"/>
      <c r="D481" s="2"/>
      <c r="E481" s="2"/>
      <c r="F481" s="2"/>
      <c r="G481" s="2"/>
      <c r="H481" s="2"/>
      <c r="I481" s="2"/>
      <c r="J481" s="2"/>
      <c r="K481" s="2"/>
      <c r="L481" s="2"/>
      <c r="M481" s="2"/>
      <c r="N481" s="2"/>
    </row>
    <row r="482" spans="2:14" ht="15.75" customHeight="1">
      <c r="B482" s="2"/>
      <c r="C482" s="2"/>
      <c r="D482" s="2"/>
      <c r="E482" s="2"/>
      <c r="F482" s="2"/>
      <c r="G482" s="2"/>
      <c r="H482" s="2"/>
      <c r="I482" s="2"/>
      <c r="J482" s="2"/>
      <c r="K482" s="2"/>
      <c r="L482" s="2"/>
      <c r="M482" s="2"/>
      <c r="N482" s="2"/>
    </row>
    <row r="483" spans="2:14" ht="15.75" customHeight="1">
      <c r="B483" s="2"/>
      <c r="C483" s="2"/>
      <c r="D483" s="2"/>
      <c r="E483" s="2"/>
      <c r="F483" s="2"/>
      <c r="G483" s="2"/>
      <c r="H483" s="2"/>
      <c r="I483" s="2"/>
      <c r="J483" s="2"/>
      <c r="K483" s="2"/>
      <c r="L483" s="2"/>
      <c r="M483" s="2"/>
      <c r="N483" s="2"/>
    </row>
    <row r="484" spans="2:14" ht="15.75" customHeight="1">
      <c r="B484" s="2"/>
      <c r="C484" s="2"/>
      <c r="D484" s="2"/>
      <c r="E484" s="2"/>
      <c r="F484" s="2"/>
      <c r="G484" s="2"/>
      <c r="H484" s="2"/>
      <c r="I484" s="2"/>
      <c r="J484" s="2"/>
      <c r="K484" s="2"/>
      <c r="L484" s="2"/>
      <c r="M484" s="2"/>
      <c r="N484" s="2"/>
    </row>
    <row r="485" spans="2:14" ht="15.75" customHeight="1">
      <c r="B485" s="2"/>
      <c r="C485" s="2"/>
      <c r="D485" s="2"/>
      <c r="E485" s="2"/>
      <c r="F485" s="2"/>
      <c r="G485" s="2"/>
      <c r="H485" s="2"/>
      <c r="I485" s="2"/>
      <c r="J485" s="2"/>
      <c r="K485" s="2"/>
      <c r="L485" s="2"/>
      <c r="M485" s="2"/>
      <c r="N485" s="2"/>
    </row>
    <row r="486" spans="2:14" ht="15.75" customHeight="1">
      <c r="B486" s="2"/>
      <c r="C486" s="2"/>
      <c r="D486" s="2"/>
      <c r="E486" s="2"/>
      <c r="F486" s="2"/>
      <c r="G486" s="2"/>
      <c r="H486" s="2"/>
      <c r="I486" s="2"/>
      <c r="J486" s="2"/>
      <c r="K486" s="2"/>
      <c r="L486" s="2"/>
      <c r="M486" s="2"/>
      <c r="N486" s="2"/>
    </row>
    <row r="487" spans="2:14" ht="15.75" customHeight="1">
      <c r="B487" s="2"/>
      <c r="C487" s="2"/>
      <c r="D487" s="2"/>
      <c r="E487" s="2"/>
      <c r="F487" s="2"/>
      <c r="G487" s="2"/>
      <c r="H487" s="2"/>
      <c r="I487" s="2"/>
      <c r="J487" s="2"/>
      <c r="K487" s="2"/>
      <c r="L487" s="2"/>
      <c r="M487" s="2"/>
      <c r="N487" s="2"/>
    </row>
    <row r="488" spans="2:14" ht="15.75" customHeight="1">
      <c r="B488" s="2"/>
      <c r="C488" s="2"/>
      <c r="D488" s="2"/>
      <c r="E488" s="2"/>
      <c r="F488" s="2"/>
      <c r="G488" s="2"/>
      <c r="H488" s="2"/>
      <c r="I488" s="2"/>
      <c r="J488" s="2"/>
      <c r="K488" s="2"/>
      <c r="L488" s="2"/>
      <c r="M488" s="2"/>
      <c r="N488" s="2"/>
    </row>
    <row r="489" spans="2:14" ht="15.75" customHeight="1">
      <c r="B489" s="2"/>
      <c r="C489" s="2"/>
      <c r="D489" s="2"/>
      <c r="E489" s="2"/>
      <c r="F489" s="2"/>
      <c r="G489" s="2"/>
      <c r="H489" s="2"/>
      <c r="I489" s="2"/>
      <c r="J489" s="2"/>
      <c r="K489" s="2"/>
      <c r="L489" s="2"/>
      <c r="M489" s="2"/>
      <c r="N489" s="2"/>
    </row>
    <row r="490" spans="2:14" ht="15.75" customHeight="1">
      <c r="B490" s="2"/>
      <c r="C490" s="2"/>
      <c r="D490" s="2"/>
      <c r="E490" s="2"/>
      <c r="F490" s="2"/>
      <c r="G490" s="2"/>
      <c r="H490" s="2"/>
      <c r="I490" s="2"/>
      <c r="J490" s="2"/>
      <c r="K490" s="2"/>
      <c r="L490" s="2"/>
      <c r="M490" s="2"/>
      <c r="N490" s="2"/>
    </row>
    <row r="491" spans="2:14" ht="15.75" customHeight="1">
      <c r="B491" s="2"/>
      <c r="C491" s="2"/>
      <c r="D491" s="2"/>
      <c r="E491" s="2"/>
      <c r="F491" s="2"/>
      <c r="G491" s="2"/>
      <c r="H491" s="2"/>
      <c r="I491" s="2"/>
      <c r="J491" s="2"/>
      <c r="K491" s="2"/>
      <c r="L491" s="2"/>
      <c r="M491" s="2"/>
      <c r="N491" s="2"/>
    </row>
    <row r="492" spans="2:14" ht="15.75" customHeight="1">
      <c r="B492" s="2"/>
      <c r="C492" s="2"/>
      <c r="D492" s="2"/>
      <c r="E492" s="2"/>
      <c r="F492" s="2"/>
      <c r="G492" s="2"/>
      <c r="H492" s="2"/>
      <c r="I492" s="2"/>
      <c r="J492" s="2"/>
      <c r="K492" s="2"/>
      <c r="L492" s="2"/>
      <c r="M492" s="2"/>
      <c r="N492" s="2"/>
    </row>
    <row r="493" spans="2:14" ht="15.75" customHeight="1">
      <c r="B493" s="2"/>
      <c r="C493" s="2"/>
      <c r="D493" s="2"/>
      <c r="E493" s="2"/>
      <c r="F493" s="2"/>
      <c r="G493" s="2"/>
      <c r="H493" s="2"/>
      <c r="I493" s="2"/>
      <c r="J493" s="2"/>
      <c r="K493" s="2"/>
      <c r="L493" s="2"/>
      <c r="M493" s="2"/>
      <c r="N493" s="2"/>
    </row>
    <row r="494" spans="2:14" ht="15.75" customHeight="1">
      <c r="B494" s="2"/>
      <c r="C494" s="2"/>
      <c r="D494" s="2"/>
      <c r="E494" s="2"/>
      <c r="F494" s="2"/>
      <c r="G494" s="2"/>
      <c r="H494" s="2"/>
      <c r="I494" s="2"/>
      <c r="J494" s="2"/>
      <c r="K494" s="2"/>
      <c r="L494" s="2"/>
      <c r="M494" s="2"/>
      <c r="N494" s="2"/>
    </row>
    <row r="495" spans="2:14" ht="15.75" customHeight="1">
      <c r="B495" s="2"/>
      <c r="C495" s="2"/>
      <c r="D495" s="2"/>
      <c r="E495" s="2"/>
      <c r="F495" s="2"/>
      <c r="G495" s="2"/>
      <c r="H495" s="2"/>
      <c r="I495" s="2"/>
      <c r="J495" s="2"/>
      <c r="K495" s="2"/>
      <c r="L495" s="2"/>
      <c r="M495" s="2"/>
      <c r="N495" s="2"/>
    </row>
    <row r="496" spans="2:14" ht="15.75" customHeight="1">
      <c r="B496" s="2"/>
      <c r="C496" s="2"/>
      <c r="D496" s="2"/>
      <c r="E496" s="2"/>
      <c r="F496" s="2"/>
      <c r="G496" s="2"/>
      <c r="H496" s="2"/>
      <c r="I496" s="2"/>
      <c r="J496" s="2"/>
      <c r="K496" s="2"/>
      <c r="L496" s="2"/>
      <c r="M496" s="2"/>
      <c r="N496" s="2"/>
    </row>
    <row r="497" spans="2:14" ht="15.75" customHeight="1">
      <c r="B497" s="2"/>
      <c r="C497" s="2"/>
      <c r="D497" s="2"/>
      <c r="E497" s="2"/>
      <c r="F497" s="2"/>
      <c r="G497" s="2"/>
      <c r="H497" s="2"/>
      <c r="I497" s="2"/>
      <c r="J497" s="2"/>
      <c r="K497" s="2"/>
      <c r="L497" s="2"/>
      <c r="M497" s="2"/>
      <c r="N497" s="2"/>
    </row>
    <row r="498" spans="2:14" ht="15.75" customHeight="1">
      <c r="B498" s="2"/>
      <c r="C498" s="2"/>
      <c r="D498" s="2"/>
      <c r="E498" s="2"/>
      <c r="F498" s="2"/>
      <c r="G498" s="2"/>
      <c r="H498" s="2"/>
      <c r="I498" s="2"/>
      <c r="J498" s="2"/>
      <c r="K498" s="2"/>
      <c r="L498" s="2"/>
      <c r="M498" s="2"/>
      <c r="N498" s="2"/>
    </row>
    <row r="499" spans="2:14" ht="15.75" customHeight="1">
      <c r="B499" s="2"/>
      <c r="C499" s="2"/>
      <c r="D499" s="2"/>
      <c r="E499" s="2"/>
      <c r="F499" s="2"/>
      <c r="G499" s="2"/>
      <c r="H499" s="2"/>
      <c r="I499" s="2"/>
      <c r="J499" s="2"/>
      <c r="K499" s="2"/>
      <c r="L499" s="2"/>
      <c r="M499" s="2"/>
      <c r="N499" s="2"/>
    </row>
    <row r="500" spans="2:14" ht="15.75" customHeight="1">
      <c r="B500" s="2"/>
      <c r="C500" s="2"/>
      <c r="D500" s="2"/>
      <c r="E500" s="2"/>
      <c r="F500" s="2"/>
      <c r="G500" s="2"/>
      <c r="H500" s="2"/>
      <c r="I500" s="2"/>
      <c r="J500" s="2"/>
      <c r="K500" s="2"/>
      <c r="L500" s="2"/>
      <c r="M500" s="2"/>
      <c r="N500" s="2"/>
    </row>
    <row r="501" spans="2:14" ht="15.75" customHeight="1">
      <c r="B501" s="2"/>
      <c r="C501" s="2"/>
      <c r="D501" s="2"/>
      <c r="E501" s="2"/>
      <c r="F501" s="2"/>
      <c r="G501" s="2"/>
      <c r="H501" s="2"/>
      <c r="I501" s="2"/>
      <c r="J501" s="2"/>
      <c r="K501" s="2"/>
      <c r="L501" s="2"/>
      <c r="M501" s="2"/>
      <c r="N501" s="2"/>
    </row>
    <row r="502" spans="2:14" ht="15.75" customHeight="1">
      <c r="B502" s="2"/>
      <c r="C502" s="2"/>
      <c r="D502" s="2"/>
      <c r="E502" s="2"/>
      <c r="F502" s="2"/>
      <c r="G502" s="2"/>
      <c r="H502" s="2"/>
      <c r="I502" s="2"/>
      <c r="J502" s="2"/>
      <c r="K502" s="2"/>
      <c r="L502" s="2"/>
      <c r="M502" s="2"/>
      <c r="N502" s="2"/>
    </row>
    <row r="503" spans="2:14" ht="15.75" customHeight="1">
      <c r="B503" s="2"/>
      <c r="C503" s="2"/>
      <c r="D503" s="2"/>
      <c r="E503" s="2"/>
      <c r="F503" s="2"/>
      <c r="G503" s="2"/>
      <c r="H503" s="2"/>
      <c r="I503" s="2"/>
      <c r="J503" s="2"/>
      <c r="K503" s="2"/>
      <c r="L503" s="2"/>
      <c r="M503" s="2"/>
      <c r="N503" s="2"/>
    </row>
    <row r="504" spans="2:14" ht="15.75" customHeight="1">
      <c r="B504" s="2"/>
      <c r="C504" s="2"/>
      <c r="D504" s="2"/>
      <c r="E504" s="2"/>
      <c r="F504" s="2"/>
      <c r="G504" s="2"/>
      <c r="H504" s="2"/>
      <c r="I504" s="2"/>
      <c r="J504" s="2"/>
      <c r="K504" s="2"/>
      <c r="L504" s="2"/>
      <c r="M504" s="2"/>
      <c r="N504" s="2"/>
    </row>
    <row r="505" spans="2:14" ht="15.75" customHeight="1">
      <c r="B505" s="2"/>
      <c r="C505" s="2"/>
      <c r="D505" s="2"/>
      <c r="E505" s="2"/>
      <c r="F505" s="2"/>
      <c r="G505" s="2"/>
      <c r="H505" s="2"/>
      <c r="I505" s="2"/>
      <c r="J505" s="2"/>
      <c r="K505" s="2"/>
      <c r="L505" s="2"/>
      <c r="M505" s="2"/>
      <c r="N505" s="2"/>
    </row>
    <row r="506" spans="2:14" ht="15.75" customHeight="1">
      <c r="B506" s="2"/>
      <c r="C506" s="2"/>
      <c r="D506" s="2"/>
      <c r="E506" s="2"/>
      <c r="F506" s="2"/>
      <c r="G506" s="2"/>
      <c r="H506" s="2"/>
      <c r="I506" s="2"/>
      <c r="J506" s="2"/>
      <c r="K506" s="2"/>
      <c r="L506" s="2"/>
      <c r="M506" s="2"/>
      <c r="N506" s="2"/>
    </row>
    <row r="507" spans="2:14" ht="15.75" customHeight="1">
      <c r="B507" s="2"/>
      <c r="C507" s="2"/>
      <c r="D507" s="2"/>
      <c r="E507" s="2"/>
      <c r="F507" s="2"/>
      <c r="G507" s="2"/>
      <c r="H507" s="2"/>
      <c r="I507" s="2"/>
      <c r="J507" s="2"/>
      <c r="K507" s="2"/>
      <c r="L507" s="2"/>
      <c r="M507" s="2"/>
      <c r="N507" s="2"/>
    </row>
    <row r="508" spans="2:14" ht="15.75" customHeight="1">
      <c r="B508" s="2"/>
      <c r="C508" s="2"/>
      <c r="D508" s="2"/>
      <c r="E508" s="2"/>
      <c r="F508" s="2"/>
      <c r="G508" s="2"/>
      <c r="H508" s="2"/>
      <c r="I508" s="2"/>
      <c r="J508" s="2"/>
      <c r="K508" s="2"/>
      <c r="L508" s="2"/>
      <c r="M508" s="2"/>
      <c r="N508" s="2"/>
    </row>
    <row r="509" spans="2:14" ht="15.75" customHeight="1">
      <c r="B509" s="2"/>
      <c r="C509" s="2"/>
      <c r="D509" s="2"/>
      <c r="E509" s="2"/>
      <c r="F509" s="2"/>
      <c r="G509" s="2"/>
      <c r="H509" s="2"/>
      <c r="I509" s="2"/>
      <c r="J509" s="2"/>
      <c r="K509" s="2"/>
      <c r="L509" s="2"/>
      <c r="M509" s="2"/>
      <c r="N509" s="2"/>
    </row>
    <row r="510" spans="2:14" ht="15.75" customHeight="1">
      <c r="B510" s="2"/>
      <c r="C510" s="2"/>
      <c r="D510" s="2"/>
      <c r="E510" s="2"/>
      <c r="F510" s="2"/>
      <c r="G510" s="2"/>
      <c r="H510" s="2"/>
      <c r="I510" s="2"/>
      <c r="J510" s="2"/>
      <c r="K510" s="2"/>
      <c r="L510" s="2"/>
      <c r="M510" s="2"/>
      <c r="N510" s="2"/>
    </row>
    <row r="511" spans="2:14" ht="15.75" customHeight="1">
      <c r="B511" s="2"/>
      <c r="C511" s="2"/>
      <c r="D511" s="2"/>
      <c r="E511" s="2"/>
      <c r="F511" s="2"/>
      <c r="G511" s="2"/>
      <c r="H511" s="2"/>
      <c r="I511" s="2"/>
      <c r="J511" s="2"/>
      <c r="K511" s="2"/>
      <c r="L511" s="2"/>
      <c r="M511" s="2"/>
      <c r="N511" s="2"/>
    </row>
    <row r="512" spans="2:14" ht="15.75" customHeight="1">
      <c r="B512" s="2"/>
      <c r="C512" s="2"/>
      <c r="D512" s="2"/>
      <c r="E512" s="2"/>
      <c r="F512" s="2"/>
      <c r="G512" s="2"/>
      <c r="H512" s="2"/>
      <c r="I512" s="2"/>
      <c r="J512" s="2"/>
      <c r="K512" s="2"/>
      <c r="L512" s="2"/>
      <c r="M512" s="2"/>
      <c r="N512" s="2"/>
    </row>
    <row r="513" spans="2:14" ht="15.75" customHeight="1">
      <c r="B513" s="2"/>
      <c r="C513" s="2"/>
      <c r="D513" s="2"/>
      <c r="E513" s="2"/>
      <c r="F513" s="2"/>
      <c r="G513" s="2"/>
      <c r="H513" s="2"/>
      <c r="I513" s="2"/>
      <c r="J513" s="2"/>
      <c r="K513" s="2"/>
      <c r="L513" s="2"/>
      <c r="M513" s="2"/>
      <c r="N513" s="2"/>
    </row>
    <row r="514" spans="2:14" ht="15.75" customHeight="1">
      <c r="B514" s="2"/>
      <c r="C514" s="2"/>
      <c r="D514" s="2"/>
      <c r="E514" s="2"/>
      <c r="F514" s="2"/>
      <c r="G514" s="2"/>
      <c r="H514" s="2"/>
      <c r="I514" s="2"/>
      <c r="J514" s="2"/>
      <c r="K514" s="2"/>
      <c r="L514" s="2"/>
      <c r="M514" s="2"/>
      <c r="N514" s="2"/>
    </row>
    <row r="515" spans="2:14" ht="15.75" customHeight="1">
      <c r="B515" s="2"/>
      <c r="C515" s="2"/>
      <c r="D515" s="2"/>
      <c r="E515" s="2"/>
      <c r="F515" s="2"/>
      <c r="G515" s="2"/>
      <c r="H515" s="2"/>
      <c r="I515" s="2"/>
      <c r="J515" s="2"/>
      <c r="K515" s="2"/>
      <c r="L515" s="2"/>
      <c r="M515" s="2"/>
      <c r="N515" s="2"/>
    </row>
    <row r="516" spans="2:14" ht="15.75" customHeight="1">
      <c r="B516" s="2"/>
      <c r="C516" s="2"/>
      <c r="D516" s="2"/>
      <c r="E516" s="2"/>
      <c r="F516" s="2"/>
      <c r="G516" s="2"/>
      <c r="H516" s="2"/>
      <c r="I516" s="2"/>
      <c r="J516" s="2"/>
      <c r="K516" s="2"/>
      <c r="L516" s="2"/>
      <c r="M516" s="2"/>
      <c r="N516" s="2"/>
    </row>
    <row r="517" spans="2:14" ht="15.75" customHeight="1">
      <c r="B517" s="2"/>
      <c r="C517" s="2"/>
      <c r="D517" s="2"/>
      <c r="E517" s="2"/>
      <c r="F517" s="2"/>
      <c r="G517" s="2"/>
      <c r="H517" s="2"/>
      <c r="I517" s="2"/>
      <c r="J517" s="2"/>
      <c r="K517" s="2"/>
      <c r="L517" s="2"/>
      <c r="M517" s="2"/>
      <c r="N517" s="2"/>
    </row>
    <row r="518" spans="2:14" ht="15.75" customHeight="1">
      <c r="B518" s="2"/>
      <c r="C518" s="2"/>
      <c r="D518" s="2"/>
      <c r="E518" s="2"/>
      <c r="F518" s="2"/>
      <c r="G518" s="2"/>
      <c r="H518" s="2"/>
      <c r="I518" s="2"/>
      <c r="J518" s="2"/>
      <c r="K518" s="2"/>
      <c r="L518" s="2"/>
      <c r="M518" s="2"/>
      <c r="N518" s="2"/>
    </row>
    <row r="519" spans="2:14" ht="15.75" customHeight="1">
      <c r="B519" s="2"/>
      <c r="C519" s="2"/>
      <c r="D519" s="2"/>
      <c r="E519" s="2"/>
      <c r="F519" s="2"/>
      <c r="G519" s="2"/>
      <c r="H519" s="2"/>
      <c r="I519" s="2"/>
      <c r="J519" s="2"/>
      <c r="K519" s="2"/>
      <c r="L519" s="2"/>
      <c r="M519" s="2"/>
      <c r="N519" s="2"/>
    </row>
    <row r="520" spans="2:14" ht="15.75" customHeight="1">
      <c r="B520" s="2"/>
      <c r="C520" s="2"/>
      <c r="D520" s="2"/>
      <c r="E520" s="2"/>
      <c r="F520" s="2"/>
      <c r="G520" s="2"/>
      <c r="H520" s="2"/>
      <c r="I520" s="2"/>
      <c r="J520" s="2"/>
      <c r="K520" s="2"/>
      <c r="L520" s="2"/>
      <c r="M520" s="2"/>
      <c r="N520" s="2"/>
    </row>
    <row r="521" spans="2:14" ht="15.75" customHeight="1">
      <c r="B521" s="2"/>
      <c r="C521" s="2"/>
      <c r="D521" s="2"/>
      <c r="E521" s="2"/>
      <c r="F521" s="2"/>
      <c r="G521" s="2"/>
      <c r="H521" s="2"/>
      <c r="I521" s="2"/>
      <c r="J521" s="2"/>
      <c r="K521" s="2"/>
      <c r="L521" s="2"/>
      <c r="M521" s="2"/>
      <c r="N521" s="2"/>
    </row>
    <row r="522" spans="2:14" ht="15.75" customHeight="1">
      <c r="B522" s="2"/>
      <c r="C522" s="2"/>
      <c r="D522" s="2"/>
      <c r="E522" s="2"/>
      <c r="F522" s="2"/>
      <c r="G522" s="2"/>
      <c r="H522" s="2"/>
      <c r="I522" s="2"/>
      <c r="J522" s="2"/>
      <c r="K522" s="2"/>
      <c r="L522" s="2"/>
      <c r="M522" s="2"/>
      <c r="N522" s="2"/>
    </row>
    <row r="523" spans="2:14" ht="15.75" customHeight="1">
      <c r="B523" s="2"/>
      <c r="C523" s="2"/>
      <c r="D523" s="2"/>
      <c r="E523" s="2"/>
      <c r="F523" s="2"/>
      <c r="G523" s="2"/>
      <c r="H523" s="2"/>
      <c r="I523" s="2"/>
      <c r="J523" s="2"/>
      <c r="K523" s="2"/>
      <c r="L523" s="2"/>
      <c r="M523" s="2"/>
      <c r="N523" s="2"/>
    </row>
    <row r="524" spans="2:14" ht="15.75" customHeight="1">
      <c r="B524" s="2"/>
      <c r="C524" s="2"/>
      <c r="D524" s="2"/>
      <c r="E524" s="2"/>
      <c r="F524" s="2"/>
      <c r="G524" s="2"/>
      <c r="H524" s="2"/>
      <c r="I524" s="2"/>
      <c r="J524" s="2"/>
      <c r="K524" s="2"/>
      <c r="L524" s="2"/>
      <c r="M524" s="2"/>
      <c r="N524" s="2"/>
    </row>
    <row r="525" spans="2:14" ht="15.75" customHeight="1">
      <c r="B525" s="2"/>
      <c r="C525" s="2"/>
      <c r="D525" s="2"/>
      <c r="E525" s="2"/>
      <c r="F525" s="2"/>
      <c r="G525" s="2"/>
      <c r="H525" s="2"/>
      <c r="I525" s="2"/>
      <c r="J525" s="2"/>
      <c r="K525" s="2"/>
      <c r="L525" s="2"/>
      <c r="M525" s="2"/>
      <c r="N525" s="2"/>
    </row>
    <row r="526" spans="2:14" ht="15.75" customHeight="1">
      <c r="B526" s="2"/>
      <c r="C526" s="2"/>
      <c r="D526" s="2"/>
      <c r="E526" s="2"/>
      <c r="F526" s="2"/>
      <c r="G526" s="2"/>
      <c r="H526" s="2"/>
      <c r="I526" s="2"/>
      <c r="J526" s="2"/>
      <c r="K526" s="2"/>
      <c r="L526" s="2"/>
      <c r="M526" s="2"/>
      <c r="N526" s="2"/>
    </row>
    <row r="527" spans="2:14" ht="15.75" customHeight="1">
      <c r="B527" s="2"/>
      <c r="C527" s="2"/>
      <c r="D527" s="2"/>
      <c r="E527" s="2"/>
      <c r="F527" s="2"/>
      <c r="G527" s="2"/>
      <c r="H527" s="2"/>
      <c r="I527" s="2"/>
      <c r="J527" s="2"/>
      <c r="K527" s="2"/>
      <c r="L527" s="2"/>
      <c r="M527" s="2"/>
      <c r="N527" s="2"/>
    </row>
    <row r="528" spans="2:14" ht="15.75" customHeight="1">
      <c r="B528" s="2"/>
      <c r="C528" s="2"/>
      <c r="D528" s="2"/>
      <c r="E528" s="2"/>
      <c r="F528" s="2"/>
      <c r="G528" s="2"/>
      <c r="H528" s="2"/>
      <c r="I528" s="2"/>
      <c r="J528" s="2"/>
      <c r="K528" s="2"/>
      <c r="L528" s="2"/>
      <c r="M528" s="2"/>
      <c r="N528" s="2"/>
    </row>
    <row r="529" spans="2:14" ht="15.75" customHeight="1">
      <c r="B529" s="2"/>
      <c r="C529" s="2"/>
      <c r="D529" s="2"/>
      <c r="E529" s="2"/>
      <c r="F529" s="2"/>
      <c r="G529" s="2"/>
      <c r="H529" s="2"/>
      <c r="I529" s="2"/>
      <c r="J529" s="2"/>
      <c r="K529" s="2"/>
      <c r="L529" s="2"/>
      <c r="M529" s="2"/>
      <c r="N529" s="2"/>
    </row>
    <row r="530" spans="2:14" ht="15.75" customHeight="1">
      <c r="B530" s="2"/>
      <c r="C530" s="2"/>
      <c r="D530" s="2"/>
      <c r="E530" s="2"/>
      <c r="F530" s="2"/>
      <c r="G530" s="2"/>
      <c r="H530" s="2"/>
      <c r="I530" s="2"/>
      <c r="J530" s="2"/>
      <c r="K530" s="2"/>
      <c r="L530" s="2"/>
      <c r="M530" s="2"/>
      <c r="N530" s="2"/>
    </row>
    <row r="531" spans="2:14" ht="15.75" customHeight="1">
      <c r="B531" s="2"/>
      <c r="C531" s="2"/>
      <c r="D531" s="2"/>
      <c r="E531" s="2"/>
      <c r="F531" s="2"/>
      <c r="G531" s="2"/>
      <c r="H531" s="2"/>
      <c r="I531" s="2"/>
      <c r="J531" s="2"/>
      <c r="K531" s="2"/>
      <c r="L531" s="2"/>
      <c r="M531" s="2"/>
      <c r="N531" s="2"/>
    </row>
    <row r="532" spans="2:14" ht="15.75" customHeight="1">
      <c r="B532" s="2"/>
      <c r="C532" s="2"/>
      <c r="D532" s="2"/>
      <c r="E532" s="2"/>
      <c r="F532" s="2"/>
      <c r="G532" s="2"/>
      <c r="H532" s="2"/>
      <c r="I532" s="2"/>
      <c r="J532" s="2"/>
      <c r="K532" s="2"/>
      <c r="L532" s="2"/>
      <c r="M532" s="2"/>
      <c r="N532" s="2"/>
    </row>
    <row r="533" spans="2:14" ht="15.75" customHeight="1">
      <c r="B533" s="2"/>
      <c r="C533" s="2"/>
      <c r="D533" s="2"/>
      <c r="E533" s="2"/>
      <c r="F533" s="2"/>
      <c r="G533" s="2"/>
      <c r="H533" s="2"/>
      <c r="I533" s="2"/>
      <c r="J533" s="2"/>
      <c r="K533" s="2"/>
      <c r="L533" s="2"/>
      <c r="M533" s="2"/>
      <c r="N533" s="2"/>
    </row>
    <row r="534" spans="2:14" ht="15.75" customHeight="1">
      <c r="B534" s="2"/>
      <c r="C534" s="2"/>
      <c r="D534" s="2"/>
      <c r="E534" s="2"/>
      <c r="F534" s="2"/>
      <c r="G534" s="2"/>
      <c r="H534" s="2"/>
      <c r="I534" s="2"/>
      <c r="J534" s="2"/>
      <c r="K534" s="2"/>
      <c r="L534" s="2"/>
      <c r="M534" s="2"/>
      <c r="N534" s="2"/>
    </row>
    <row r="535" spans="2:14" ht="15.75" customHeight="1">
      <c r="B535" s="2"/>
      <c r="C535" s="2"/>
      <c r="D535" s="2"/>
      <c r="E535" s="2"/>
      <c r="F535" s="2"/>
      <c r="G535" s="2"/>
      <c r="H535" s="2"/>
      <c r="I535" s="2"/>
      <c r="J535" s="2"/>
      <c r="K535" s="2"/>
      <c r="L535" s="2"/>
      <c r="M535" s="2"/>
      <c r="N535" s="2"/>
    </row>
    <row r="536" spans="2:14" ht="15.75" customHeight="1">
      <c r="B536" s="2"/>
      <c r="C536" s="2"/>
      <c r="D536" s="2"/>
      <c r="E536" s="2"/>
      <c r="F536" s="2"/>
      <c r="G536" s="2"/>
      <c r="H536" s="2"/>
      <c r="I536" s="2"/>
      <c r="J536" s="2"/>
      <c r="K536" s="2"/>
      <c r="L536" s="2"/>
      <c r="M536" s="2"/>
      <c r="N536" s="2"/>
    </row>
    <row r="537" spans="2:14" ht="15.75" customHeight="1">
      <c r="B537" s="2"/>
      <c r="C537" s="2"/>
      <c r="D537" s="2"/>
      <c r="E537" s="2"/>
      <c r="F537" s="2"/>
      <c r="G537" s="2"/>
      <c r="H537" s="2"/>
      <c r="I537" s="2"/>
      <c r="J537" s="2"/>
      <c r="K537" s="2"/>
      <c r="L537" s="2"/>
      <c r="M537" s="2"/>
      <c r="N537" s="2"/>
    </row>
    <row r="538" spans="2:14" ht="15.75" customHeight="1">
      <c r="B538" s="2"/>
      <c r="C538" s="2"/>
      <c r="D538" s="2"/>
      <c r="E538" s="2"/>
      <c r="F538" s="2"/>
      <c r="G538" s="2"/>
      <c r="H538" s="2"/>
      <c r="I538" s="2"/>
      <c r="J538" s="2"/>
      <c r="K538" s="2"/>
      <c r="L538" s="2"/>
      <c r="M538" s="2"/>
      <c r="N538" s="2"/>
    </row>
    <row r="539" spans="2:14" ht="15.75" customHeight="1">
      <c r="B539" s="2"/>
      <c r="C539" s="2"/>
      <c r="D539" s="2"/>
      <c r="E539" s="2"/>
      <c r="F539" s="2"/>
      <c r="G539" s="2"/>
      <c r="H539" s="2"/>
      <c r="I539" s="2"/>
      <c r="J539" s="2"/>
      <c r="K539" s="2"/>
      <c r="L539" s="2"/>
      <c r="M539" s="2"/>
      <c r="N539" s="2"/>
    </row>
    <row r="540" spans="2:14" ht="15.75" customHeight="1">
      <c r="B540" s="2"/>
      <c r="C540" s="2"/>
      <c r="D540" s="2"/>
      <c r="E540" s="2"/>
      <c r="F540" s="2"/>
      <c r="G540" s="2"/>
      <c r="H540" s="2"/>
      <c r="I540" s="2"/>
      <c r="J540" s="2"/>
      <c r="K540" s="2"/>
      <c r="L540" s="2"/>
      <c r="M540" s="2"/>
      <c r="N540" s="2"/>
    </row>
    <row r="541" spans="2:14" ht="15.75" customHeight="1">
      <c r="B541" s="2"/>
      <c r="C541" s="2"/>
      <c r="D541" s="2"/>
      <c r="E541" s="2"/>
      <c r="F541" s="2"/>
      <c r="G541" s="2"/>
      <c r="H541" s="2"/>
      <c r="I541" s="2"/>
      <c r="J541" s="2"/>
      <c r="K541" s="2"/>
      <c r="L541" s="2"/>
      <c r="M541" s="2"/>
      <c r="N541" s="2"/>
    </row>
    <row r="542" spans="2:14" ht="15.75" customHeight="1">
      <c r="B542" s="2"/>
      <c r="C542" s="2"/>
      <c r="D542" s="2"/>
      <c r="E542" s="2"/>
      <c r="F542" s="2"/>
      <c r="G542" s="2"/>
      <c r="H542" s="2"/>
      <c r="I542" s="2"/>
      <c r="J542" s="2"/>
      <c r="K542" s="2"/>
      <c r="L542" s="2"/>
      <c r="M542" s="2"/>
      <c r="N542" s="2"/>
    </row>
    <row r="543" spans="2:14" ht="15.75" customHeight="1">
      <c r="B543" s="2"/>
      <c r="C543" s="2"/>
      <c r="D543" s="2"/>
      <c r="E543" s="2"/>
      <c r="F543" s="2"/>
      <c r="G543" s="2"/>
      <c r="H543" s="2"/>
      <c r="I543" s="2"/>
      <c r="J543" s="2"/>
      <c r="K543" s="2"/>
      <c r="L543" s="2"/>
      <c r="M543" s="2"/>
      <c r="N543" s="2"/>
    </row>
    <row r="544" spans="2:14" ht="15.75" customHeight="1">
      <c r="B544" s="2"/>
      <c r="C544" s="2"/>
      <c r="D544" s="2"/>
      <c r="E544" s="2"/>
      <c r="F544" s="2"/>
      <c r="G544" s="2"/>
      <c r="H544" s="2"/>
      <c r="I544" s="2"/>
      <c r="J544" s="2"/>
      <c r="K544" s="2"/>
      <c r="L544" s="2"/>
      <c r="M544" s="2"/>
      <c r="N544" s="2"/>
    </row>
    <row r="545" spans="2:14" ht="15.75" customHeight="1">
      <c r="B545" s="2"/>
      <c r="C545" s="2"/>
      <c r="D545" s="2"/>
      <c r="E545" s="2"/>
      <c r="F545" s="2"/>
      <c r="G545" s="2"/>
      <c r="H545" s="2"/>
      <c r="I545" s="2"/>
      <c r="J545" s="2"/>
      <c r="K545" s="2"/>
      <c r="L545" s="2"/>
      <c r="M545" s="2"/>
      <c r="N545" s="2"/>
    </row>
    <row r="546" spans="2:14" ht="15.75" customHeight="1">
      <c r="B546" s="2"/>
      <c r="C546" s="2"/>
      <c r="D546" s="2"/>
      <c r="E546" s="2"/>
      <c r="F546" s="2"/>
      <c r="G546" s="2"/>
      <c r="H546" s="2"/>
      <c r="I546" s="2"/>
      <c r="J546" s="2"/>
      <c r="K546" s="2"/>
      <c r="L546" s="2"/>
      <c r="M546" s="2"/>
      <c r="N546" s="2"/>
    </row>
    <row r="547" spans="2:14" ht="15.75" customHeight="1">
      <c r="B547" s="2"/>
      <c r="C547" s="2"/>
      <c r="D547" s="2"/>
      <c r="E547" s="2"/>
      <c r="F547" s="2"/>
      <c r="G547" s="2"/>
      <c r="H547" s="2"/>
      <c r="I547" s="2"/>
      <c r="J547" s="2"/>
      <c r="K547" s="2"/>
      <c r="L547" s="2"/>
      <c r="M547" s="2"/>
      <c r="N547" s="2"/>
    </row>
    <row r="548" spans="2:14" ht="15.75" customHeight="1">
      <c r="B548" s="2"/>
      <c r="C548" s="2"/>
      <c r="D548" s="2"/>
      <c r="E548" s="2"/>
      <c r="F548" s="2"/>
      <c r="G548" s="2"/>
      <c r="H548" s="2"/>
      <c r="I548" s="2"/>
      <c r="J548" s="2"/>
      <c r="K548" s="2"/>
      <c r="L548" s="2"/>
      <c r="M548" s="2"/>
      <c r="N548" s="2"/>
    </row>
    <row r="549" spans="2:14" ht="15.75" customHeight="1">
      <c r="B549" s="2"/>
      <c r="C549" s="2"/>
      <c r="D549" s="2"/>
      <c r="E549" s="2"/>
      <c r="F549" s="2"/>
      <c r="G549" s="2"/>
      <c r="H549" s="2"/>
      <c r="I549" s="2"/>
      <c r="J549" s="2"/>
      <c r="K549" s="2"/>
      <c r="L549" s="2"/>
      <c r="M549" s="2"/>
      <c r="N549" s="2"/>
    </row>
    <row r="550" spans="2:14" ht="15.75" customHeight="1">
      <c r="B550" s="2"/>
      <c r="C550" s="2"/>
      <c r="D550" s="2"/>
      <c r="E550" s="2"/>
      <c r="F550" s="2"/>
      <c r="G550" s="2"/>
      <c r="H550" s="2"/>
      <c r="I550" s="2"/>
      <c r="J550" s="2"/>
      <c r="K550" s="2"/>
      <c r="L550" s="2"/>
      <c r="M550" s="2"/>
      <c r="N550" s="2"/>
    </row>
    <row r="551" spans="2:14" ht="15.75" customHeight="1">
      <c r="B551" s="2"/>
      <c r="C551" s="2"/>
      <c r="D551" s="2"/>
      <c r="E551" s="2"/>
      <c r="F551" s="2"/>
      <c r="G551" s="2"/>
      <c r="H551" s="2"/>
      <c r="I551" s="2"/>
      <c r="J551" s="2"/>
      <c r="K551" s="2"/>
      <c r="L551" s="2"/>
      <c r="M551" s="2"/>
      <c r="N551" s="2"/>
    </row>
    <row r="552" spans="2:14" ht="15.75" customHeight="1">
      <c r="B552" s="2"/>
      <c r="C552" s="2"/>
      <c r="D552" s="2"/>
      <c r="E552" s="2"/>
      <c r="F552" s="2"/>
      <c r="G552" s="2"/>
      <c r="H552" s="2"/>
      <c r="I552" s="2"/>
      <c r="J552" s="2"/>
      <c r="K552" s="2"/>
      <c r="L552" s="2"/>
      <c r="M552" s="2"/>
      <c r="N552" s="2"/>
    </row>
    <row r="553" spans="2:14" ht="15.75" customHeight="1">
      <c r="B553" s="2"/>
      <c r="C553" s="2"/>
      <c r="D553" s="2"/>
      <c r="E553" s="2"/>
      <c r="F553" s="2"/>
      <c r="G553" s="2"/>
      <c r="H553" s="2"/>
      <c r="I553" s="2"/>
      <c r="J553" s="2"/>
      <c r="K553" s="2"/>
      <c r="L553" s="2"/>
      <c r="M553" s="2"/>
      <c r="N553" s="2"/>
    </row>
    <row r="554" spans="2:14" ht="15.75" customHeight="1">
      <c r="B554" s="2"/>
      <c r="C554" s="2"/>
      <c r="D554" s="2"/>
      <c r="E554" s="2"/>
      <c r="F554" s="2"/>
      <c r="G554" s="2"/>
      <c r="H554" s="2"/>
      <c r="I554" s="2"/>
      <c r="J554" s="2"/>
      <c r="K554" s="2"/>
      <c r="L554" s="2"/>
      <c r="M554" s="2"/>
      <c r="N554" s="2"/>
    </row>
    <row r="555" spans="2:14" ht="15.75" customHeight="1">
      <c r="B555" s="2"/>
      <c r="C555" s="2"/>
      <c r="D555" s="2"/>
      <c r="E555" s="2"/>
      <c r="F555" s="2"/>
      <c r="G555" s="2"/>
      <c r="H555" s="2"/>
      <c r="I555" s="2"/>
      <c r="J555" s="2"/>
      <c r="K555" s="2"/>
      <c r="L555" s="2"/>
      <c r="M555" s="2"/>
      <c r="N555" s="2"/>
    </row>
    <row r="556" spans="2:14" ht="15.75" customHeight="1">
      <c r="B556" s="2"/>
      <c r="C556" s="2"/>
      <c r="D556" s="2"/>
      <c r="E556" s="2"/>
      <c r="F556" s="2"/>
      <c r="G556" s="2"/>
      <c r="H556" s="2"/>
      <c r="I556" s="2"/>
      <c r="J556" s="2"/>
      <c r="K556" s="2"/>
      <c r="L556" s="2"/>
      <c r="M556" s="2"/>
      <c r="N556" s="2"/>
    </row>
    <row r="557" spans="2:14" ht="15.75" customHeight="1">
      <c r="B557" s="2"/>
      <c r="C557" s="2"/>
      <c r="D557" s="2"/>
      <c r="E557" s="2"/>
      <c r="F557" s="2"/>
      <c r="G557" s="2"/>
      <c r="H557" s="2"/>
      <c r="I557" s="2"/>
      <c r="J557" s="2"/>
      <c r="K557" s="2"/>
      <c r="L557" s="2"/>
      <c r="M557" s="2"/>
      <c r="N557" s="2"/>
    </row>
    <row r="558" spans="2:14" ht="15.75" customHeight="1">
      <c r="B558" s="2"/>
      <c r="C558" s="2"/>
      <c r="D558" s="2"/>
      <c r="E558" s="2"/>
      <c r="F558" s="2"/>
      <c r="G558" s="2"/>
      <c r="H558" s="2"/>
      <c r="I558" s="2"/>
      <c r="J558" s="2"/>
      <c r="K558" s="2"/>
      <c r="L558" s="2"/>
      <c r="M558" s="2"/>
      <c r="N558" s="2"/>
    </row>
    <row r="559" spans="2:14" ht="15.75" customHeight="1">
      <c r="B559" s="2"/>
      <c r="C559" s="2"/>
      <c r="D559" s="2"/>
      <c r="E559" s="2"/>
      <c r="F559" s="2"/>
      <c r="G559" s="2"/>
      <c r="H559" s="2"/>
      <c r="I559" s="2"/>
      <c r="J559" s="2"/>
      <c r="K559" s="2"/>
      <c r="L559" s="2"/>
      <c r="M559" s="2"/>
      <c r="N559" s="2"/>
    </row>
    <row r="560" spans="2:14" ht="15.75" customHeight="1">
      <c r="B560" s="2"/>
      <c r="C560" s="2"/>
      <c r="D560" s="2"/>
      <c r="E560" s="2"/>
      <c r="F560" s="2"/>
      <c r="G560" s="2"/>
      <c r="H560" s="2"/>
      <c r="I560" s="2"/>
      <c r="J560" s="2"/>
      <c r="K560" s="2"/>
      <c r="L560" s="2"/>
      <c r="M560" s="2"/>
      <c r="N560" s="2"/>
    </row>
    <row r="561" spans="2:14" ht="15.75" customHeight="1">
      <c r="B561" s="2"/>
      <c r="C561" s="2"/>
      <c r="D561" s="2"/>
      <c r="E561" s="2"/>
      <c r="F561" s="2"/>
      <c r="G561" s="2"/>
      <c r="H561" s="2"/>
      <c r="I561" s="2"/>
      <c r="J561" s="2"/>
      <c r="K561" s="2"/>
      <c r="L561" s="2"/>
      <c r="M561" s="2"/>
      <c r="N561" s="2"/>
    </row>
    <row r="562" spans="2:14" ht="15.75" customHeight="1">
      <c r="B562" s="2"/>
      <c r="C562" s="2"/>
      <c r="D562" s="2"/>
      <c r="E562" s="2"/>
      <c r="F562" s="2"/>
      <c r="G562" s="2"/>
      <c r="H562" s="2"/>
      <c r="I562" s="2"/>
      <c r="J562" s="2"/>
      <c r="K562" s="2"/>
      <c r="L562" s="2"/>
      <c r="M562" s="2"/>
      <c r="N562" s="2"/>
    </row>
    <row r="563" spans="2:14" ht="15.75" customHeight="1">
      <c r="B563" s="2"/>
      <c r="C563" s="2"/>
      <c r="D563" s="2"/>
      <c r="E563" s="2"/>
      <c r="F563" s="2"/>
      <c r="G563" s="2"/>
      <c r="H563" s="2"/>
      <c r="I563" s="2"/>
      <c r="J563" s="2"/>
      <c r="K563" s="2"/>
      <c r="L563" s="2"/>
      <c r="M563" s="2"/>
      <c r="N563" s="2"/>
    </row>
    <row r="564" spans="2:14" ht="15.75" customHeight="1">
      <c r="B564" s="2"/>
      <c r="C564" s="2"/>
      <c r="D564" s="2"/>
      <c r="E564" s="2"/>
      <c r="F564" s="2"/>
      <c r="G564" s="2"/>
      <c r="H564" s="2"/>
      <c r="I564" s="2"/>
      <c r="J564" s="2"/>
      <c r="K564" s="2"/>
      <c r="L564" s="2"/>
      <c r="M564" s="2"/>
      <c r="N564" s="2"/>
    </row>
    <row r="565" spans="2:14" ht="15.75" customHeight="1">
      <c r="B565" s="2"/>
      <c r="C565" s="2"/>
      <c r="D565" s="2"/>
      <c r="E565" s="2"/>
      <c r="F565" s="2"/>
      <c r="G565" s="2"/>
      <c r="H565" s="2"/>
      <c r="I565" s="2"/>
      <c r="J565" s="2"/>
      <c r="K565" s="2"/>
      <c r="L565" s="2"/>
      <c r="M565" s="2"/>
      <c r="N565" s="2"/>
    </row>
    <row r="566" spans="2:14" ht="15.75" customHeight="1">
      <c r="B566" s="2"/>
      <c r="C566" s="2"/>
      <c r="D566" s="2"/>
      <c r="E566" s="2"/>
      <c r="F566" s="2"/>
      <c r="G566" s="2"/>
      <c r="H566" s="2"/>
      <c r="I566" s="2"/>
      <c r="J566" s="2"/>
      <c r="K566" s="2"/>
      <c r="L566" s="2"/>
      <c r="M566" s="2"/>
      <c r="N566" s="2"/>
    </row>
    <row r="567" spans="2:14" ht="15.75" customHeight="1">
      <c r="B567" s="2"/>
      <c r="C567" s="2"/>
      <c r="D567" s="2"/>
      <c r="E567" s="2"/>
      <c r="F567" s="2"/>
      <c r="G567" s="2"/>
      <c r="H567" s="2"/>
      <c r="I567" s="2"/>
      <c r="J567" s="2"/>
      <c r="K567" s="2"/>
      <c r="L567" s="2"/>
      <c r="M567" s="2"/>
      <c r="N567" s="2"/>
    </row>
    <row r="568" spans="2:14" ht="15.75" customHeight="1">
      <c r="B568" s="2"/>
      <c r="C568" s="2"/>
      <c r="D568" s="2"/>
      <c r="E568" s="2"/>
      <c r="F568" s="2"/>
      <c r="G568" s="2"/>
      <c r="H568" s="2"/>
      <c r="I568" s="2"/>
      <c r="J568" s="2"/>
      <c r="K568" s="2"/>
      <c r="L568" s="2"/>
      <c r="M568" s="2"/>
      <c r="N568" s="2"/>
    </row>
    <row r="569" spans="2:14" ht="15.75" customHeight="1">
      <c r="B569" s="2"/>
      <c r="C569" s="2"/>
      <c r="D569" s="2"/>
      <c r="E569" s="2"/>
      <c r="F569" s="2"/>
      <c r="G569" s="2"/>
      <c r="H569" s="2"/>
      <c r="I569" s="2"/>
      <c r="J569" s="2"/>
      <c r="K569" s="2"/>
      <c r="L569" s="2"/>
      <c r="M569" s="2"/>
      <c r="N569" s="2"/>
    </row>
    <row r="570" spans="2:14" ht="15.75" customHeight="1">
      <c r="B570" s="2"/>
      <c r="C570" s="2"/>
      <c r="D570" s="2"/>
      <c r="E570" s="2"/>
      <c r="F570" s="2"/>
      <c r="G570" s="2"/>
      <c r="H570" s="2"/>
      <c r="I570" s="2"/>
      <c r="J570" s="2"/>
      <c r="K570" s="2"/>
      <c r="L570" s="2"/>
      <c r="M570" s="2"/>
      <c r="N570" s="2"/>
    </row>
    <row r="571" spans="2:14" ht="15.75" customHeight="1">
      <c r="B571" s="2"/>
      <c r="C571" s="2"/>
      <c r="D571" s="2"/>
      <c r="E571" s="2"/>
      <c r="F571" s="2"/>
      <c r="G571" s="2"/>
      <c r="H571" s="2"/>
      <c r="I571" s="2"/>
      <c r="J571" s="2"/>
      <c r="K571" s="2"/>
      <c r="L571" s="2"/>
      <c r="M571" s="2"/>
      <c r="N571" s="2"/>
    </row>
    <row r="572" spans="2:14" ht="15.75" customHeight="1">
      <c r="B572" s="2"/>
      <c r="C572" s="2"/>
      <c r="D572" s="2"/>
      <c r="E572" s="2"/>
      <c r="F572" s="2"/>
      <c r="G572" s="2"/>
      <c r="H572" s="2"/>
      <c r="I572" s="2"/>
      <c r="J572" s="2"/>
      <c r="K572" s="2"/>
      <c r="L572" s="2"/>
      <c r="M572" s="2"/>
      <c r="N572" s="2"/>
    </row>
    <row r="573" spans="2:14" ht="15.75" customHeight="1">
      <c r="B573" s="2"/>
      <c r="C573" s="2"/>
      <c r="D573" s="2"/>
      <c r="E573" s="2"/>
      <c r="F573" s="2"/>
      <c r="G573" s="2"/>
      <c r="H573" s="2"/>
      <c r="I573" s="2"/>
      <c r="J573" s="2"/>
      <c r="K573" s="2"/>
      <c r="L573" s="2"/>
      <c r="M573" s="2"/>
      <c r="N573" s="2"/>
    </row>
    <row r="574" spans="2:14" ht="15.75" customHeight="1">
      <c r="B574" s="2"/>
      <c r="C574" s="2"/>
      <c r="D574" s="2"/>
      <c r="E574" s="2"/>
      <c r="F574" s="2"/>
      <c r="G574" s="2"/>
      <c r="H574" s="2"/>
      <c r="I574" s="2"/>
      <c r="J574" s="2"/>
      <c r="K574" s="2"/>
      <c r="L574" s="2"/>
      <c r="M574" s="2"/>
      <c r="N574" s="2"/>
    </row>
    <row r="575" spans="2:14" ht="15.75" customHeight="1">
      <c r="B575" s="2"/>
      <c r="C575" s="2"/>
      <c r="D575" s="2"/>
      <c r="E575" s="2"/>
      <c r="F575" s="2"/>
      <c r="G575" s="2"/>
      <c r="H575" s="2"/>
      <c r="I575" s="2"/>
      <c r="J575" s="2"/>
      <c r="K575" s="2"/>
      <c r="L575" s="2"/>
      <c r="M575" s="2"/>
      <c r="N575" s="2"/>
    </row>
    <row r="576" spans="2:14" ht="15.75" customHeight="1">
      <c r="B576" s="2"/>
      <c r="C576" s="2"/>
      <c r="D576" s="2"/>
      <c r="E576" s="2"/>
      <c r="F576" s="2"/>
      <c r="G576" s="2"/>
      <c r="H576" s="2"/>
      <c r="I576" s="2"/>
      <c r="J576" s="2"/>
      <c r="K576" s="2"/>
      <c r="L576" s="2"/>
      <c r="M576" s="2"/>
      <c r="N576" s="2"/>
    </row>
    <row r="577" spans="2:14" ht="15.75" customHeight="1">
      <c r="B577" s="2"/>
      <c r="C577" s="2"/>
      <c r="D577" s="2"/>
      <c r="E577" s="2"/>
      <c r="F577" s="2"/>
      <c r="G577" s="2"/>
      <c r="H577" s="2"/>
      <c r="I577" s="2"/>
      <c r="J577" s="2"/>
      <c r="K577" s="2"/>
      <c r="L577" s="2"/>
      <c r="M577" s="2"/>
      <c r="N577" s="2"/>
    </row>
    <row r="578" spans="2:14" ht="15.75" customHeight="1">
      <c r="B578" s="2"/>
      <c r="C578" s="2"/>
      <c r="D578" s="2"/>
      <c r="E578" s="2"/>
      <c r="F578" s="2"/>
      <c r="G578" s="2"/>
      <c r="H578" s="2"/>
      <c r="I578" s="2"/>
      <c r="J578" s="2"/>
      <c r="K578" s="2"/>
      <c r="L578" s="2"/>
      <c r="M578" s="2"/>
      <c r="N578" s="2"/>
    </row>
    <row r="579" spans="2:14" ht="15.75" customHeight="1">
      <c r="B579" s="2"/>
      <c r="C579" s="2"/>
      <c r="D579" s="2"/>
      <c r="E579" s="2"/>
      <c r="F579" s="2"/>
      <c r="G579" s="2"/>
      <c r="H579" s="2"/>
      <c r="I579" s="2"/>
      <c r="J579" s="2"/>
      <c r="K579" s="2"/>
      <c r="L579" s="2"/>
      <c r="M579" s="2"/>
      <c r="N579" s="2"/>
    </row>
    <row r="580" spans="2:14" ht="15.75" customHeight="1">
      <c r="B580" s="2"/>
      <c r="C580" s="2"/>
      <c r="D580" s="2"/>
      <c r="E580" s="2"/>
      <c r="F580" s="2"/>
      <c r="G580" s="2"/>
      <c r="H580" s="2"/>
      <c r="I580" s="2"/>
      <c r="J580" s="2"/>
      <c r="K580" s="2"/>
      <c r="L580" s="2"/>
      <c r="M580" s="2"/>
      <c r="N580" s="2"/>
    </row>
    <row r="581" spans="2:14" ht="15.75" customHeight="1">
      <c r="B581" s="2"/>
      <c r="C581" s="2"/>
      <c r="D581" s="2"/>
      <c r="E581" s="2"/>
      <c r="F581" s="2"/>
      <c r="G581" s="2"/>
      <c r="H581" s="2"/>
      <c r="I581" s="2"/>
      <c r="J581" s="2"/>
      <c r="K581" s="2"/>
      <c r="L581" s="2"/>
      <c r="M581" s="2"/>
      <c r="N581" s="2"/>
    </row>
    <row r="582" spans="2:14" ht="15.75" customHeight="1">
      <c r="B582" s="2"/>
      <c r="C582" s="2"/>
      <c r="D582" s="2"/>
      <c r="E582" s="2"/>
      <c r="F582" s="2"/>
      <c r="G582" s="2"/>
      <c r="H582" s="2"/>
      <c r="I582" s="2"/>
      <c r="J582" s="2"/>
      <c r="K582" s="2"/>
      <c r="L582" s="2"/>
      <c r="M582" s="2"/>
      <c r="N582" s="2"/>
    </row>
    <row r="583" spans="2:14" ht="15.75" customHeight="1">
      <c r="B583" s="2"/>
      <c r="C583" s="2"/>
      <c r="D583" s="2"/>
      <c r="E583" s="2"/>
      <c r="F583" s="2"/>
      <c r="G583" s="2"/>
      <c r="H583" s="2"/>
      <c r="I583" s="2"/>
      <c r="J583" s="2"/>
      <c r="K583" s="2"/>
      <c r="L583" s="2"/>
      <c r="M583" s="2"/>
      <c r="N583" s="2"/>
    </row>
    <row r="584" spans="2:14" ht="15.75" customHeight="1">
      <c r="B584" s="2"/>
      <c r="C584" s="2"/>
      <c r="D584" s="2"/>
      <c r="E584" s="2"/>
      <c r="F584" s="2"/>
      <c r="G584" s="2"/>
      <c r="H584" s="2"/>
      <c r="I584" s="2"/>
      <c r="J584" s="2"/>
      <c r="K584" s="2"/>
      <c r="L584" s="2"/>
      <c r="M584" s="2"/>
      <c r="N584" s="2"/>
    </row>
    <row r="585" spans="2:14" ht="15.75" customHeight="1">
      <c r="B585" s="2"/>
      <c r="C585" s="2"/>
      <c r="D585" s="2"/>
      <c r="E585" s="2"/>
      <c r="F585" s="2"/>
      <c r="G585" s="2"/>
      <c r="H585" s="2"/>
      <c r="I585" s="2"/>
      <c r="J585" s="2"/>
      <c r="K585" s="2"/>
      <c r="L585" s="2"/>
      <c r="M585" s="2"/>
      <c r="N585" s="2"/>
    </row>
    <row r="586" spans="2:14" ht="15.75" customHeight="1">
      <c r="B586" s="2"/>
      <c r="C586" s="2"/>
      <c r="D586" s="2"/>
      <c r="E586" s="2"/>
      <c r="F586" s="2"/>
      <c r="G586" s="2"/>
      <c r="H586" s="2"/>
      <c r="I586" s="2"/>
      <c r="J586" s="2"/>
      <c r="K586" s="2"/>
      <c r="L586" s="2"/>
      <c r="M586" s="2"/>
      <c r="N586" s="2"/>
    </row>
    <row r="587" spans="2:14" ht="15.75" customHeight="1">
      <c r="B587" s="2"/>
      <c r="C587" s="2"/>
      <c r="D587" s="2"/>
      <c r="E587" s="2"/>
      <c r="F587" s="2"/>
      <c r="G587" s="2"/>
      <c r="H587" s="2"/>
      <c r="I587" s="2"/>
      <c r="J587" s="2"/>
      <c r="K587" s="2"/>
      <c r="L587" s="2"/>
      <c r="M587" s="2"/>
      <c r="N587" s="2"/>
    </row>
    <row r="588" spans="2:14" ht="15.75" customHeight="1">
      <c r="B588" s="2"/>
      <c r="C588" s="2"/>
      <c r="D588" s="2"/>
      <c r="E588" s="2"/>
      <c r="F588" s="2"/>
      <c r="G588" s="2"/>
      <c r="H588" s="2"/>
      <c r="I588" s="2"/>
      <c r="J588" s="2"/>
      <c r="K588" s="2"/>
      <c r="L588" s="2"/>
      <c r="M588" s="2"/>
      <c r="N588" s="2"/>
    </row>
    <row r="589" spans="2:14" ht="15.75" customHeight="1">
      <c r="B589" s="2"/>
      <c r="C589" s="2"/>
      <c r="D589" s="2"/>
      <c r="E589" s="2"/>
      <c r="F589" s="2"/>
      <c r="G589" s="2"/>
      <c r="H589" s="2"/>
      <c r="I589" s="2"/>
      <c r="J589" s="2"/>
      <c r="K589" s="2"/>
      <c r="L589" s="2"/>
      <c r="M589" s="2"/>
      <c r="N589" s="2"/>
    </row>
    <row r="590" spans="2:14" ht="15.75" customHeight="1">
      <c r="B590" s="2"/>
      <c r="C590" s="2"/>
      <c r="D590" s="2"/>
      <c r="E590" s="2"/>
      <c r="F590" s="2"/>
      <c r="G590" s="2"/>
      <c r="H590" s="2"/>
      <c r="I590" s="2"/>
      <c r="J590" s="2"/>
      <c r="K590" s="2"/>
      <c r="L590" s="2"/>
      <c r="M590" s="2"/>
      <c r="N590" s="2"/>
    </row>
    <row r="591" spans="2:14" ht="15.75" customHeight="1">
      <c r="B591" s="2"/>
      <c r="C591" s="2"/>
      <c r="D591" s="2"/>
      <c r="E591" s="2"/>
      <c r="F591" s="2"/>
      <c r="G591" s="2"/>
      <c r="H591" s="2"/>
      <c r="I591" s="2"/>
      <c r="J591" s="2"/>
      <c r="K591" s="2"/>
      <c r="L591" s="2"/>
      <c r="M591" s="2"/>
      <c r="N591" s="2"/>
    </row>
    <row r="592" spans="2:14" ht="15.75" customHeight="1">
      <c r="B592" s="2"/>
      <c r="C592" s="2"/>
      <c r="D592" s="2"/>
      <c r="E592" s="2"/>
      <c r="F592" s="2"/>
      <c r="G592" s="2"/>
      <c r="H592" s="2"/>
      <c r="I592" s="2"/>
      <c r="J592" s="2"/>
      <c r="K592" s="2"/>
      <c r="L592" s="2"/>
      <c r="M592" s="2"/>
      <c r="N592" s="2"/>
    </row>
    <row r="593" spans="2:14" ht="15.75" customHeight="1">
      <c r="B593" s="2"/>
      <c r="C593" s="2"/>
      <c r="D593" s="2"/>
      <c r="E593" s="2"/>
      <c r="F593" s="2"/>
      <c r="G593" s="2"/>
      <c r="H593" s="2"/>
      <c r="I593" s="2"/>
      <c r="J593" s="2"/>
      <c r="K593" s="2"/>
      <c r="L593" s="2"/>
      <c r="M593" s="2"/>
      <c r="N593" s="2"/>
    </row>
    <row r="594" spans="2:14" ht="15.75" customHeight="1">
      <c r="B594" s="2"/>
      <c r="C594" s="2"/>
      <c r="D594" s="2"/>
      <c r="E594" s="2"/>
      <c r="F594" s="2"/>
      <c r="G594" s="2"/>
      <c r="H594" s="2"/>
      <c r="I594" s="2"/>
      <c r="J594" s="2"/>
      <c r="K594" s="2"/>
      <c r="L594" s="2"/>
      <c r="M594" s="2"/>
      <c r="N594" s="2"/>
    </row>
    <row r="595" spans="2:14" ht="15.75" customHeight="1">
      <c r="B595" s="2"/>
      <c r="C595" s="2"/>
      <c r="D595" s="2"/>
      <c r="E595" s="2"/>
      <c r="F595" s="2"/>
      <c r="G595" s="2"/>
      <c r="H595" s="2"/>
      <c r="I595" s="2"/>
      <c r="J595" s="2"/>
      <c r="K595" s="2"/>
      <c r="L595" s="2"/>
      <c r="M595" s="2"/>
      <c r="N595" s="2"/>
    </row>
    <row r="596" spans="2:14" ht="15.75" customHeight="1">
      <c r="B596" s="2"/>
      <c r="C596" s="2"/>
      <c r="D596" s="2"/>
      <c r="E596" s="2"/>
      <c r="F596" s="2"/>
      <c r="G596" s="2"/>
      <c r="H596" s="2"/>
      <c r="I596" s="2"/>
      <c r="J596" s="2"/>
      <c r="K596" s="2"/>
      <c r="L596" s="2"/>
      <c r="M596" s="2"/>
      <c r="N596" s="2"/>
    </row>
    <row r="597" spans="2:14" ht="15.75" customHeight="1">
      <c r="B597" s="2"/>
      <c r="C597" s="2"/>
      <c r="D597" s="2"/>
      <c r="E597" s="2"/>
      <c r="F597" s="2"/>
      <c r="G597" s="2"/>
      <c r="H597" s="2"/>
      <c r="I597" s="2"/>
      <c r="J597" s="2"/>
      <c r="K597" s="2"/>
      <c r="L597" s="2"/>
      <c r="M597" s="2"/>
      <c r="N597" s="2"/>
    </row>
    <row r="598" spans="2:14" ht="15.75" customHeight="1">
      <c r="B598" s="2"/>
      <c r="C598" s="2"/>
      <c r="D598" s="2"/>
      <c r="E598" s="2"/>
      <c r="F598" s="2"/>
      <c r="G598" s="2"/>
      <c r="H598" s="2"/>
      <c r="I598" s="2"/>
      <c r="J598" s="2"/>
      <c r="K598" s="2"/>
      <c r="L598" s="2"/>
      <c r="M598" s="2"/>
      <c r="N598" s="2"/>
    </row>
    <row r="599" spans="2:14" ht="15.75" customHeight="1">
      <c r="B599" s="2"/>
      <c r="C599" s="2"/>
      <c r="D599" s="2"/>
      <c r="E599" s="2"/>
      <c r="F599" s="2"/>
      <c r="G599" s="2"/>
      <c r="H599" s="2"/>
      <c r="I599" s="2"/>
      <c r="J599" s="2"/>
      <c r="K599" s="2"/>
      <c r="L599" s="2"/>
      <c r="M599" s="2"/>
      <c r="N599" s="2"/>
    </row>
    <row r="600" spans="2:14" ht="15.75" customHeight="1">
      <c r="B600" s="2"/>
      <c r="C600" s="2"/>
      <c r="D600" s="2"/>
      <c r="E600" s="2"/>
      <c r="F600" s="2"/>
      <c r="G600" s="2"/>
      <c r="H600" s="2"/>
      <c r="I600" s="2"/>
      <c r="J600" s="2"/>
      <c r="K600" s="2"/>
      <c r="L600" s="2"/>
      <c r="M600" s="2"/>
      <c r="N600" s="2"/>
    </row>
    <row r="601" spans="2:14" ht="15.75" customHeight="1">
      <c r="B601" s="2"/>
      <c r="C601" s="2"/>
      <c r="D601" s="2"/>
      <c r="E601" s="2"/>
      <c r="F601" s="2"/>
      <c r="G601" s="2"/>
      <c r="H601" s="2"/>
      <c r="I601" s="2"/>
      <c r="J601" s="2"/>
      <c r="K601" s="2"/>
      <c r="L601" s="2"/>
      <c r="M601" s="2"/>
      <c r="N601" s="2"/>
    </row>
    <row r="602" spans="2:14" ht="15.75" customHeight="1">
      <c r="B602" s="2"/>
      <c r="C602" s="2"/>
      <c r="D602" s="2"/>
      <c r="E602" s="2"/>
      <c r="F602" s="2"/>
      <c r="G602" s="2"/>
      <c r="H602" s="2"/>
      <c r="I602" s="2"/>
      <c r="J602" s="2"/>
      <c r="K602" s="2"/>
      <c r="L602" s="2"/>
      <c r="M602" s="2"/>
      <c r="N602" s="2"/>
    </row>
    <row r="603" spans="2:14" ht="15.75" customHeight="1">
      <c r="B603" s="2"/>
      <c r="C603" s="2"/>
      <c r="D603" s="2"/>
      <c r="E603" s="2"/>
      <c r="F603" s="2"/>
      <c r="G603" s="2"/>
      <c r="H603" s="2"/>
      <c r="I603" s="2"/>
      <c r="J603" s="2"/>
      <c r="K603" s="2"/>
      <c r="L603" s="2"/>
      <c r="M603" s="2"/>
      <c r="N603" s="2"/>
    </row>
    <row r="604" spans="2:14" ht="15.75" customHeight="1">
      <c r="B604" s="2"/>
      <c r="C604" s="2"/>
      <c r="D604" s="2"/>
      <c r="E604" s="2"/>
      <c r="F604" s="2"/>
      <c r="G604" s="2"/>
      <c r="H604" s="2"/>
      <c r="I604" s="2"/>
      <c r="J604" s="2"/>
      <c r="K604" s="2"/>
      <c r="L604" s="2"/>
      <c r="M604" s="2"/>
      <c r="N604" s="2"/>
    </row>
    <row r="605" spans="2:14" ht="15.75" customHeight="1">
      <c r="B605" s="2"/>
      <c r="C605" s="2"/>
      <c r="D605" s="2"/>
      <c r="E605" s="2"/>
      <c r="F605" s="2"/>
      <c r="G605" s="2"/>
      <c r="H605" s="2"/>
      <c r="I605" s="2"/>
      <c r="J605" s="2"/>
      <c r="K605" s="2"/>
      <c r="L605" s="2"/>
      <c r="M605" s="2"/>
      <c r="N605" s="2"/>
    </row>
    <row r="606" spans="2:14" ht="15.75" customHeight="1">
      <c r="B606" s="2"/>
      <c r="C606" s="2"/>
      <c r="D606" s="2"/>
      <c r="E606" s="2"/>
      <c r="F606" s="2"/>
      <c r="G606" s="2"/>
      <c r="H606" s="2"/>
      <c r="I606" s="2"/>
      <c r="J606" s="2"/>
      <c r="K606" s="2"/>
      <c r="L606" s="2"/>
      <c r="M606" s="2"/>
      <c r="N606" s="2"/>
    </row>
    <row r="607" spans="2:14" ht="15.75" customHeight="1">
      <c r="B607" s="2"/>
      <c r="C607" s="2"/>
      <c r="D607" s="2"/>
      <c r="E607" s="2"/>
      <c r="F607" s="2"/>
      <c r="G607" s="2"/>
      <c r="H607" s="2"/>
      <c r="I607" s="2"/>
      <c r="J607" s="2"/>
      <c r="K607" s="2"/>
      <c r="L607" s="2"/>
      <c r="M607" s="2"/>
      <c r="N607" s="2"/>
    </row>
    <row r="608" spans="2:14" ht="15.75" customHeight="1">
      <c r="B608" s="2"/>
      <c r="C608" s="2"/>
      <c r="D608" s="2"/>
      <c r="E608" s="2"/>
      <c r="F608" s="2"/>
      <c r="G608" s="2"/>
      <c r="H608" s="2"/>
      <c r="I608" s="2"/>
      <c r="J608" s="2"/>
      <c r="K608" s="2"/>
      <c r="L608" s="2"/>
      <c r="M608" s="2"/>
      <c r="N608" s="2"/>
    </row>
    <row r="609" spans="2:14" ht="15.75" customHeight="1">
      <c r="B609" s="2"/>
      <c r="C609" s="2"/>
      <c r="D609" s="2"/>
      <c r="E609" s="2"/>
      <c r="F609" s="2"/>
      <c r="G609" s="2"/>
      <c r="H609" s="2"/>
      <c r="I609" s="2"/>
      <c r="J609" s="2"/>
      <c r="K609" s="2"/>
      <c r="L609" s="2"/>
      <c r="M609" s="2"/>
      <c r="N609" s="2"/>
    </row>
    <row r="610" spans="2:14" ht="15.75" customHeight="1">
      <c r="B610" s="2"/>
      <c r="C610" s="2"/>
      <c r="D610" s="2"/>
      <c r="E610" s="2"/>
      <c r="F610" s="2"/>
      <c r="G610" s="2"/>
      <c r="H610" s="2"/>
      <c r="I610" s="2"/>
      <c r="J610" s="2"/>
      <c r="K610" s="2"/>
      <c r="L610" s="2"/>
      <c r="M610" s="2"/>
      <c r="N610" s="2"/>
    </row>
    <row r="611" spans="2:14" ht="15.75" customHeight="1">
      <c r="B611" s="2"/>
      <c r="C611" s="2"/>
      <c r="D611" s="2"/>
      <c r="E611" s="2"/>
      <c r="F611" s="2"/>
      <c r="G611" s="2"/>
      <c r="H611" s="2"/>
      <c r="I611" s="2"/>
      <c r="J611" s="2"/>
      <c r="K611" s="2"/>
      <c r="L611" s="2"/>
      <c r="M611" s="2"/>
      <c r="N611" s="2"/>
    </row>
    <row r="612" spans="2:14" ht="15.75" customHeight="1">
      <c r="B612" s="2"/>
      <c r="C612" s="2"/>
      <c r="D612" s="2"/>
      <c r="E612" s="2"/>
      <c r="F612" s="2"/>
      <c r="G612" s="2"/>
      <c r="H612" s="2"/>
      <c r="I612" s="2"/>
      <c r="J612" s="2"/>
      <c r="K612" s="2"/>
      <c r="L612" s="2"/>
      <c r="M612" s="2"/>
      <c r="N612" s="2"/>
    </row>
    <row r="613" spans="2:14" ht="15.75" customHeight="1">
      <c r="B613" s="2"/>
      <c r="C613" s="2"/>
      <c r="D613" s="2"/>
      <c r="E613" s="2"/>
      <c r="F613" s="2"/>
      <c r="G613" s="2"/>
      <c r="H613" s="2"/>
      <c r="I613" s="2"/>
      <c r="J613" s="2"/>
      <c r="K613" s="2"/>
      <c r="L613" s="2"/>
      <c r="M613" s="2"/>
      <c r="N613" s="2"/>
    </row>
    <row r="614" spans="2:14" ht="15.75" customHeight="1">
      <c r="B614" s="2"/>
      <c r="C614" s="2"/>
      <c r="D614" s="2"/>
      <c r="E614" s="2"/>
      <c r="F614" s="2"/>
      <c r="G614" s="2"/>
      <c r="H614" s="2"/>
      <c r="I614" s="2"/>
      <c r="J614" s="2"/>
      <c r="K614" s="2"/>
      <c r="L614" s="2"/>
      <c r="M614" s="2"/>
      <c r="N614" s="2"/>
    </row>
    <row r="615" spans="2:14" ht="15.75" customHeight="1">
      <c r="B615" s="2"/>
      <c r="C615" s="2"/>
      <c r="D615" s="2"/>
      <c r="E615" s="2"/>
      <c r="F615" s="2"/>
      <c r="G615" s="2"/>
      <c r="H615" s="2"/>
      <c r="I615" s="2"/>
      <c r="J615" s="2"/>
      <c r="K615" s="2"/>
      <c r="L615" s="2"/>
      <c r="M615" s="2"/>
      <c r="N615" s="2"/>
    </row>
    <row r="616" spans="2:14" ht="15.75" customHeight="1">
      <c r="B616" s="2"/>
      <c r="C616" s="2"/>
      <c r="D616" s="2"/>
      <c r="E616" s="2"/>
      <c r="F616" s="2"/>
      <c r="G616" s="2"/>
      <c r="H616" s="2"/>
      <c r="I616" s="2"/>
      <c r="J616" s="2"/>
      <c r="K616" s="2"/>
      <c r="L616" s="2"/>
      <c r="M616" s="2"/>
      <c r="N616" s="2"/>
    </row>
    <row r="617" spans="2:14" ht="15.75" customHeight="1">
      <c r="B617" s="2"/>
      <c r="C617" s="2"/>
      <c r="D617" s="2"/>
      <c r="E617" s="2"/>
      <c r="F617" s="2"/>
      <c r="G617" s="2"/>
      <c r="H617" s="2"/>
      <c r="I617" s="2"/>
      <c r="J617" s="2"/>
      <c r="K617" s="2"/>
      <c r="L617" s="2"/>
      <c r="M617" s="2"/>
      <c r="N617" s="2"/>
    </row>
    <row r="618" spans="2:14" ht="15.75" customHeight="1">
      <c r="B618" s="2"/>
      <c r="C618" s="2"/>
      <c r="D618" s="2"/>
      <c r="E618" s="2"/>
      <c r="F618" s="2"/>
      <c r="G618" s="2"/>
      <c r="H618" s="2"/>
      <c r="I618" s="2"/>
      <c r="J618" s="2"/>
      <c r="K618" s="2"/>
      <c r="L618" s="2"/>
      <c r="M618" s="2"/>
      <c r="N618" s="2"/>
    </row>
    <row r="619" spans="2:14" ht="15.75" customHeight="1">
      <c r="B619" s="2"/>
      <c r="C619" s="2"/>
      <c r="D619" s="2"/>
      <c r="E619" s="2"/>
      <c r="F619" s="2"/>
      <c r="G619" s="2"/>
      <c r="H619" s="2"/>
      <c r="I619" s="2"/>
      <c r="J619" s="2"/>
      <c r="K619" s="2"/>
      <c r="L619" s="2"/>
      <c r="M619" s="2"/>
      <c r="N619" s="2"/>
    </row>
    <row r="620" spans="2:14" ht="15.75" customHeight="1">
      <c r="B620" s="2"/>
      <c r="C620" s="2"/>
      <c r="D620" s="2"/>
      <c r="E620" s="2"/>
      <c r="F620" s="2"/>
      <c r="G620" s="2"/>
      <c r="H620" s="2"/>
      <c r="I620" s="2"/>
      <c r="J620" s="2"/>
      <c r="K620" s="2"/>
      <c r="L620" s="2"/>
      <c r="M620" s="2"/>
      <c r="N620" s="2"/>
    </row>
    <row r="621" spans="2:14" ht="15.75" customHeight="1">
      <c r="B621" s="2"/>
      <c r="C621" s="2"/>
      <c r="D621" s="2"/>
      <c r="E621" s="2"/>
      <c r="F621" s="2"/>
      <c r="G621" s="2"/>
      <c r="H621" s="2"/>
      <c r="I621" s="2"/>
      <c r="J621" s="2"/>
      <c r="K621" s="2"/>
      <c r="L621" s="2"/>
      <c r="M621" s="2"/>
      <c r="N621" s="2"/>
    </row>
    <row r="622" spans="2:14" ht="15.75" customHeight="1">
      <c r="B622" s="2"/>
      <c r="C622" s="2"/>
      <c r="D622" s="2"/>
      <c r="E622" s="2"/>
      <c r="F622" s="2"/>
      <c r="G622" s="2"/>
      <c r="H622" s="2"/>
      <c r="I622" s="2"/>
      <c r="J622" s="2"/>
      <c r="K622" s="2"/>
      <c r="L622" s="2"/>
      <c r="M622" s="2"/>
      <c r="N622" s="2"/>
    </row>
    <row r="623" spans="2:14" ht="15.75" customHeight="1">
      <c r="B623" s="2"/>
      <c r="C623" s="2"/>
      <c r="D623" s="2"/>
      <c r="E623" s="2"/>
      <c r="F623" s="2"/>
      <c r="G623" s="2"/>
      <c r="H623" s="2"/>
      <c r="I623" s="2"/>
      <c r="J623" s="2"/>
      <c r="K623" s="2"/>
      <c r="L623" s="2"/>
      <c r="M623" s="2"/>
      <c r="N623" s="2"/>
    </row>
    <row r="624" spans="2:14" ht="15.75" customHeight="1">
      <c r="B624" s="2"/>
      <c r="C624" s="2"/>
      <c r="D624" s="2"/>
      <c r="E624" s="2"/>
      <c r="F624" s="2"/>
      <c r="G624" s="2"/>
      <c r="H624" s="2"/>
      <c r="I624" s="2"/>
      <c r="J624" s="2"/>
      <c r="K624" s="2"/>
      <c r="L624" s="2"/>
      <c r="M624" s="2"/>
      <c r="N624" s="2"/>
    </row>
    <row r="625" spans="2:14" ht="15.75" customHeight="1">
      <c r="B625" s="2"/>
      <c r="C625" s="2"/>
      <c r="D625" s="2"/>
      <c r="E625" s="2"/>
      <c r="F625" s="2"/>
      <c r="G625" s="2"/>
      <c r="H625" s="2"/>
      <c r="I625" s="2"/>
      <c r="J625" s="2"/>
      <c r="K625" s="2"/>
      <c r="L625" s="2"/>
      <c r="M625" s="2"/>
      <c r="N625" s="2"/>
    </row>
    <row r="626" spans="2:14" ht="15.75" customHeight="1">
      <c r="B626" s="2"/>
      <c r="C626" s="2"/>
      <c r="D626" s="2"/>
      <c r="E626" s="2"/>
      <c r="F626" s="2"/>
      <c r="G626" s="2"/>
      <c r="H626" s="2"/>
      <c r="I626" s="2"/>
      <c r="J626" s="2"/>
      <c r="K626" s="2"/>
      <c r="L626" s="2"/>
      <c r="M626" s="2"/>
      <c r="N626" s="2"/>
    </row>
    <row r="627" spans="2:14" ht="15.75" customHeight="1">
      <c r="B627" s="2"/>
      <c r="C627" s="2"/>
      <c r="D627" s="2"/>
      <c r="E627" s="2"/>
      <c r="F627" s="2"/>
      <c r="G627" s="2"/>
      <c r="H627" s="2"/>
      <c r="I627" s="2"/>
      <c r="J627" s="2"/>
      <c r="K627" s="2"/>
      <c r="L627" s="2"/>
      <c r="M627" s="2"/>
      <c r="N627" s="2"/>
    </row>
    <row r="628" spans="2:14" ht="15.75" customHeight="1">
      <c r="B628" s="2"/>
      <c r="C628" s="2"/>
      <c r="D628" s="2"/>
      <c r="E628" s="2"/>
      <c r="F628" s="2"/>
      <c r="G628" s="2"/>
      <c r="H628" s="2"/>
      <c r="I628" s="2"/>
      <c r="J628" s="2"/>
      <c r="K628" s="2"/>
      <c r="L628" s="2"/>
      <c r="M628" s="2"/>
      <c r="N628" s="2"/>
    </row>
    <row r="629" spans="2:14" ht="15.75" customHeight="1">
      <c r="B629" s="2"/>
      <c r="C629" s="2"/>
      <c r="D629" s="2"/>
      <c r="E629" s="2"/>
      <c r="F629" s="2"/>
      <c r="G629" s="2"/>
      <c r="H629" s="2"/>
      <c r="I629" s="2"/>
      <c r="J629" s="2"/>
      <c r="K629" s="2"/>
      <c r="L629" s="2"/>
      <c r="M629" s="2"/>
      <c r="N629" s="2"/>
    </row>
    <row r="630" spans="2:14" ht="15.75" customHeight="1">
      <c r="B630" s="2"/>
      <c r="C630" s="2"/>
      <c r="D630" s="2"/>
      <c r="E630" s="2"/>
      <c r="F630" s="2"/>
      <c r="G630" s="2"/>
      <c r="H630" s="2"/>
      <c r="I630" s="2"/>
      <c r="J630" s="2"/>
      <c r="K630" s="2"/>
      <c r="L630" s="2"/>
      <c r="M630" s="2"/>
      <c r="N630" s="2"/>
    </row>
    <row r="631" spans="2:14" ht="15.75" customHeight="1">
      <c r="B631" s="2"/>
      <c r="C631" s="2"/>
      <c r="D631" s="2"/>
      <c r="E631" s="2"/>
      <c r="F631" s="2"/>
      <c r="G631" s="2"/>
      <c r="H631" s="2"/>
      <c r="I631" s="2"/>
      <c r="J631" s="2"/>
      <c r="K631" s="2"/>
      <c r="L631" s="2"/>
      <c r="M631" s="2"/>
      <c r="N631" s="2"/>
    </row>
    <row r="632" spans="2:14" ht="15.75" customHeight="1">
      <c r="B632" s="2"/>
      <c r="C632" s="2"/>
      <c r="D632" s="2"/>
      <c r="E632" s="2"/>
      <c r="F632" s="2"/>
      <c r="G632" s="2"/>
      <c r="H632" s="2"/>
      <c r="I632" s="2"/>
      <c r="J632" s="2"/>
      <c r="K632" s="2"/>
      <c r="L632" s="2"/>
      <c r="M632" s="2"/>
      <c r="N632" s="2"/>
    </row>
    <row r="633" spans="2:14" ht="15.75" customHeight="1">
      <c r="B633" s="2"/>
      <c r="C633" s="2"/>
      <c r="D633" s="2"/>
      <c r="E633" s="2"/>
      <c r="F633" s="2"/>
      <c r="G633" s="2"/>
      <c r="H633" s="2"/>
      <c r="I633" s="2"/>
      <c r="J633" s="2"/>
      <c r="K633" s="2"/>
      <c r="L633" s="2"/>
      <c r="M633" s="2"/>
      <c r="N633" s="2"/>
    </row>
    <row r="634" spans="2:14" ht="15.75" customHeight="1">
      <c r="B634" s="2"/>
      <c r="C634" s="2"/>
      <c r="D634" s="2"/>
      <c r="E634" s="2"/>
      <c r="F634" s="2"/>
      <c r="G634" s="2"/>
      <c r="H634" s="2"/>
      <c r="I634" s="2"/>
      <c r="J634" s="2"/>
      <c r="K634" s="2"/>
      <c r="L634" s="2"/>
      <c r="M634" s="2"/>
      <c r="N634" s="2"/>
    </row>
    <row r="635" spans="2:14" ht="15.75" customHeight="1">
      <c r="B635" s="2"/>
      <c r="C635" s="2"/>
      <c r="D635" s="2"/>
      <c r="E635" s="2"/>
      <c r="F635" s="2"/>
      <c r="G635" s="2"/>
      <c r="H635" s="2"/>
      <c r="I635" s="2"/>
      <c r="J635" s="2"/>
      <c r="K635" s="2"/>
      <c r="L635" s="2"/>
      <c r="M635" s="2"/>
      <c r="N635" s="2"/>
    </row>
    <row r="636" spans="2:14" ht="15.75" customHeight="1">
      <c r="B636" s="2"/>
      <c r="C636" s="2"/>
      <c r="D636" s="2"/>
      <c r="E636" s="2"/>
      <c r="F636" s="2"/>
      <c r="G636" s="2"/>
      <c r="H636" s="2"/>
      <c r="I636" s="2"/>
      <c r="J636" s="2"/>
      <c r="K636" s="2"/>
      <c r="L636" s="2"/>
      <c r="M636" s="2"/>
      <c r="N636" s="2"/>
    </row>
    <row r="637" spans="2:14" ht="15.75" customHeight="1">
      <c r="B637" s="2"/>
      <c r="C637" s="2"/>
      <c r="D637" s="2"/>
      <c r="E637" s="2"/>
      <c r="F637" s="2"/>
      <c r="G637" s="2"/>
      <c r="H637" s="2"/>
      <c r="I637" s="2"/>
      <c r="J637" s="2"/>
      <c r="K637" s="2"/>
      <c r="L637" s="2"/>
      <c r="M637" s="2"/>
      <c r="N637" s="2"/>
    </row>
    <row r="638" spans="2:14" ht="15.75" customHeight="1">
      <c r="B638" s="2"/>
      <c r="C638" s="2"/>
      <c r="D638" s="2"/>
      <c r="E638" s="2"/>
      <c r="F638" s="2"/>
      <c r="G638" s="2"/>
      <c r="H638" s="2"/>
      <c r="I638" s="2"/>
      <c r="J638" s="2"/>
      <c r="K638" s="2"/>
      <c r="L638" s="2"/>
      <c r="M638" s="2"/>
      <c r="N638" s="2"/>
    </row>
    <row r="639" spans="2:14" ht="15.75" customHeight="1">
      <c r="B639" s="2"/>
      <c r="C639" s="2"/>
      <c r="D639" s="2"/>
      <c r="E639" s="2"/>
      <c r="F639" s="2"/>
      <c r="G639" s="2"/>
      <c r="H639" s="2"/>
      <c r="I639" s="2"/>
      <c r="J639" s="2"/>
      <c r="K639" s="2"/>
      <c r="L639" s="2"/>
      <c r="M639" s="2"/>
      <c r="N639" s="2"/>
    </row>
    <row r="640" spans="2:14" ht="15.75" customHeight="1">
      <c r="B640" s="2"/>
      <c r="C640" s="2"/>
      <c r="D640" s="2"/>
      <c r="E640" s="2"/>
      <c r="F640" s="2"/>
      <c r="G640" s="2"/>
      <c r="H640" s="2"/>
      <c r="I640" s="2"/>
      <c r="J640" s="2"/>
      <c r="K640" s="2"/>
      <c r="L640" s="2"/>
      <c r="M640" s="2"/>
      <c r="N640" s="2"/>
    </row>
    <row r="641" spans="2:14" ht="15.75" customHeight="1">
      <c r="B641" s="2"/>
      <c r="C641" s="2"/>
      <c r="D641" s="2"/>
      <c r="E641" s="2"/>
      <c r="F641" s="2"/>
      <c r="G641" s="2"/>
      <c r="H641" s="2"/>
      <c r="I641" s="2"/>
      <c r="J641" s="2"/>
      <c r="K641" s="2"/>
      <c r="L641" s="2"/>
      <c r="M641" s="2"/>
      <c r="N641" s="2"/>
    </row>
    <row r="642" spans="2:14" ht="15.75" customHeight="1">
      <c r="B642" s="2"/>
      <c r="C642" s="2"/>
      <c r="D642" s="2"/>
      <c r="E642" s="2"/>
      <c r="F642" s="2"/>
      <c r="G642" s="2"/>
      <c r="H642" s="2"/>
      <c r="I642" s="2"/>
      <c r="J642" s="2"/>
      <c r="K642" s="2"/>
      <c r="L642" s="2"/>
      <c r="M642" s="2"/>
      <c r="N642" s="2"/>
    </row>
    <row r="643" spans="2:14" ht="15.75" customHeight="1">
      <c r="B643" s="2"/>
      <c r="C643" s="2"/>
      <c r="D643" s="2"/>
      <c r="E643" s="2"/>
      <c r="F643" s="2"/>
      <c r="G643" s="2"/>
      <c r="H643" s="2"/>
      <c r="I643" s="2"/>
      <c r="J643" s="2"/>
      <c r="K643" s="2"/>
      <c r="L643" s="2"/>
      <c r="M643" s="2"/>
      <c r="N643" s="2"/>
    </row>
    <row r="644" spans="2:14" ht="15.75" customHeight="1">
      <c r="B644" s="2"/>
      <c r="C644" s="2"/>
      <c r="D644" s="2"/>
      <c r="E644" s="2"/>
      <c r="F644" s="2"/>
      <c r="G644" s="2"/>
      <c r="H644" s="2"/>
      <c r="I644" s="2"/>
      <c r="J644" s="2"/>
      <c r="K644" s="2"/>
      <c r="L644" s="2"/>
      <c r="M644" s="2"/>
      <c r="N644" s="2"/>
    </row>
    <row r="645" spans="2:14" ht="15.75" customHeight="1">
      <c r="B645" s="2"/>
      <c r="C645" s="2"/>
      <c r="D645" s="2"/>
      <c r="E645" s="2"/>
      <c r="F645" s="2"/>
      <c r="G645" s="2"/>
      <c r="H645" s="2"/>
      <c r="I645" s="2"/>
      <c r="J645" s="2"/>
      <c r="K645" s="2"/>
      <c r="L645" s="2"/>
      <c r="M645" s="2"/>
      <c r="N645" s="2"/>
    </row>
    <row r="646" spans="2:14" ht="15.75" customHeight="1">
      <c r="B646" s="2"/>
      <c r="C646" s="2"/>
      <c r="D646" s="2"/>
      <c r="E646" s="2"/>
      <c r="F646" s="2"/>
      <c r="G646" s="2"/>
      <c r="H646" s="2"/>
      <c r="I646" s="2"/>
      <c r="J646" s="2"/>
      <c r="K646" s="2"/>
      <c r="L646" s="2"/>
      <c r="M646" s="2"/>
      <c r="N646" s="2"/>
    </row>
    <row r="647" spans="2:14" ht="15.75" customHeight="1">
      <c r="B647" s="2"/>
      <c r="C647" s="2"/>
      <c r="D647" s="2"/>
      <c r="E647" s="2"/>
      <c r="F647" s="2"/>
      <c r="G647" s="2"/>
      <c r="H647" s="2"/>
      <c r="I647" s="2"/>
      <c r="J647" s="2"/>
      <c r="K647" s="2"/>
      <c r="L647" s="2"/>
      <c r="M647" s="2"/>
      <c r="N647" s="2"/>
    </row>
    <row r="648" spans="2:14" ht="15.75" customHeight="1">
      <c r="B648" s="2"/>
      <c r="C648" s="2"/>
      <c r="D648" s="2"/>
      <c r="E648" s="2"/>
      <c r="F648" s="2"/>
      <c r="G648" s="2"/>
      <c r="H648" s="2"/>
      <c r="I648" s="2"/>
      <c r="J648" s="2"/>
      <c r="K648" s="2"/>
      <c r="L648" s="2"/>
      <c r="M648" s="2"/>
      <c r="N648" s="2"/>
    </row>
    <row r="649" spans="2:14" ht="15.75" customHeight="1">
      <c r="B649" s="2"/>
      <c r="C649" s="2"/>
      <c r="D649" s="2"/>
      <c r="E649" s="2"/>
      <c r="F649" s="2"/>
      <c r="G649" s="2"/>
      <c r="H649" s="2"/>
      <c r="I649" s="2"/>
      <c r="J649" s="2"/>
      <c r="K649" s="2"/>
      <c r="L649" s="2"/>
      <c r="M649" s="2"/>
      <c r="N649" s="2"/>
    </row>
    <row r="650" spans="2:14" ht="15.75" customHeight="1">
      <c r="B650" s="2"/>
      <c r="C650" s="2"/>
      <c r="D650" s="2"/>
      <c r="E650" s="2"/>
      <c r="F650" s="2"/>
      <c r="G650" s="2"/>
      <c r="H650" s="2"/>
      <c r="I650" s="2"/>
      <c r="J650" s="2"/>
      <c r="K650" s="2"/>
      <c r="L650" s="2"/>
      <c r="M650" s="2"/>
      <c r="N650" s="2"/>
    </row>
    <row r="651" spans="2:14" ht="15.75" customHeight="1">
      <c r="B651" s="2"/>
      <c r="C651" s="2"/>
      <c r="D651" s="2"/>
      <c r="E651" s="2"/>
      <c r="F651" s="2"/>
      <c r="G651" s="2"/>
      <c r="H651" s="2"/>
      <c r="I651" s="2"/>
      <c r="J651" s="2"/>
      <c r="K651" s="2"/>
      <c r="L651" s="2"/>
      <c r="M651" s="2"/>
      <c r="N651" s="2"/>
    </row>
    <row r="652" spans="2:14" ht="15.75" customHeight="1">
      <c r="B652" s="2"/>
      <c r="C652" s="2"/>
      <c r="D652" s="2"/>
      <c r="E652" s="2"/>
      <c r="F652" s="2"/>
      <c r="G652" s="2"/>
      <c r="H652" s="2"/>
      <c r="I652" s="2"/>
      <c r="J652" s="2"/>
      <c r="K652" s="2"/>
      <c r="L652" s="2"/>
      <c r="M652" s="2"/>
      <c r="N652" s="2"/>
    </row>
    <row r="653" spans="2:14" ht="15.75" customHeight="1">
      <c r="B653" s="2"/>
      <c r="C653" s="2"/>
      <c r="D653" s="2"/>
      <c r="E653" s="2"/>
      <c r="F653" s="2"/>
      <c r="G653" s="2"/>
      <c r="H653" s="2"/>
      <c r="I653" s="2"/>
      <c r="J653" s="2"/>
      <c r="K653" s="2"/>
      <c r="L653" s="2"/>
      <c r="M653" s="2"/>
      <c r="N653" s="2"/>
    </row>
    <row r="654" spans="2:14" ht="15.75" customHeight="1">
      <c r="B654" s="2"/>
      <c r="C654" s="2"/>
      <c r="D654" s="2"/>
      <c r="E654" s="2"/>
      <c r="F654" s="2"/>
      <c r="G654" s="2"/>
      <c r="H654" s="2"/>
      <c r="I654" s="2"/>
      <c r="J654" s="2"/>
      <c r="K654" s="2"/>
      <c r="L654" s="2"/>
      <c r="M654" s="2"/>
      <c r="N654" s="2"/>
    </row>
    <row r="655" spans="2:14" ht="15.75" customHeight="1">
      <c r="B655" s="2"/>
      <c r="C655" s="2"/>
      <c r="D655" s="2"/>
      <c r="E655" s="2"/>
      <c r="F655" s="2"/>
      <c r="G655" s="2"/>
      <c r="H655" s="2"/>
      <c r="I655" s="2"/>
      <c r="J655" s="2"/>
      <c r="K655" s="2"/>
      <c r="L655" s="2"/>
      <c r="M655" s="2"/>
      <c r="N655" s="2"/>
    </row>
    <row r="656" spans="2:14" ht="15.75" customHeight="1">
      <c r="B656" s="2"/>
      <c r="C656" s="2"/>
      <c r="D656" s="2"/>
      <c r="E656" s="2"/>
      <c r="F656" s="2"/>
      <c r="G656" s="2"/>
      <c r="H656" s="2"/>
      <c r="I656" s="2"/>
      <c r="J656" s="2"/>
      <c r="K656" s="2"/>
      <c r="L656" s="2"/>
      <c r="M656" s="2"/>
      <c r="N656" s="2"/>
    </row>
    <row r="657" spans="2:14" ht="15.75" customHeight="1">
      <c r="B657" s="2"/>
      <c r="C657" s="2"/>
      <c r="D657" s="2"/>
      <c r="E657" s="2"/>
      <c r="F657" s="2"/>
      <c r="G657" s="2"/>
      <c r="H657" s="2"/>
      <c r="I657" s="2"/>
      <c r="J657" s="2"/>
      <c r="K657" s="2"/>
      <c r="L657" s="2"/>
      <c r="M657" s="2"/>
      <c r="N657" s="2"/>
    </row>
    <row r="658" spans="2:14" ht="15.75" customHeight="1">
      <c r="B658" s="2"/>
      <c r="C658" s="2"/>
      <c r="D658" s="2"/>
      <c r="E658" s="2"/>
      <c r="F658" s="2"/>
      <c r="G658" s="2"/>
      <c r="H658" s="2"/>
      <c r="I658" s="2"/>
      <c r="J658" s="2"/>
      <c r="K658" s="2"/>
      <c r="L658" s="2"/>
      <c r="M658" s="2"/>
      <c r="N658" s="2"/>
    </row>
    <row r="659" spans="2:14" ht="15.75" customHeight="1">
      <c r="B659" s="2"/>
      <c r="C659" s="2"/>
      <c r="D659" s="2"/>
      <c r="E659" s="2"/>
      <c r="F659" s="2"/>
      <c r="G659" s="2"/>
      <c r="H659" s="2"/>
      <c r="I659" s="2"/>
      <c r="J659" s="2"/>
      <c r="K659" s="2"/>
      <c r="L659" s="2"/>
      <c r="M659" s="2"/>
      <c r="N659" s="2"/>
    </row>
    <row r="660" spans="2:14" ht="15.75" customHeight="1">
      <c r="B660" s="2"/>
      <c r="C660" s="2"/>
      <c r="D660" s="2"/>
      <c r="E660" s="2"/>
      <c r="F660" s="2"/>
      <c r="G660" s="2"/>
      <c r="H660" s="2"/>
      <c r="I660" s="2"/>
      <c r="J660" s="2"/>
      <c r="K660" s="2"/>
      <c r="L660" s="2"/>
      <c r="M660" s="2"/>
      <c r="N660" s="2"/>
    </row>
    <row r="661" spans="2:14" ht="15.75" customHeight="1">
      <c r="B661" s="2"/>
      <c r="C661" s="2"/>
      <c r="D661" s="2"/>
      <c r="E661" s="2"/>
      <c r="F661" s="2"/>
      <c r="G661" s="2"/>
      <c r="H661" s="2"/>
      <c r="I661" s="2"/>
      <c r="J661" s="2"/>
      <c r="K661" s="2"/>
      <c r="L661" s="2"/>
      <c r="M661" s="2"/>
      <c r="N661" s="2"/>
    </row>
    <row r="662" spans="2:14" ht="15.75" customHeight="1">
      <c r="B662" s="2"/>
      <c r="C662" s="2"/>
      <c r="D662" s="2"/>
      <c r="E662" s="2"/>
      <c r="F662" s="2"/>
      <c r="G662" s="2"/>
      <c r="H662" s="2"/>
      <c r="I662" s="2"/>
      <c r="J662" s="2"/>
      <c r="K662" s="2"/>
      <c r="L662" s="2"/>
      <c r="M662" s="2"/>
      <c r="N662" s="2"/>
    </row>
    <row r="663" spans="2:14" ht="15.75" customHeight="1">
      <c r="B663" s="2"/>
      <c r="C663" s="2"/>
      <c r="D663" s="2"/>
      <c r="E663" s="2"/>
      <c r="F663" s="2"/>
      <c r="G663" s="2"/>
      <c r="H663" s="2"/>
      <c r="I663" s="2"/>
      <c r="J663" s="2"/>
      <c r="K663" s="2"/>
      <c r="L663" s="2"/>
      <c r="M663" s="2"/>
      <c r="N663" s="2"/>
    </row>
    <row r="664" spans="2:14" ht="15.75" customHeight="1">
      <c r="B664" s="2"/>
      <c r="C664" s="2"/>
      <c r="D664" s="2"/>
      <c r="E664" s="2"/>
      <c r="F664" s="2"/>
      <c r="G664" s="2"/>
      <c r="H664" s="2"/>
      <c r="I664" s="2"/>
      <c r="J664" s="2"/>
      <c r="K664" s="2"/>
      <c r="L664" s="2"/>
      <c r="M664" s="2"/>
      <c r="N664" s="2"/>
    </row>
    <row r="665" spans="2:14" ht="15.75" customHeight="1">
      <c r="B665" s="2"/>
      <c r="C665" s="2"/>
      <c r="D665" s="2"/>
      <c r="E665" s="2"/>
      <c r="F665" s="2"/>
      <c r="G665" s="2"/>
      <c r="H665" s="2"/>
      <c r="I665" s="2"/>
      <c r="J665" s="2"/>
      <c r="K665" s="2"/>
      <c r="L665" s="2"/>
      <c r="M665" s="2"/>
      <c r="N665" s="2"/>
    </row>
    <row r="666" spans="2:14" ht="15.75" customHeight="1">
      <c r="B666" s="2"/>
      <c r="C666" s="2"/>
      <c r="D666" s="2"/>
      <c r="E666" s="2"/>
      <c r="F666" s="2"/>
      <c r="G666" s="2"/>
      <c r="H666" s="2"/>
      <c r="I666" s="2"/>
      <c r="J666" s="2"/>
      <c r="K666" s="2"/>
      <c r="L666" s="2"/>
      <c r="M666" s="2"/>
      <c r="N666" s="2"/>
    </row>
    <row r="667" spans="2:14" ht="15.75" customHeight="1">
      <c r="B667" s="2"/>
      <c r="C667" s="2"/>
      <c r="D667" s="2"/>
      <c r="E667" s="2"/>
      <c r="F667" s="2"/>
      <c r="G667" s="2"/>
      <c r="H667" s="2"/>
      <c r="I667" s="2"/>
      <c r="J667" s="2"/>
      <c r="K667" s="2"/>
      <c r="L667" s="2"/>
      <c r="M667" s="2"/>
      <c r="N667" s="2"/>
    </row>
    <row r="668" spans="2:14" ht="15.75" customHeight="1">
      <c r="B668" s="2"/>
      <c r="C668" s="2"/>
      <c r="D668" s="2"/>
      <c r="E668" s="2"/>
      <c r="F668" s="2"/>
      <c r="G668" s="2"/>
      <c r="H668" s="2"/>
      <c r="I668" s="2"/>
      <c r="J668" s="2"/>
      <c r="K668" s="2"/>
      <c r="L668" s="2"/>
      <c r="M668" s="2"/>
      <c r="N668" s="2"/>
    </row>
    <row r="669" spans="2:14" ht="15.75" customHeight="1">
      <c r="B669" s="2"/>
      <c r="C669" s="2"/>
      <c r="D669" s="2"/>
      <c r="E669" s="2"/>
      <c r="F669" s="2"/>
      <c r="G669" s="2"/>
      <c r="H669" s="2"/>
      <c r="I669" s="2"/>
      <c r="J669" s="2"/>
      <c r="K669" s="2"/>
      <c r="L669" s="2"/>
      <c r="M669" s="2"/>
      <c r="N669" s="2"/>
    </row>
    <row r="670" spans="2:14" ht="15.75" customHeight="1">
      <c r="B670" s="2"/>
      <c r="C670" s="2"/>
      <c r="D670" s="2"/>
      <c r="E670" s="2"/>
      <c r="F670" s="2"/>
      <c r="G670" s="2"/>
      <c r="H670" s="2"/>
      <c r="I670" s="2"/>
      <c r="J670" s="2"/>
      <c r="K670" s="2"/>
      <c r="L670" s="2"/>
      <c r="M670" s="2"/>
      <c r="N670" s="2"/>
    </row>
    <row r="671" spans="2:14" ht="15.75" customHeight="1">
      <c r="B671" s="2"/>
      <c r="C671" s="2"/>
      <c r="D671" s="2"/>
      <c r="E671" s="2"/>
      <c r="F671" s="2"/>
      <c r="G671" s="2"/>
      <c r="H671" s="2"/>
      <c r="I671" s="2"/>
      <c r="J671" s="2"/>
      <c r="K671" s="2"/>
      <c r="L671" s="2"/>
      <c r="M671" s="2"/>
      <c r="N671" s="2"/>
    </row>
    <row r="672" spans="2:14" ht="15.75" customHeight="1">
      <c r="B672" s="2"/>
      <c r="C672" s="2"/>
      <c r="D672" s="2"/>
      <c r="E672" s="2"/>
      <c r="F672" s="2"/>
      <c r="G672" s="2"/>
      <c r="H672" s="2"/>
      <c r="I672" s="2"/>
      <c r="J672" s="2"/>
      <c r="K672" s="2"/>
      <c r="L672" s="2"/>
      <c r="M672" s="2"/>
      <c r="N672" s="2"/>
    </row>
    <row r="673" spans="2:14" ht="15.75" customHeight="1">
      <c r="B673" s="2"/>
      <c r="C673" s="2"/>
      <c r="D673" s="2"/>
      <c r="E673" s="2"/>
      <c r="F673" s="2"/>
      <c r="G673" s="2"/>
      <c r="H673" s="2"/>
      <c r="I673" s="2"/>
      <c r="J673" s="2"/>
      <c r="K673" s="2"/>
      <c r="L673" s="2"/>
      <c r="M673" s="2"/>
      <c r="N673" s="2"/>
    </row>
    <row r="674" spans="2:14" ht="15.75" customHeight="1">
      <c r="B674" s="2"/>
      <c r="C674" s="2"/>
      <c r="D674" s="2"/>
      <c r="E674" s="2"/>
      <c r="F674" s="2"/>
      <c r="G674" s="2"/>
      <c r="H674" s="2"/>
      <c r="I674" s="2"/>
      <c r="J674" s="2"/>
      <c r="K674" s="2"/>
      <c r="L674" s="2"/>
      <c r="M674" s="2"/>
      <c r="N674" s="2"/>
    </row>
    <row r="675" spans="2:14" ht="15.75" customHeight="1">
      <c r="B675" s="2"/>
      <c r="C675" s="2"/>
      <c r="D675" s="2"/>
      <c r="E675" s="2"/>
      <c r="F675" s="2"/>
      <c r="G675" s="2"/>
      <c r="H675" s="2"/>
      <c r="I675" s="2"/>
      <c r="J675" s="2"/>
      <c r="K675" s="2"/>
      <c r="L675" s="2"/>
      <c r="M675" s="2"/>
      <c r="N675" s="2"/>
    </row>
    <row r="676" spans="2:14" ht="15.75" customHeight="1">
      <c r="B676" s="2"/>
      <c r="C676" s="2"/>
      <c r="D676" s="2"/>
      <c r="E676" s="2"/>
      <c r="F676" s="2"/>
      <c r="G676" s="2"/>
      <c r="H676" s="2"/>
      <c r="I676" s="2"/>
      <c r="J676" s="2"/>
      <c r="K676" s="2"/>
      <c r="L676" s="2"/>
      <c r="M676" s="2"/>
      <c r="N676" s="2"/>
    </row>
    <row r="677" spans="2:14" ht="15.75" customHeight="1">
      <c r="B677" s="2"/>
      <c r="C677" s="2"/>
      <c r="D677" s="2"/>
      <c r="E677" s="2"/>
      <c r="F677" s="2"/>
      <c r="G677" s="2"/>
      <c r="H677" s="2"/>
      <c r="I677" s="2"/>
      <c r="J677" s="2"/>
      <c r="K677" s="2"/>
      <c r="L677" s="2"/>
      <c r="M677" s="2"/>
      <c r="N677" s="2"/>
    </row>
    <row r="678" spans="2:14" ht="15.75" customHeight="1">
      <c r="B678" s="2"/>
      <c r="C678" s="2"/>
      <c r="D678" s="2"/>
      <c r="E678" s="2"/>
      <c r="F678" s="2"/>
      <c r="G678" s="2"/>
      <c r="H678" s="2"/>
      <c r="I678" s="2"/>
      <c r="J678" s="2"/>
      <c r="K678" s="2"/>
      <c r="L678" s="2"/>
      <c r="M678" s="2"/>
      <c r="N678" s="2"/>
    </row>
    <row r="679" spans="2:14" ht="15.75" customHeight="1">
      <c r="B679" s="2"/>
      <c r="C679" s="2"/>
      <c r="D679" s="2"/>
      <c r="E679" s="2"/>
      <c r="F679" s="2"/>
      <c r="G679" s="2"/>
      <c r="H679" s="2"/>
      <c r="I679" s="2"/>
      <c r="J679" s="2"/>
      <c r="K679" s="2"/>
      <c r="L679" s="2"/>
      <c r="M679" s="2"/>
      <c r="N679" s="2"/>
    </row>
    <row r="680" spans="2:14" ht="15.75" customHeight="1">
      <c r="B680" s="2"/>
      <c r="C680" s="2"/>
      <c r="D680" s="2"/>
      <c r="E680" s="2"/>
      <c r="F680" s="2"/>
      <c r="G680" s="2"/>
      <c r="H680" s="2"/>
      <c r="I680" s="2"/>
      <c r="J680" s="2"/>
      <c r="K680" s="2"/>
      <c r="L680" s="2"/>
      <c r="M680" s="2"/>
      <c r="N680" s="2"/>
    </row>
    <row r="681" spans="2:14" ht="15.75" customHeight="1">
      <c r="B681" s="2"/>
      <c r="C681" s="2"/>
      <c r="D681" s="2"/>
      <c r="E681" s="2"/>
      <c r="F681" s="2"/>
      <c r="G681" s="2"/>
      <c r="H681" s="2"/>
      <c r="I681" s="2"/>
      <c r="J681" s="2"/>
      <c r="K681" s="2"/>
      <c r="L681" s="2"/>
      <c r="M681" s="2"/>
      <c r="N681" s="2"/>
    </row>
    <row r="682" spans="2:14" ht="15.75" customHeight="1">
      <c r="B682" s="2"/>
      <c r="C682" s="2"/>
      <c r="D682" s="2"/>
      <c r="E682" s="2"/>
      <c r="F682" s="2"/>
      <c r="G682" s="2"/>
      <c r="H682" s="2"/>
      <c r="I682" s="2"/>
      <c r="J682" s="2"/>
      <c r="K682" s="2"/>
      <c r="L682" s="2"/>
      <c r="M682" s="2"/>
      <c r="N682" s="2"/>
    </row>
    <row r="683" spans="2:14" ht="15.75" customHeight="1">
      <c r="B683" s="2"/>
      <c r="C683" s="2"/>
      <c r="D683" s="2"/>
      <c r="E683" s="2"/>
      <c r="F683" s="2"/>
      <c r="G683" s="2"/>
      <c r="H683" s="2"/>
      <c r="I683" s="2"/>
      <c r="J683" s="2"/>
      <c r="K683" s="2"/>
      <c r="L683" s="2"/>
      <c r="M683" s="2"/>
      <c r="N683" s="2"/>
    </row>
    <row r="684" spans="2:14" ht="15.75" customHeight="1">
      <c r="B684" s="2"/>
      <c r="C684" s="2"/>
      <c r="D684" s="2"/>
      <c r="E684" s="2"/>
      <c r="F684" s="2"/>
      <c r="G684" s="2"/>
      <c r="H684" s="2"/>
      <c r="I684" s="2"/>
      <c r="J684" s="2"/>
      <c r="K684" s="2"/>
      <c r="L684" s="2"/>
      <c r="M684" s="2"/>
      <c r="N684" s="2"/>
    </row>
    <row r="685" spans="2:14" ht="15.75" customHeight="1">
      <c r="B685" s="2"/>
      <c r="C685" s="2"/>
      <c r="D685" s="2"/>
      <c r="E685" s="2"/>
      <c r="F685" s="2"/>
      <c r="G685" s="2"/>
      <c r="H685" s="2"/>
      <c r="I685" s="2"/>
      <c r="J685" s="2"/>
      <c r="K685" s="2"/>
      <c r="L685" s="2"/>
      <c r="M685" s="2"/>
      <c r="N685" s="2"/>
    </row>
    <row r="686" spans="2:14" ht="15.75" customHeight="1">
      <c r="B686" s="2"/>
      <c r="C686" s="2"/>
      <c r="D686" s="2"/>
      <c r="E686" s="2"/>
      <c r="F686" s="2"/>
      <c r="G686" s="2"/>
      <c r="H686" s="2"/>
      <c r="I686" s="2"/>
      <c r="J686" s="2"/>
      <c r="K686" s="2"/>
      <c r="L686" s="2"/>
      <c r="M686" s="2"/>
      <c r="N686" s="2"/>
    </row>
    <row r="687" spans="2:14" ht="15.75" customHeight="1">
      <c r="B687" s="2"/>
      <c r="C687" s="2"/>
      <c r="D687" s="2"/>
      <c r="E687" s="2"/>
      <c r="F687" s="2"/>
      <c r="G687" s="2"/>
      <c r="H687" s="2"/>
      <c r="I687" s="2"/>
      <c r="J687" s="2"/>
      <c r="K687" s="2"/>
      <c r="L687" s="2"/>
      <c r="M687" s="2"/>
      <c r="N687" s="2"/>
    </row>
    <row r="688" spans="2:14" ht="15.75" customHeight="1">
      <c r="B688" s="2"/>
      <c r="C688" s="2"/>
      <c r="D688" s="2"/>
      <c r="E688" s="2"/>
      <c r="F688" s="2"/>
      <c r="G688" s="2"/>
      <c r="H688" s="2"/>
      <c r="I688" s="2"/>
      <c r="J688" s="2"/>
      <c r="K688" s="2"/>
      <c r="L688" s="2"/>
      <c r="M688" s="2"/>
      <c r="N688" s="2"/>
    </row>
    <row r="689" spans="2:14" ht="15.75" customHeight="1">
      <c r="B689" s="2"/>
      <c r="C689" s="2"/>
      <c r="D689" s="2"/>
      <c r="E689" s="2"/>
      <c r="F689" s="2"/>
      <c r="G689" s="2"/>
      <c r="H689" s="2"/>
      <c r="I689" s="2"/>
      <c r="J689" s="2"/>
      <c r="K689" s="2"/>
      <c r="L689" s="2"/>
      <c r="M689" s="2"/>
      <c r="N689" s="2"/>
    </row>
    <row r="690" spans="2:14" ht="15.75" customHeight="1">
      <c r="B690" s="2"/>
      <c r="C690" s="2"/>
      <c r="D690" s="2"/>
      <c r="E690" s="2"/>
      <c r="F690" s="2"/>
      <c r="G690" s="2"/>
      <c r="H690" s="2"/>
      <c r="I690" s="2"/>
      <c r="J690" s="2"/>
      <c r="K690" s="2"/>
      <c r="L690" s="2"/>
      <c r="M690" s="2"/>
      <c r="N690" s="2"/>
    </row>
    <row r="691" spans="2:14" ht="15.75" customHeight="1">
      <c r="B691" s="2"/>
      <c r="C691" s="2"/>
      <c r="D691" s="2"/>
      <c r="E691" s="2"/>
      <c r="F691" s="2"/>
      <c r="G691" s="2"/>
      <c r="H691" s="2"/>
      <c r="I691" s="2"/>
      <c r="J691" s="2"/>
      <c r="K691" s="2"/>
      <c r="L691" s="2"/>
      <c r="M691" s="2"/>
      <c r="N691" s="2"/>
    </row>
    <row r="692" spans="2:14" ht="15.75" customHeight="1">
      <c r="B692" s="2"/>
      <c r="C692" s="2"/>
      <c r="D692" s="2"/>
      <c r="E692" s="2"/>
      <c r="F692" s="2"/>
      <c r="G692" s="2"/>
      <c r="H692" s="2"/>
      <c r="I692" s="2"/>
      <c r="J692" s="2"/>
      <c r="K692" s="2"/>
      <c r="L692" s="2"/>
      <c r="M692" s="2"/>
      <c r="N692" s="2"/>
    </row>
    <row r="693" spans="2:14" ht="15.75" customHeight="1">
      <c r="B693" s="2"/>
      <c r="C693" s="2"/>
      <c r="D693" s="2"/>
      <c r="E693" s="2"/>
      <c r="F693" s="2"/>
      <c r="G693" s="2"/>
      <c r="H693" s="2"/>
      <c r="I693" s="2"/>
      <c r="J693" s="2"/>
      <c r="K693" s="2"/>
      <c r="L693" s="2"/>
      <c r="M693" s="2"/>
      <c r="N693" s="2"/>
    </row>
    <row r="694" spans="2:14" ht="15.75" customHeight="1">
      <c r="B694" s="2"/>
      <c r="C694" s="2"/>
      <c r="D694" s="2"/>
      <c r="E694" s="2"/>
      <c r="F694" s="2"/>
      <c r="G694" s="2"/>
      <c r="H694" s="2"/>
      <c r="I694" s="2"/>
      <c r="J694" s="2"/>
      <c r="K694" s="2"/>
      <c r="L694" s="2"/>
      <c r="M694" s="2"/>
      <c r="N694" s="2"/>
    </row>
    <row r="695" spans="2:14" ht="15.75" customHeight="1">
      <c r="B695" s="2"/>
      <c r="C695" s="2"/>
      <c r="D695" s="2"/>
      <c r="E695" s="2"/>
      <c r="F695" s="2"/>
      <c r="G695" s="2"/>
      <c r="H695" s="2"/>
      <c r="I695" s="2"/>
      <c r="J695" s="2"/>
      <c r="K695" s="2"/>
      <c r="L695" s="2"/>
      <c r="M695" s="2"/>
      <c r="N695" s="2"/>
    </row>
    <row r="696" spans="2:14" ht="15.75" customHeight="1">
      <c r="B696" s="2"/>
      <c r="C696" s="2"/>
      <c r="D696" s="2"/>
      <c r="E696" s="2"/>
      <c r="F696" s="2"/>
      <c r="G696" s="2"/>
      <c r="H696" s="2"/>
      <c r="I696" s="2"/>
      <c r="J696" s="2"/>
      <c r="K696" s="2"/>
      <c r="L696" s="2"/>
      <c r="M696" s="2"/>
      <c r="N696" s="2"/>
    </row>
    <row r="697" spans="2:14" ht="15.75" customHeight="1">
      <c r="B697" s="2"/>
      <c r="C697" s="2"/>
      <c r="D697" s="2"/>
      <c r="E697" s="2"/>
      <c r="F697" s="2"/>
      <c r="G697" s="2"/>
      <c r="H697" s="2"/>
      <c r="I697" s="2"/>
      <c r="J697" s="2"/>
      <c r="K697" s="2"/>
      <c r="L697" s="2"/>
      <c r="M697" s="2"/>
      <c r="N697" s="2"/>
    </row>
    <row r="698" spans="2:14" ht="15.75" customHeight="1">
      <c r="B698" s="2"/>
      <c r="C698" s="2"/>
      <c r="D698" s="2"/>
      <c r="E698" s="2"/>
      <c r="F698" s="2"/>
      <c r="G698" s="2"/>
      <c r="H698" s="2"/>
      <c r="I698" s="2"/>
      <c r="J698" s="2"/>
      <c r="K698" s="2"/>
      <c r="L698" s="2"/>
      <c r="M698" s="2"/>
      <c r="N698" s="2"/>
    </row>
    <row r="699" spans="2:14" ht="15.75" customHeight="1">
      <c r="B699" s="2"/>
      <c r="C699" s="2"/>
      <c r="D699" s="2"/>
      <c r="E699" s="2"/>
      <c r="F699" s="2"/>
      <c r="G699" s="2"/>
      <c r="H699" s="2"/>
      <c r="I699" s="2"/>
      <c r="J699" s="2"/>
      <c r="K699" s="2"/>
      <c r="L699" s="2"/>
      <c r="M699" s="2"/>
      <c r="N699" s="2"/>
    </row>
    <row r="700" spans="2:14" ht="15.75" customHeight="1">
      <c r="B700" s="2"/>
      <c r="C700" s="2"/>
      <c r="D700" s="2"/>
      <c r="E700" s="2"/>
      <c r="F700" s="2"/>
      <c r="G700" s="2"/>
      <c r="H700" s="2"/>
      <c r="I700" s="2"/>
      <c r="J700" s="2"/>
      <c r="K700" s="2"/>
      <c r="L700" s="2"/>
      <c r="M700" s="2"/>
      <c r="N700" s="2"/>
    </row>
    <row r="701" spans="2:14" ht="15.75" customHeight="1">
      <c r="B701" s="2"/>
      <c r="C701" s="2"/>
      <c r="D701" s="2"/>
      <c r="E701" s="2"/>
      <c r="F701" s="2"/>
      <c r="G701" s="2"/>
      <c r="H701" s="2"/>
      <c r="I701" s="2"/>
      <c r="J701" s="2"/>
      <c r="K701" s="2"/>
      <c r="L701" s="2"/>
      <c r="M701" s="2"/>
      <c r="N701" s="2"/>
    </row>
    <row r="702" spans="2:14" ht="15.75" customHeight="1">
      <c r="B702" s="2"/>
      <c r="C702" s="2"/>
      <c r="D702" s="2"/>
      <c r="E702" s="2"/>
      <c r="F702" s="2"/>
      <c r="G702" s="2"/>
      <c r="H702" s="2"/>
      <c r="I702" s="2"/>
      <c r="J702" s="2"/>
      <c r="K702" s="2"/>
      <c r="L702" s="2"/>
      <c r="M702" s="2"/>
      <c r="N702" s="2"/>
    </row>
    <row r="703" spans="2:14" ht="15.75" customHeight="1">
      <c r="B703" s="2"/>
      <c r="C703" s="2"/>
      <c r="D703" s="2"/>
      <c r="E703" s="2"/>
      <c r="F703" s="2"/>
      <c r="G703" s="2"/>
      <c r="H703" s="2"/>
      <c r="I703" s="2"/>
      <c r="J703" s="2"/>
      <c r="K703" s="2"/>
      <c r="L703" s="2"/>
      <c r="M703" s="2"/>
      <c r="N703" s="2"/>
    </row>
    <row r="704" spans="2:14" ht="15.75" customHeight="1">
      <c r="B704" s="2"/>
      <c r="C704" s="2"/>
      <c r="D704" s="2"/>
      <c r="E704" s="2"/>
      <c r="F704" s="2"/>
      <c r="G704" s="2"/>
      <c r="H704" s="2"/>
      <c r="I704" s="2"/>
      <c r="J704" s="2"/>
      <c r="K704" s="2"/>
      <c r="L704" s="2"/>
      <c r="M704" s="2"/>
      <c r="N704" s="2"/>
    </row>
    <row r="705" spans="2:14" ht="15.75" customHeight="1">
      <c r="B705" s="2"/>
      <c r="C705" s="2"/>
      <c r="D705" s="2"/>
      <c r="E705" s="2"/>
      <c r="F705" s="2"/>
      <c r="G705" s="2"/>
      <c r="H705" s="2"/>
      <c r="I705" s="2"/>
      <c r="J705" s="2"/>
      <c r="K705" s="2"/>
      <c r="L705" s="2"/>
      <c r="M705" s="2"/>
      <c r="N705" s="2"/>
    </row>
    <row r="706" spans="2:14" ht="15.75" customHeight="1">
      <c r="B706" s="2"/>
      <c r="C706" s="2"/>
      <c r="D706" s="2"/>
      <c r="E706" s="2"/>
      <c r="F706" s="2"/>
      <c r="G706" s="2"/>
      <c r="H706" s="2"/>
      <c r="I706" s="2"/>
      <c r="J706" s="2"/>
      <c r="K706" s="2"/>
      <c r="L706" s="2"/>
      <c r="M706" s="2"/>
      <c r="N706" s="2"/>
    </row>
    <row r="707" spans="2:14" ht="15.75" customHeight="1">
      <c r="B707" s="2"/>
      <c r="C707" s="2"/>
      <c r="D707" s="2"/>
      <c r="E707" s="2"/>
      <c r="F707" s="2"/>
      <c r="G707" s="2"/>
      <c r="H707" s="2"/>
      <c r="I707" s="2"/>
      <c r="J707" s="2"/>
      <c r="K707" s="2"/>
      <c r="L707" s="2"/>
      <c r="M707" s="2"/>
      <c r="N707" s="2"/>
    </row>
    <row r="708" spans="2:14" ht="15.75" customHeight="1">
      <c r="B708" s="2"/>
      <c r="C708" s="2"/>
      <c r="D708" s="2"/>
      <c r="E708" s="2"/>
      <c r="F708" s="2"/>
      <c r="G708" s="2"/>
      <c r="H708" s="2"/>
      <c r="I708" s="2"/>
      <c r="J708" s="2"/>
      <c r="K708" s="2"/>
      <c r="L708" s="2"/>
      <c r="M708" s="2"/>
      <c r="N708" s="2"/>
    </row>
    <row r="709" spans="2:14" ht="15.75" customHeight="1">
      <c r="B709" s="2"/>
      <c r="C709" s="2"/>
      <c r="D709" s="2"/>
      <c r="E709" s="2"/>
      <c r="F709" s="2"/>
      <c r="G709" s="2"/>
      <c r="H709" s="2"/>
      <c r="I709" s="2"/>
      <c r="J709" s="2"/>
      <c r="K709" s="2"/>
      <c r="L709" s="2"/>
      <c r="M709" s="2"/>
      <c r="N709" s="2"/>
    </row>
    <row r="710" spans="2:14" ht="15.75" customHeight="1">
      <c r="B710" s="2"/>
      <c r="C710" s="2"/>
      <c r="D710" s="2"/>
      <c r="E710" s="2"/>
      <c r="F710" s="2"/>
      <c r="G710" s="2"/>
      <c r="H710" s="2"/>
      <c r="I710" s="2"/>
      <c r="J710" s="2"/>
      <c r="K710" s="2"/>
      <c r="L710" s="2"/>
      <c r="M710" s="2"/>
      <c r="N710" s="2"/>
    </row>
    <row r="711" spans="2:14" ht="15.75" customHeight="1">
      <c r="B711" s="2"/>
      <c r="C711" s="2"/>
      <c r="D711" s="2"/>
      <c r="E711" s="2"/>
      <c r="F711" s="2"/>
      <c r="G711" s="2"/>
      <c r="H711" s="2"/>
      <c r="I711" s="2"/>
      <c r="J711" s="2"/>
      <c r="K711" s="2"/>
      <c r="L711" s="2"/>
      <c r="M711" s="2"/>
      <c r="N711" s="2"/>
    </row>
    <row r="712" spans="2:14" ht="15.75" customHeight="1">
      <c r="B712" s="2"/>
      <c r="C712" s="2"/>
      <c r="D712" s="2"/>
      <c r="E712" s="2"/>
      <c r="F712" s="2"/>
      <c r="G712" s="2"/>
      <c r="H712" s="2"/>
      <c r="I712" s="2"/>
      <c r="J712" s="2"/>
      <c r="K712" s="2"/>
      <c r="L712" s="2"/>
      <c r="M712" s="2"/>
      <c r="N712" s="2"/>
    </row>
    <row r="713" spans="2:14" ht="15.75" customHeight="1">
      <c r="B713" s="2"/>
      <c r="C713" s="2"/>
      <c r="D713" s="2"/>
      <c r="E713" s="2"/>
      <c r="F713" s="2"/>
      <c r="G713" s="2"/>
      <c r="H713" s="2"/>
      <c r="I713" s="2"/>
      <c r="J713" s="2"/>
      <c r="K713" s="2"/>
      <c r="L713" s="2"/>
      <c r="M713" s="2"/>
      <c r="N713" s="2"/>
    </row>
    <row r="714" spans="2:14" ht="15.75" customHeight="1">
      <c r="B714" s="2"/>
      <c r="C714" s="2"/>
      <c r="D714" s="2"/>
      <c r="E714" s="2"/>
      <c r="F714" s="2"/>
      <c r="G714" s="2"/>
      <c r="H714" s="2"/>
      <c r="I714" s="2"/>
      <c r="J714" s="2"/>
      <c r="K714" s="2"/>
      <c r="L714" s="2"/>
      <c r="M714" s="2"/>
      <c r="N714" s="2"/>
    </row>
    <row r="715" spans="2:14" ht="15.75" customHeight="1">
      <c r="B715" s="2"/>
      <c r="C715" s="2"/>
      <c r="D715" s="2"/>
      <c r="E715" s="2"/>
      <c r="F715" s="2"/>
      <c r="G715" s="2"/>
      <c r="H715" s="2"/>
      <c r="I715" s="2"/>
      <c r="J715" s="2"/>
      <c r="K715" s="2"/>
      <c r="L715" s="2"/>
      <c r="M715" s="2"/>
      <c r="N715" s="2"/>
    </row>
    <row r="716" spans="2:14" ht="15.75" customHeight="1">
      <c r="B716" s="2"/>
      <c r="C716" s="2"/>
      <c r="D716" s="2"/>
      <c r="E716" s="2"/>
      <c r="F716" s="2"/>
      <c r="G716" s="2"/>
      <c r="H716" s="2"/>
      <c r="I716" s="2"/>
      <c r="J716" s="2"/>
      <c r="K716" s="2"/>
      <c r="L716" s="2"/>
      <c r="M716" s="2"/>
      <c r="N716" s="2"/>
    </row>
    <row r="717" spans="2:14" ht="15.75" customHeight="1">
      <c r="B717" s="2"/>
      <c r="C717" s="2"/>
      <c r="D717" s="2"/>
      <c r="E717" s="2"/>
      <c r="F717" s="2"/>
      <c r="G717" s="2"/>
      <c r="H717" s="2"/>
      <c r="I717" s="2"/>
      <c r="J717" s="2"/>
      <c r="K717" s="2"/>
      <c r="L717" s="2"/>
      <c r="M717" s="2"/>
      <c r="N717" s="2"/>
    </row>
    <row r="718" spans="2:14" ht="15.75" customHeight="1">
      <c r="B718" s="2"/>
      <c r="C718" s="2"/>
      <c r="D718" s="2"/>
      <c r="E718" s="2"/>
      <c r="F718" s="2"/>
      <c r="G718" s="2"/>
      <c r="H718" s="2"/>
      <c r="I718" s="2"/>
      <c r="J718" s="2"/>
      <c r="K718" s="2"/>
      <c r="L718" s="2"/>
      <c r="M718" s="2"/>
      <c r="N718" s="2"/>
    </row>
    <row r="719" spans="2:14" ht="15.75" customHeight="1">
      <c r="B719" s="2"/>
      <c r="C719" s="2"/>
      <c r="D719" s="2"/>
      <c r="E719" s="2"/>
      <c r="F719" s="2"/>
      <c r="G719" s="2"/>
      <c r="H719" s="2"/>
      <c r="I719" s="2"/>
      <c r="J719" s="2"/>
      <c r="K719" s="2"/>
      <c r="L719" s="2"/>
      <c r="M719" s="2"/>
      <c r="N719" s="2"/>
    </row>
    <row r="720" spans="2:14" ht="15.75" customHeight="1">
      <c r="B720" s="2"/>
      <c r="C720" s="2"/>
      <c r="D720" s="2"/>
      <c r="E720" s="2"/>
      <c r="F720" s="2"/>
      <c r="G720" s="2"/>
      <c r="H720" s="2"/>
      <c r="I720" s="2"/>
      <c r="J720" s="2"/>
      <c r="K720" s="2"/>
      <c r="L720" s="2"/>
      <c r="M720" s="2"/>
      <c r="N720" s="2"/>
    </row>
    <row r="721" spans="2:14" ht="15.75" customHeight="1">
      <c r="B721" s="2"/>
      <c r="C721" s="2"/>
      <c r="D721" s="2"/>
      <c r="E721" s="2"/>
      <c r="F721" s="2"/>
      <c r="G721" s="2"/>
      <c r="H721" s="2"/>
      <c r="I721" s="2"/>
      <c r="J721" s="2"/>
      <c r="K721" s="2"/>
      <c r="L721" s="2"/>
      <c r="M721" s="2"/>
      <c r="N721" s="2"/>
    </row>
    <row r="722" spans="2:14" ht="15.75" customHeight="1">
      <c r="B722" s="2"/>
      <c r="C722" s="2"/>
      <c r="D722" s="2"/>
      <c r="E722" s="2"/>
      <c r="F722" s="2"/>
      <c r="G722" s="2"/>
      <c r="H722" s="2"/>
      <c r="I722" s="2"/>
      <c r="J722" s="2"/>
      <c r="K722" s="2"/>
      <c r="L722" s="2"/>
      <c r="M722" s="2"/>
      <c r="N722" s="2"/>
    </row>
    <row r="723" spans="2:14" ht="15.75" customHeight="1">
      <c r="B723" s="2"/>
      <c r="C723" s="2"/>
      <c r="D723" s="2"/>
      <c r="E723" s="2"/>
      <c r="F723" s="2"/>
      <c r="G723" s="2"/>
      <c r="H723" s="2"/>
      <c r="I723" s="2"/>
      <c r="J723" s="2"/>
      <c r="K723" s="2"/>
      <c r="L723" s="2"/>
      <c r="M723" s="2"/>
      <c r="N723" s="2"/>
    </row>
    <row r="724" spans="2:14" ht="15.75" customHeight="1">
      <c r="B724" s="2"/>
      <c r="C724" s="2"/>
      <c r="D724" s="2"/>
      <c r="E724" s="2"/>
      <c r="F724" s="2"/>
      <c r="G724" s="2"/>
      <c r="H724" s="2"/>
      <c r="I724" s="2"/>
      <c r="J724" s="2"/>
      <c r="K724" s="2"/>
      <c r="L724" s="2"/>
      <c r="M724" s="2"/>
      <c r="N724" s="2"/>
    </row>
    <row r="725" spans="2:14" ht="15.75" customHeight="1">
      <c r="B725" s="2"/>
      <c r="C725" s="2"/>
      <c r="D725" s="2"/>
      <c r="E725" s="2"/>
      <c r="F725" s="2"/>
      <c r="G725" s="2"/>
      <c r="H725" s="2"/>
      <c r="I725" s="2"/>
      <c r="J725" s="2"/>
      <c r="K725" s="2"/>
      <c r="L725" s="2"/>
      <c r="M725" s="2"/>
      <c r="N725" s="2"/>
    </row>
    <row r="726" spans="2:14" ht="15.75" customHeight="1">
      <c r="B726" s="2"/>
      <c r="C726" s="2"/>
      <c r="D726" s="2"/>
      <c r="E726" s="2"/>
      <c r="F726" s="2"/>
      <c r="G726" s="2"/>
      <c r="H726" s="2"/>
      <c r="I726" s="2"/>
      <c r="J726" s="2"/>
      <c r="K726" s="2"/>
      <c r="L726" s="2"/>
      <c r="M726" s="2"/>
      <c r="N726" s="2"/>
    </row>
    <row r="727" spans="2:14" ht="15.75" customHeight="1">
      <c r="B727" s="2"/>
      <c r="C727" s="2"/>
      <c r="D727" s="2"/>
      <c r="E727" s="2"/>
      <c r="F727" s="2"/>
      <c r="G727" s="2"/>
      <c r="H727" s="2"/>
      <c r="I727" s="2"/>
      <c r="J727" s="2"/>
      <c r="K727" s="2"/>
      <c r="L727" s="2"/>
      <c r="M727" s="2"/>
      <c r="N727" s="2"/>
    </row>
    <row r="728" spans="2:14" ht="15.75" customHeight="1">
      <c r="B728" s="2"/>
      <c r="C728" s="2"/>
      <c r="D728" s="2"/>
      <c r="E728" s="2"/>
      <c r="F728" s="2"/>
      <c r="G728" s="2"/>
      <c r="H728" s="2"/>
      <c r="I728" s="2"/>
      <c r="J728" s="2"/>
      <c r="K728" s="2"/>
      <c r="L728" s="2"/>
      <c r="M728" s="2"/>
      <c r="N728" s="2"/>
    </row>
    <row r="729" spans="2:14" ht="15.75" customHeight="1">
      <c r="B729" s="2"/>
      <c r="C729" s="2"/>
      <c r="D729" s="2"/>
      <c r="E729" s="2"/>
      <c r="F729" s="2"/>
      <c r="G729" s="2"/>
      <c r="H729" s="2"/>
      <c r="I729" s="2"/>
      <c r="J729" s="2"/>
      <c r="K729" s="2"/>
      <c r="L729" s="2"/>
      <c r="M729" s="2"/>
      <c r="N729" s="2"/>
    </row>
    <row r="730" spans="2:14" ht="15.75" customHeight="1">
      <c r="B730" s="2"/>
      <c r="C730" s="2"/>
      <c r="D730" s="2"/>
      <c r="E730" s="2"/>
      <c r="F730" s="2"/>
      <c r="G730" s="2"/>
      <c r="H730" s="2"/>
      <c r="I730" s="2"/>
      <c r="J730" s="2"/>
      <c r="K730" s="2"/>
      <c r="L730" s="2"/>
      <c r="M730" s="2"/>
      <c r="N730" s="2"/>
    </row>
    <row r="731" spans="2:14" ht="15.75" customHeight="1">
      <c r="B731" s="2"/>
      <c r="C731" s="2"/>
      <c r="D731" s="2"/>
      <c r="E731" s="2"/>
      <c r="F731" s="2"/>
      <c r="G731" s="2"/>
      <c r="H731" s="2"/>
      <c r="I731" s="2"/>
      <c r="J731" s="2"/>
      <c r="K731" s="2"/>
      <c r="L731" s="2"/>
      <c r="M731" s="2"/>
      <c r="N731" s="2"/>
    </row>
    <row r="732" spans="2:14" ht="15.75" customHeight="1">
      <c r="B732" s="2"/>
      <c r="C732" s="2"/>
      <c r="D732" s="2"/>
      <c r="E732" s="2"/>
      <c r="F732" s="2"/>
      <c r="G732" s="2"/>
      <c r="H732" s="2"/>
      <c r="I732" s="2"/>
      <c r="J732" s="2"/>
      <c r="K732" s="2"/>
      <c r="L732" s="2"/>
      <c r="M732" s="2"/>
      <c r="N732" s="2"/>
    </row>
    <row r="733" spans="2:14" ht="15.75" customHeight="1">
      <c r="B733" s="2"/>
      <c r="C733" s="2"/>
      <c r="D733" s="2"/>
      <c r="E733" s="2"/>
      <c r="F733" s="2"/>
      <c r="G733" s="2"/>
      <c r="H733" s="2"/>
      <c r="I733" s="2"/>
      <c r="J733" s="2"/>
      <c r="K733" s="2"/>
      <c r="L733" s="2"/>
      <c r="M733" s="2"/>
      <c r="N733" s="2"/>
    </row>
    <row r="734" spans="2:14" ht="15.75" customHeight="1">
      <c r="B734" s="2"/>
      <c r="C734" s="2"/>
      <c r="D734" s="2"/>
      <c r="E734" s="2"/>
      <c r="F734" s="2"/>
      <c r="G734" s="2"/>
      <c r="H734" s="2"/>
      <c r="I734" s="2"/>
      <c r="J734" s="2"/>
      <c r="K734" s="2"/>
      <c r="L734" s="2"/>
      <c r="M734" s="2"/>
      <c r="N734" s="2"/>
    </row>
    <row r="735" spans="2:14" ht="15.75" customHeight="1">
      <c r="B735" s="2"/>
      <c r="C735" s="2"/>
      <c r="D735" s="2"/>
      <c r="E735" s="2"/>
      <c r="F735" s="2"/>
      <c r="G735" s="2"/>
      <c r="H735" s="2"/>
      <c r="I735" s="2"/>
      <c r="J735" s="2"/>
      <c r="K735" s="2"/>
      <c r="L735" s="2"/>
      <c r="M735" s="2"/>
      <c r="N735" s="2"/>
    </row>
    <row r="736" spans="2:14" ht="15.75" customHeight="1">
      <c r="B736" s="2"/>
      <c r="C736" s="2"/>
      <c r="D736" s="2"/>
      <c r="E736" s="2"/>
      <c r="F736" s="2"/>
      <c r="G736" s="2"/>
      <c r="H736" s="2"/>
      <c r="I736" s="2"/>
      <c r="J736" s="2"/>
      <c r="K736" s="2"/>
      <c r="L736" s="2"/>
      <c r="M736" s="2"/>
      <c r="N736" s="2"/>
    </row>
    <row r="737" spans="2:14" ht="15.75" customHeight="1">
      <c r="B737" s="2"/>
      <c r="C737" s="2"/>
      <c r="D737" s="2"/>
      <c r="E737" s="2"/>
      <c r="F737" s="2"/>
      <c r="G737" s="2"/>
      <c r="H737" s="2"/>
      <c r="I737" s="2"/>
      <c r="J737" s="2"/>
      <c r="K737" s="2"/>
      <c r="L737" s="2"/>
      <c r="M737" s="2"/>
      <c r="N737" s="2"/>
    </row>
    <row r="738" spans="2:14" ht="15.75" customHeight="1">
      <c r="B738" s="2"/>
      <c r="C738" s="2"/>
      <c r="D738" s="2"/>
      <c r="E738" s="2"/>
      <c r="F738" s="2"/>
      <c r="G738" s="2"/>
      <c r="H738" s="2"/>
      <c r="I738" s="2"/>
      <c r="J738" s="2"/>
      <c r="K738" s="2"/>
      <c r="L738" s="2"/>
      <c r="M738" s="2"/>
      <c r="N738" s="2"/>
    </row>
    <row r="739" spans="2:14" ht="15.75" customHeight="1">
      <c r="B739" s="2"/>
      <c r="C739" s="2"/>
      <c r="D739" s="2"/>
      <c r="E739" s="2"/>
      <c r="F739" s="2"/>
      <c r="G739" s="2"/>
      <c r="H739" s="2"/>
      <c r="I739" s="2"/>
      <c r="J739" s="2"/>
      <c r="K739" s="2"/>
      <c r="L739" s="2"/>
      <c r="M739" s="2"/>
      <c r="N739" s="2"/>
    </row>
    <row r="740" spans="2:14" ht="15.75" customHeight="1">
      <c r="B740" s="2"/>
      <c r="C740" s="2"/>
      <c r="D740" s="2"/>
      <c r="E740" s="2"/>
      <c r="F740" s="2"/>
      <c r="G740" s="2"/>
      <c r="H740" s="2"/>
      <c r="I740" s="2"/>
      <c r="J740" s="2"/>
      <c r="K740" s="2"/>
      <c r="L740" s="2"/>
      <c r="M740" s="2"/>
      <c r="N740" s="2"/>
    </row>
    <row r="741" spans="2:14" ht="15.75" customHeight="1">
      <c r="B741" s="2"/>
      <c r="C741" s="2"/>
      <c r="D741" s="2"/>
      <c r="E741" s="2"/>
      <c r="F741" s="2"/>
      <c r="G741" s="2"/>
      <c r="H741" s="2"/>
      <c r="I741" s="2"/>
      <c r="J741" s="2"/>
      <c r="K741" s="2"/>
      <c r="L741" s="2"/>
      <c r="M741" s="2"/>
      <c r="N741" s="2"/>
    </row>
    <row r="742" spans="2:14" ht="15.75" customHeight="1">
      <c r="B742" s="2"/>
      <c r="C742" s="2"/>
      <c r="D742" s="2"/>
      <c r="E742" s="2"/>
      <c r="F742" s="2"/>
      <c r="G742" s="2"/>
      <c r="H742" s="2"/>
      <c r="I742" s="2"/>
      <c r="J742" s="2"/>
      <c r="K742" s="2"/>
      <c r="L742" s="2"/>
      <c r="M742" s="2"/>
      <c r="N742" s="2"/>
    </row>
    <row r="743" spans="2:14" ht="15.75" customHeight="1">
      <c r="B743" s="2"/>
      <c r="C743" s="2"/>
      <c r="D743" s="2"/>
      <c r="E743" s="2"/>
      <c r="F743" s="2"/>
      <c r="G743" s="2"/>
      <c r="H743" s="2"/>
      <c r="I743" s="2"/>
      <c r="J743" s="2"/>
      <c r="K743" s="2"/>
      <c r="L743" s="2"/>
      <c r="M743" s="2"/>
      <c r="N743" s="2"/>
    </row>
    <row r="744" spans="2:14" ht="15.75" customHeight="1">
      <c r="B744" s="2"/>
      <c r="C744" s="2"/>
      <c r="D744" s="2"/>
      <c r="E744" s="2"/>
      <c r="F744" s="2"/>
      <c r="G744" s="2"/>
      <c r="H744" s="2"/>
      <c r="I744" s="2"/>
      <c r="J744" s="2"/>
      <c r="K744" s="2"/>
      <c r="L744" s="2"/>
      <c r="M744" s="2"/>
      <c r="N744" s="2"/>
    </row>
    <row r="745" spans="2:14" ht="15.75" customHeight="1">
      <c r="B745" s="2"/>
      <c r="C745" s="2"/>
      <c r="D745" s="2"/>
      <c r="E745" s="2"/>
      <c r="F745" s="2"/>
      <c r="G745" s="2"/>
      <c r="H745" s="2"/>
      <c r="I745" s="2"/>
      <c r="J745" s="2"/>
      <c r="K745" s="2"/>
      <c r="L745" s="2"/>
      <c r="M745" s="2"/>
      <c r="N745" s="2"/>
    </row>
    <row r="746" spans="2:14" ht="15.75" customHeight="1">
      <c r="B746" s="2"/>
      <c r="C746" s="2"/>
      <c r="D746" s="2"/>
      <c r="E746" s="2"/>
      <c r="F746" s="2"/>
      <c r="G746" s="2"/>
      <c r="H746" s="2"/>
      <c r="I746" s="2"/>
      <c r="J746" s="2"/>
      <c r="K746" s="2"/>
      <c r="L746" s="2"/>
      <c r="M746" s="2"/>
      <c r="N746" s="2"/>
    </row>
    <row r="747" spans="2:14" ht="15.75" customHeight="1">
      <c r="B747" s="2"/>
      <c r="C747" s="2"/>
      <c r="D747" s="2"/>
      <c r="E747" s="2"/>
      <c r="F747" s="2"/>
      <c r="G747" s="2"/>
      <c r="H747" s="2"/>
      <c r="I747" s="2"/>
      <c r="J747" s="2"/>
      <c r="K747" s="2"/>
      <c r="L747" s="2"/>
      <c r="M747" s="2"/>
      <c r="N747" s="2"/>
    </row>
    <row r="748" spans="2:14" ht="15.75" customHeight="1">
      <c r="B748" s="2"/>
      <c r="C748" s="2"/>
      <c r="D748" s="2"/>
      <c r="E748" s="2"/>
      <c r="F748" s="2"/>
      <c r="G748" s="2"/>
      <c r="H748" s="2"/>
      <c r="I748" s="2"/>
      <c r="J748" s="2"/>
      <c r="K748" s="2"/>
      <c r="L748" s="2"/>
      <c r="M748" s="2"/>
      <c r="N748" s="2"/>
    </row>
    <row r="749" spans="2:14" ht="15.75" customHeight="1">
      <c r="B749" s="2"/>
      <c r="C749" s="2"/>
      <c r="D749" s="2"/>
      <c r="E749" s="2"/>
      <c r="F749" s="2"/>
      <c r="G749" s="2"/>
      <c r="H749" s="2"/>
      <c r="I749" s="2"/>
      <c r="J749" s="2"/>
      <c r="K749" s="2"/>
      <c r="L749" s="2"/>
      <c r="M749" s="2"/>
      <c r="N749" s="2"/>
    </row>
    <row r="750" spans="2:14" ht="15.75" customHeight="1">
      <c r="B750" s="2"/>
      <c r="C750" s="2"/>
      <c r="D750" s="2"/>
      <c r="E750" s="2"/>
      <c r="F750" s="2"/>
      <c r="G750" s="2"/>
      <c r="H750" s="2"/>
      <c r="I750" s="2"/>
      <c r="J750" s="2"/>
      <c r="K750" s="2"/>
      <c r="L750" s="2"/>
      <c r="M750" s="2"/>
      <c r="N750" s="2"/>
    </row>
    <row r="751" spans="2:14" ht="15.75" customHeight="1">
      <c r="B751" s="2"/>
      <c r="C751" s="2"/>
      <c r="D751" s="2"/>
      <c r="E751" s="2"/>
      <c r="F751" s="2"/>
      <c r="G751" s="2"/>
      <c r="H751" s="2"/>
      <c r="I751" s="2"/>
      <c r="J751" s="2"/>
      <c r="K751" s="2"/>
      <c r="L751" s="2"/>
      <c r="M751" s="2"/>
      <c r="N751" s="2"/>
    </row>
    <row r="752" spans="2:14" ht="15.75" customHeight="1">
      <c r="B752" s="2"/>
      <c r="C752" s="2"/>
      <c r="D752" s="2"/>
      <c r="E752" s="2"/>
      <c r="F752" s="2"/>
      <c r="G752" s="2"/>
      <c r="H752" s="2"/>
      <c r="I752" s="2"/>
      <c r="J752" s="2"/>
      <c r="K752" s="2"/>
      <c r="L752" s="2"/>
      <c r="M752" s="2"/>
      <c r="N752" s="2"/>
    </row>
    <row r="753" spans="2:14" ht="15.75" customHeight="1">
      <c r="B753" s="2"/>
      <c r="C753" s="2"/>
      <c r="D753" s="2"/>
      <c r="E753" s="2"/>
      <c r="F753" s="2"/>
      <c r="G753" s="2"/>
      <c r="H753" s="2"/>
      <c r="I753" s="2"/>
      <c r="J753" s="2"/>
      <c r="K753" s="2"/>
      <c r="L753" s="2"/>
      <c r="M753" s="2"/>
      <c r="N753" s="2"/>
    </row>
    <row r="754" spans="2:14" ht="15.75" customHeight="1">
      <c r="B754" s="2"/>
      <c r="C754" s="2"/>
      <c r="D754" s="2"/>
      <c r="E754" s="2"/>
      <c r="F754" s="2"/>
      <c r="G754" s="2"/>
      <c r="H754" s="2"/>
      <c r="I754" s="2"/>
      <c r="J754" s="2"/>
      <c r="K754" s="2"/>
      <c r="L754" s="2"/>
      <c r="M754" s="2"/>
      <c r="N754" s="2"/>
    </row>
    <row r="755" spans="2:14" ht="15.75" customHeight="1">
      <c r="B755" s="2"/>
      <c r="C755" s="2"/>
      <c r="D755" s="2"/>
      <c r="E755" s="2"/>
      <c r="F755" s="2"/>
      <c r="G755" s="2"/>
      <c r="H755" s="2"/>
      <c r="I755" s="2"/>
      <c r="J755" s="2"/>
      <c r="K755" s="2"/>
      <c r="L755" s="2"/>
      <c r="M755" s="2"/>
      <c r="N755" s="2"/>
    </row>
    <row r="756" spans="2:14" ht="15.75" customHeight="1">
      <c r="B756" s="2"/>
      <c r="C756" s="2"/>
      <c r="D756" s="2"/>
      <c r="E756" s="2"/>
      <c r="F756" s="2"/>
      <c r="G756" s="2"/>
      <c r="H756" s="2"/>
      <c r="I756" s="2"/>
      <c r="J756" s="2"/>
      <c r="K756" s="2"/>
      <c r="L756" s="2"/>
      <c r="M756" s="2"/>
      <c r="N756" s="2"/>
    </row>
    <row r="757" spans="2:14" ht="15.75" customHeight="1">
      <c r="B757" s="2"/>
      <c r="C757" s="2"/>
      <c r="D757" s="2"/>
      <c r="E757" s="2"/>
      <c r="F757" s="2"/>
      <c r="G757" s="2"/>
      <c r="H757" s="2"/>
      <c r="I757" s="2"/>
      <c r="J757" s="2"/>
      <c r="K757" s="2"/>
      <c r="L757" s="2"/>
      <c r="M757" s="2"/>
      <c r="N757" s="2"/>
    </row>
    <row r="758" spans="2:14" ht="15.75" customHeight="1">
      <c r="B758" s="2"/>
      <c r="C758" s="2"/>
      <c r="D758" s="2"/>
      <c r="E758" s="2"/>
      <c r="F758" s="2"/>
      <c r="G758" s="2"/>
      <c r="H758" s="2"/>
      <c r="I758" s="2"/>
      <c r="J758" s="2"/>
      <c r="K758" s="2"/>
      <c r="L758" s="2"/>
      <c r="M758" s="2"/>
      <c r="N758" s="2"/>
    </row>
    <row r="759" spans="2:14" ht="15.75" customHeight="1">
      <c r="B759" s="2"/>
      <c r="C759" s="2"/>
      <c r="D759" s="2"/>
      <c r="E759" s="2"/>
      <c r="F759" s="2"/>
      <c r="G759" s="2"/>
      <c r="H759" s="2"/>
      <c r="I759" s="2"/>
      <c r="J759" s="2"/>
      <c r="K759" s="2"/>
      <c r="L759" s="2"/>
      <c r="M759" s="2"/>
      <c r="N759" s="2"/>
    </row>
    <row r="760" spans="2:14" ht="15.75" customHeight="1">
      <c r="B760" s="2"/>
      <c r="C760" s="2"/>
      <c r="D760" s="2"/>
      <c r="E760" s="2"/>
      <c r="F760" s="2"/>
      <c r="G760" s="2"/>
      <c r="H760" s="2"/>
      <c r="I760" s="2"/>
      <c r="J760" s="2"/>
      <c r="K760" s="2"/>
      <c r="L760" s="2"/>
      <c r="M760" s="2"/>
      <c r="N760" s="2"/>
    </row>
    <row r="761" spans="2:14" ht="15.75" customHeight="1">
      <c r="B761" s="2"/>
      <c r="C761" s="2"/>
      <c r="D761" s="2"/>
      <c r="E761" s="2"/>
      <c r="F761" s="2"/>
      <c r="G761" s="2"/>
      <c r="H761" s="2"/>
      <c r="I761" s="2"/>
      <c r="J761" s="2"/>
      <c r="K761" s="2"/>
      <c r="L761" s="2"/>
      <c r="M761" s="2"/>
      <c r="N761" s="2"/>
    </row>
    <row r="762" spans="2:14" ht="15.75" customHeight="1">
      <c r="B762" s="2"/>
      <c r="C762" s="2"/>
      <c r="D762" s="2"/>
      <c r="E762" s="2"/>
      <c r="F762" s="2"/>
      <c r="G762" s="2"/>
      <c r="H762" s="2"/>
      <c r="I762" s="2"/>
      <c r="J762" s="2"/>
      <c r="K762" s="2"/>
      <c r="L762" s="2"/>
      <c r="M762" s="2"/>
      <c r="N762" s="2"/>
    </row>
    <row r="763" spans="2:14" ht="15.75" customHeight="1">
      <c r="B763" s="2"/>
      <c r="C763" s="2"/>
      <c r="D763" s="2"/>
      <c r="E763" s="2"/>
      <c r="F763" s="2"/>
      <c r="G763" s="2"/>
      <c r="H763" s="2"/>
      <c r="I763" s="2"/>
      <c r="J763" s="2"/>
      <c r="K763" s="2"/>
      <c r="L763" s="2"/>
      <c r="M763" s="2"/>
      <c r="N763" s="2"/>
    </row>
    <row r="764" spans="2:14" ht="15.75" customHeight="1">
      <c r="B764" s="2"/>
      <c r="C764" s="2"/>
      <c r="D764" s="2"/>
      <c r="E764" s="2"/>
      <c r="F764" s="2"/>
      <c r="G764" s="2"/>
      <c r="H764" s="2"/>
      <c r="I764" s="2"/>
      <c r="J764" s="2"/>
      <c r="K764" s="2"/>
      <c r="L764" s="2"/>
      <c r="M764" s="2"/>
      <c r="N764" s="2"/>
    </row>
    <row r="765" spans="2:14" ht="15.75" customHeight="1">
      <c r="B765" s="2"/>
      <c r="C765" s="2"/>
      <c r="D765" s="2"/>
      <c r="E765" s="2"/>
      <c r="F765" s="2"/>
      <c r="G765" s="2"/>
      <c r="H765" s="2"/>
      <c r="I765" s="2"/>
      <c r="J765" s="2"/>
      <c r="K765" s="2"/>
      <c r="L765" s="2"/>
      <c r="M765" s="2"/>
      <c r="N765" s="2"/>
    </row>
    <row r="766" spans="2:14" ht="15.75" customHeight="1">
      <c r="B766" s="2"/>
      <c r="C766" s="2"/>
      <c r="D766" s="2"/>
      <c r="E766" s="2"/>
      <c r="F766" s="2"/>
      <c r="G766" s="2"/>
      <c r="H766" s="2"/>
      <c r="I766" s="2"/>
      <c r="J766" s="2"/>
      <c r="K766" s="2"/>
      <c r="L766" s="2"/>
      <c r="M766" s="2"/>
      <c r="N766" s="2"/>
    </row>
    <row r="767" spans="2:14" ht="15.75" customHeight="1">
      <c r="B767" s="2"/>
      <c r="C767" s="2"/>
      <c r="D767" s="2"/>
      <c r="E767" s="2"/>
      <c r="F767" s="2"/>
      <c r="G767" s="2"/>
      <c r="H767" s="2"/>
      <c r="I767" s="2"/>
      <c r="J767" s="2"/>
      <c r="K767" s="2"/>
      <c r="L767" s="2"/>
      <c r="M767" s="2"/>
      <c r="N767" s="2"/>
    </row>
    <row r="768" spans="2:14" ht="15.75" customHeight="1">
      <c r="B768" s="2"/>
      <c r="C768" s="2"/>
      <c r="D768" s="2"/>
      <c r="E768" s="2"/>
      <c r="F768" s="2"/>
      <c r="G768" s="2"/>
      <c r="H768" s="2"/>
      <c r="I768" s="2"/>
      <c r="J768" s="2"/>
      <c r="K768" s="2"/>
      <c r="L768" s="2"/>
      <c r="M768" s="2"/>
      <c r="N768" s="2"/>
    </row>
    <row r="769" spans="2:14" ht="15.75" customHeight="1">
      <c r="B769" s="2"/>
      <c r="C769" s="2"/>
      <c r="D769" s="2"/>
      <c r="E769" s="2"/>
      <c r="F769" s="2"/>
      <c r="G769" s="2"/>
      <c r="H769" s="2"/>
      <c r="I769" s="2"/>
      <c r="J769" s="2"/>
      <c r="K769" s="2"/>
      <c r="L769" s="2"/>
      <c r="M769" s="2"/>
      <c r="N769" s="2"/>
    </row>
    <row r="770" spans="2:14" ht="15.75" customHeight="1">
      <c r="B770" s="2"/>
      <c r="C770" s="2"/>
      <c r="D770" s="2"/>
      <c r="E770" s="2"/>
      <c r="F770" s="2"/>
      <c r="G770" s="2"/>
      <c r="H770" s="2"/>
      <c r="I770" s="2"/>
      <c r="J770" s="2"/>
      <c r="K770" s="2"/>
      <c r="L770" s="2"/>
      <c r="M770" s="2"/>
      <c r="N770" s="2"/>
    </row>
    <row r="771" spans="2:14" ht="15.75" customHeight="1">
      <c r="B771" s="2"/>
      <c r="C771" s="2"/>
      <c r="D771" s="2"/>
      <c r="E771" s="2"/>
      <c r="F771" s="2"/>
      <c r="G771" s="2"/>
      <c r="H771" s="2"/>
      <c r="I771" s="2"/>
      <c r="J771" s="2"/>
      <c r="K771" s="2"/>
      <c r="L771" s="2"/>
      <c r="M771" s="2"/>
      <c r="N771" s="2"/>
    </row>
    <row r="772" spans="2:14" ht="15.75" customHeight="1">
      <c r="B772" s="2"/>
      <c r="C772" s="2"/>
      <c r="D772" s="2"/>
      <c r="E772" s="2"/>
      <c r="F772" s="2"/>
      <c r="G772" s="2"/>
      <c r="H772" s="2"/>
      <c r="I772" s="2"/>
      <c r="J772" s="2"/>
      <c r="K772" s="2"/>
      <c r="L772" s="2"/>
      <c r="M772" s="2"/>
      <c r="N772" s="2"/>
    </row>
    <row r="773" spans="2:14" ht="15.75" customHeight="1">
      <c r="B773" s="2"/>
      <c r="C773" s="2"/>
      <c r="D773" s="2"/>
      <c r="E773" s="2"/>
      <c r="F773" s="2"/>
      <c r="G773" s="2"/>
      <c r="H773" s="2"/>
      <c r="I773" s="2"/>
      <c r="J773" s="2"/>
      <c r="K773" s="2"/>
      <c r="L773" s="2"/>
      <c r="M773" s="2"/>
      <c r="N773" s="2"/>
    </row>
    <row r="774" spans="2:14" ht="15.75" customHeight="1">
      <c r="B774" s="2"/>
      <c r="C774" s="2"/>
      <c r="D774" s="2"/>
      <c r="E774" s="2"/>
      <c r="F774" s="2"/>
      <c r="G774" s="2"/>
      <c r="H774" s="2"/>
      <c r="I774" s="2"/>
      <c r="J774" s="2"/>
      <c r="K774" s="2"/>
      <c r="L774" s="2"/>
      <c r="M774" s="2"/>
      <c r="N774" s="2"/>
    </row>
    <row r="775" spans="2:14" ht="15.75" customHeight="1">
      <c r="B775" s="2"/>
      <c r="C775" s="2"/>
      <c r="D775" s="2"/>
      <c r="E775" s="2"/>
      <c r="F775" s="2"/>
      <c r="G775" s="2"/>
      <c r="H775" s="2"/>
      <c r="I775" s="2"/>
      <c r="J775" s="2"/>
      <c r="K775" s="2"/>
      <c r="L775" s="2"/>
      <c r="M775" s="2"/>
      <c r="N775" s="2"/>
    </row>
    <row r="776" spans="2:14" ht="15.75" customHeight="1">
      <c r="B776" s="2"/>
      <c r="C776" s="2"/>
      <c r="D776" s="2"/>
      <c r="E776" s="2"/>
      <c r="F776" s="2"/>
      <c r="G776" s="2"/>
      <c r="H776" s="2"/>
      <c r="I776" s="2"/>
      <c r="J776" s="2"/>
      <c r="K776" s="2"/>
      <c r="L776" s="2"/>
      <c r="M776" s="2"/>
      <c r="N776" s="2"/>
    </row>
    <row r="777" spans="2:14" ht="15.75" customHeight="1">
      <c r="B777" s="2"/>
      <c r="C777" s="2"/>
      <c r="D777" s="2"/>
      <c r="E777" s="2"/>
      <c r="F777" s="2"/>
      <c r="G777" s="2"/>
      <c r="H777" s="2"/>
      <c r="I777" s="2"/>
      <c r="J777" s="2"/>
      <c r="K777" s="2"/>
      <c r="L777" s="2"/>
      <c r="M777" s="2"/>
      <c r="N777" s="2"/>
    </row>
    <row r="778" spans="2:14" ht="15.75" customHeight="1">
      <c r="B778" s="2"/>
      <c r="C778" s="2"/>
      <c r="D778" s="2"/>
      <c r="E778" s="2"/>
      <c r="F778" s="2"/>
      <c r="G778" s="2"/>
      <c r="H778" s="2"/>
      <c r="I778" s="2"/>
      <c r="J778" s="2"/>
      <c r="K778" s="2"/>
      <c r="L778" s="2"/>
      <c r="M778" s="2"/>
      <c r="N778" s="2"/>
    </row>
    <row r="779" spans="2:14" ht="15.75" customHeight="1">
      <c r="B779" s="2"/>
      <c r="C779" s="2"/>
      <c r="D779" s="2"/>
      <c r="E779" s="2"/>
      <c r="F779" s="2"/>
      <c r="G779" s="2"/>
      <c r="H779" s="2"/>
      <c r="I779" s="2"/>
      <c r="J779" s="2"/>
      <c r="K779" s="2"/>
      <c r="L779" s="2"/>
      <c r="M779" s="2"/>
      <c r="N779" s="2"/>
    </row>
    <row r="780" spans="2:14" ht="15.75" customHeight="1">
      <c r="B780" s="2"/>
      <c r="C780" s="2"/>
      <c r="D780" s="2"/>
      <c r="E780" s="2"/>
      <c r="F780" s="2"/>
      <c r="G780" s="2"/>
      <c r="H780" s="2"/>
      <c r="I780" s="2"/>
      <c r="J780" s="2"/>
      <c r="K780" s="2"/>
      <c r="L780" s="2"/>
      <c r="M780" s="2"/>
      <c r="N780" s="2"/>
    </row>
    <row r="781" spans="2:14" ht="15.75" customHeight="1">
      <c r="B781" s="2"/>
      <c r="C781" s="2"/>
      <c r="D781" s="2"/>
      <c r="E781" s="2"/>
      <c r="F781" s="2"/>
      <c r="G781" s="2"/>
      <c r="H781" s="2"/>
      <c r="I781" s="2"/>
      <c r="J781" s="2"/>
      <c r="K781" s="2"/>
      <c r="L781" s="2"/>
      <c r="M781" s="2"/>
      <c r="N781" s="2"/>
    </row>
    <row r="782" spans="2:14" ht="15.75" customHeight="1">
      <c r="B782" s="2"/>
      <c r="C782" s="2"/>
      <c r="D782" s="2"/>
      <c r="E782" s="2"/>
      <c r="F782" s="2"/>
      <c r="G782" s="2"/>
      <c r="H782" s="2"/>
      <c r="I782" s="2"/>
      <c r="J782" s="2"/>
      <c r="K782" s="2"/>
      <c r="L782" s="2"/>
      <c r="M782" s="2"/>
      <c r="N782" s="2"/>
    </row>
    <row r="783" spans="2:14" ht="15.75" customHeight="1">
      <c r="B783" s="2"/>
      <c r="C783" s="2"/>
      <c r="D783" s="2"/>
      <c r="E783" s="2"/>
      <c r="F783" s="2"/>
      <c r="G783" s="2"/>
      <c r="H783" s="2"/>
      <c r="I783" s="2"/>
      <c r="J783" s="2"/>
      <c r="K783" s="2"/>
      <c r="L783" s="2"/>
      <c r="M783" s="2"/>
      <c r="N783" s="2"/>
    </row>
    <row r="784" spans="2:14" ht="15.75" customHeight="1">
      <c r="B784" s="2"/>
      <c r="C784" s="2"/>
      <c r="D784" s="2"/>
      <c r="E784" s="2"/>
      <c r="F784" s="2"/>
      <c r="G784" s="2"/>
      <c r="H784" s="2"/>
      <c r="I784" s="2"/>
      <c r="J784" s="2"/>
      <c r="K784" s="2"/>
      <c r="L784" s="2"/>
      <c r="M784" s="2"/>
      <c r="N784" s="2"/>
    </row>
    <row r="785" spans="2:14" ht="15.75" customHeight="1">
      <c r="B785" s="2"/>
      <c r="C785" s="2"/>
      <c r="D785" s="2"/>
      <c r="E785" s="2"/>
      <c r="F785" s="2"/>
      <c r="G785" s="2"/>
      <c r="H785" s="2"/>
      <c r="I785" s="2"/>
      <c r="J785" s="2"/>
      <c r="K785" s="2"/>
      <c r="L785" s="2"/>
      <c r="M785" s="2"/>
      <c r="N785" s="2"/>
    </row>
    <row r="786" spans="2:14" ht="15.75" customHeight="1">
      <c r="B786" s="2"/>
      <c r="C786" s="2"/>
      <c r="D786" s="2"/>
      <c r="E786" s="2"/>
      <c r="F786" s="2"/>
      <c r="G786" s="2"/>
      <c r="H786" s="2"/>
      <c r="I786" s="2"/>
      <c r="J786" s="2"/>
      <c r="K786" s="2"/>
      <c r="L786" s="2"/>
      <c r="M786" s="2"/>
      <c r="N786" s="2"/>
    </row>
    <row r="787" spans="2:14" ht="15.75" customHeight="1">
      <c r="B787" s="2"/>
      <c r="C787" s="2"/>
      <c r="D787" s="2"/>
      <c r="E787" s="2"/>
      <c r="F787" s="2"/>
      <c r="G787" s="2"/>
      <c r="H787" s="2"/>
      <c r="I787" s="2"/>
      <c r="J787" s="2"/>
      <c r="K787" s="2"/>
      <c r="L787" s="2"/>
      <c r="M787" s="2"/>
      <c r="N787" s="2"/>
    </row>
    <row r="788" spans="2:14" ht="15.75" customHeight="1">
      <c r="B788" s="2"/>
      <c r="C788" s="2"/>
      <c r="D788" s="2"/>
      <c r="E788" s="2"/>
      <c r="F788" s="2"/>
      <c r="G788" s="2"/>
      <c r="H788" s="2"/>
      <c r="I788" s="2"/>
      <c r="J788" s="2"/>
      <c r="K788" s="2"/>
      <c r="L788" s="2"/>
      <c r="M788" s="2"/>
      <c r="N788" s="2"/>
    </row>
    <row r="789" spans="2:14" ht="15.75" customHeight="1">
      <c r="B789" s="2"/>
      <c r="C789" s="2"/>
      <c r="D789" s="2"/>
      <c r="E789" s="2"/>
      <c r="F789" s="2"/>
      <c r="G789" s="2"/>
      <c r="H789" s="2"/>
      <c r="I789" s="2"/>
      <c r="J789" s="2"/>
      <c r="K789" s="2"/>
      <c r="L789" s="2"/>
      <c r="M789" s="2"/>
      <c r="N789" s="2"/>
    </row>
    <row r="790" spans="2:14" ht="15.75" customHeight="1">
      <c r="B790" s="2"/>
      <c r="C790" s="2"/>
      <c r="D790" s="2"/>
      <c r="E790" s="2"/>
      <c r="F790" s="2"/>
      <c r="G790" s="2"/>
      <c r="H790" s="2"/>
      <c r="I790" s="2"/>
      <c r="J790" s="2"/>
      <c r="K790" s="2"/>
      <c r="L790" s="2"/>
      <c r="M790" s="2"/>
      <c r="N790" s="2"/>
    </row>
    <row r="791" spans="2:14" ht="15.75" customHeight="1">
      <c r="B791" s="2"/>
      <c r="C791" s="2"/>
      <c r="D791" s="2"/>
      <c r="E791" s="2"/>
      <c r="F791" s="2"/>
      <c r="G791" s="2"/>
      <c r="H791" s="2"/>
      <c r="I791" s="2"/>
      <c r="J791" s="2"/>
      <c r="K791" s="2"/>
      <c r="L791" s="2"/>
      <c r="M791" s="2"/>
      <c r="N791" s="2"/>
    </row>
    <row r="792" spans="2:14" ht="15.75" customHeight="1">
      <c r="B792" s="2"/>
      <c r="C792" s="2"/>
      <c r="D792" s="2"/>
      <c r="E792" s="2"/>
      <c r="F792" s="2"/>
      <c r="G792" s="2"/>
      <c r="H792" s="2"/>
      <c r="I792" s="2"/>
      <c r="J792" s="2"/>
      <c r="K792" s="2"/>
      <c r="L792" s="2"/>
      <c r="M792" s="2"/>
      <c r="N792" s="2"/>
    </row>
    <row r="793" spans="2:14" ht="15.75" customHeight="1">
      <c r="B793" s="2"/>
      <c r="C793" s="2"/>
      <c r="D793" s="2"/>
      <c r="E793" s="2"/>
      <c r="F793" s="2"/>
      <c r="G793" s="2"/>
      <c r="H793" s="2"/>
      <c r="I793" s="2"/>
      <c r="J793" s="2"/>
      <c r="K793" s="2"/>
      <c r="L793" s="2"/>
      <c r="M793" s="2"/>
      <c r="N793" s="2"/>
    </row>
    <row r="794" spans="2:14" ht="15.75" customHeight="1">
      <c r="B794" s="2"/>
      <c r="C794" s="2"/>
      <c r="D794" s="2"/>
      <c r="E794" s="2"/>
      <c r="F794" s="2"/>
      <c r="G794" s="2"/>
      <c r="H794" s="2"/>
      <c r="I794" s="2"/>
      <c r="J794" s="2"/>
      <c r="K794" s="2"/>
      <c r="L794" s="2"/>
      <c r="M794" s="2"/>
      <c r="N794" s="2"/>
    </row>
    <row r="795" spans="2:14" ht="15.75" customHeight="1">
      <c r="B795" s="2"/>
      <c r="C795" s="2"/>
      <c r="D795" s="2"/>
      <c r="E795" s="2"/>
      <c r="F795" s="2"/>
      <c r="G795" s="2"/>
      <c r="H795" s="2"/>
      <c r="I795" s="2"/>
      <c r="J795" s="2"/>
      <c r="K795" s="2"/>
      <c r="L795" s="2"/>
      <c r="M795" s="2"/>
      <c r="N795" s="2"/>
    </row>
    <row r="796" spans="2:14" ht="15.75" customHeight="1">
      <c r="B796" s="2"/>
      <c r="C796" s="2"/>
      <c r="D796" s="2"/>
      <c r="E796" s="2"/>
      <c r="F796" s="2"/>
      <c r="G796" s="2"/>
      <c r="H796" s="2"/>
      <c r="I796" s="2"/>
      <c r="J796" s="2"/>
      <c r="K796" s="2"/>
      <c r="L796" s="2"/>
      <c r="M796" s="2"/>
      <c r="N796" s="2"/>
    </row>
    <row r="797" spans="2:14" ht="15.75" customHeight="1">
      <c r="B797" s="2"/>
      <c r="C797" s="2"/>
      <c r="D797" s="2"/>
      <c r="E797" s="2"/>
      <c r="F797" s="2"/>
      <c r="G797" s="2"/>
      <c r="H797" s="2"/>
      <c r="I797" s="2"/>
      <c r="J797" s="2"/>
      <c r="K797" s="2"/>
      <c r="L797" s="2"/>
      <c r="M797" s="2"/>
      <c r="N797" s="2"/>
    </row>
    <row r="798" spans="2:14" ht="15.75" customHeight="1">
      <c r="B798" s="2"/>
      <c r="C798" s="2"/>
      <c r="D798" s="2"/>
      <c r="E798" s="2"/>
      <c r="F798" s="2"/>
      <c r="G798" s="2"/>
      <c r="H798" s="2"/>
      <c r="I798" s="2"/>
      <c r="J798" s="2"/>
      <c r="K798" s="2"/>
      <c r="L798" s="2"/>
      <c r="M798" s="2"/>
      <c r="N798" s="2"/>
    </row>
    <row r="799" spans="2:14" ht="15.75" customHeight="1">
      <c r="B799" s="2"/>
      <c r="C799" s="2"/>
      <c r="D799" s="2"/>
      <c r="E799" s="2"/>
      <c r="F799" s="2"/>
      <c r="G799" s="2"/>
      <c r="H799" s="2"/>
      <c r="I799" s="2"/>
      <c r="J799" s="2"/>
      <c r="K799" s="2"/>
      <c r="L799" s="2"/>
      <c r="M799" s="2"/>
      <c r="N799" s="2"/>
    </row>
    <row r="800" spans="2:14" ht="15.75" customHeight="1">
      <c r="B800" s="2"/>
      <c r="C800" s="2"/>
      <c r="D800" s="2"/>
      <c r="E800" s="2"/>
      <c r="F800" s="2"/>
      <c r="G800" s="2"/>
      <c r="H800" s="2"/>
      <c r="I800" s="2"/>
      <c r="J800" s="2"/>
      <c r="K800" s="2"/>
      <c r="L800" s="2"/>
      <c r="M800" s="2"/>
      <c r="N800" s="2"/>
    </row>
    <row r="801" spans="2:14" ht="15.75" customHeight="1">
      <c r="B801" s="2"/>
      <c r="C801" s="2"/>
      <c r="D801" s="2"/>
      <c r="E801" s="2"/>
      <c r="F801" s="2"/>
      <c r="G801" s="2"/>
      <c r="H801" s="2"/>
      <c r="I801" s="2"/>
      <c r="J801" s="2"/>
      <c r="K801" s="2"/>
      <c r="L801" s="2"/>
      <c r="M801" s="2"/>
      <c r="N801" s="2"/>
    </row>
    <row r="802" spans="2:14" ht="15.75" customHeight="1">
      <c r="B802" s="2"/>
      <c r="C802" s="2"/>
      <c r="D802" s="2"/>
      <c r="E802" s="2"/>
      <c r="F802" s="2"/>
      <c r="G802" s="2"/>
      <c r="H802" s="2"/>
      <c r="I802" s="2"/>
      <c r="J802" s="2"/>
      <c r="K802" s="2"/>
      <c r="L802" s="2"/>
      <c r="M802" s="2"/>
      <c r="N802" s="2"/>
    </row>
    <row r="803" spans="2:14" ht="15.75" customHeight="1">
      <c r="B803" s="2"/>
      <c r="C803" s="2"/>
      <c r="D803" s="2"/>
      <c r="E803" s="2"/>
      <c r="F803" s="2"/>
      <c r="G803" s="2"/>
      <c r="H803" s="2"/>
      <c r="I803" s="2"/>
      <c r="J803" s="2"/>
      <c r="K803" s="2"/>
      <c r="L803" s="2"/>
      <c r="M803" s="2"/>
      <c r="N803" s="2"/>
    </row>
    <row r="804" spans="2:14" ht="15.75" customHeight="1">
      <c r="B804" s="2"/>
      <c r="C804" s="2"/>
      <c r="D804" s="2"/>
      <c r="E804" s="2"/>
      <c r="F804" s="2"/>
      <c r="G804" s="2"/>
      <c r="H804" s="2"/>
      <c r="I804" s="2"/>
      <c r="J804" s="2"/>
      <c r="K804" s="2"/>
      <c r="L804" s="2"/>
      <c r="M804" s="2"/>
      <c r="N804" s="2"/>
    </row>
    <row r="805" spans="2:14" ht="15.75" customHeight="1">
      <c r="B805" s="2"/>
      <c r="C805" s="2"/>
      <c r="D805" s="2"/>
      <c r="E805" s="2"/>
      <c r="F805" s="2"/>
      <c r="G805" s="2"/>
      <c r="H805" s="2"/>
      <c r="I805" s="2"/>
      <c r="J805" s="2"/>
      <c r="K805" s="2"/>
      <c r="L805" s="2"/>
      <c r="M805" s="2"/>
      <c r="N805" s="2"/>
    </row>
    <row r="806" spans="2:14" ht="15.75" customHeight="1">
      <c r="B806" s="2"/>
      <c r="C806" s="2"/>
      <c r="D806" s="2"/>
      <c r="E806" s="2"/>
      <c r="F806" s="2"/>
      <c r="G806" s="2"/>
      <c r="H806" s="2"/>
      <c r="I806" s="2"/>
      <c r="J806" s="2"/>
      <c r="K806" s="2"/>
      <c r="L806" s="2"/>
      <c r="M806" s="2"/>
      <c r="N806" s="2"/>
    </row>
    <row r="807" spans="2:14" ht="15.75" customHeight="1">
      <c r="B807" s="2"/>
      <c r="C807" s="2"/>
      <c r="D807" s="2"/>
      <c r="E807" s="2"/>
      <c r="F807" s="2"/>
      <c r="G807" s="2"/>
      <c r="H807" s="2"/>
      <c r="I807" s="2"/>
      <c r="J807" s="2"/>
      <c r="K807" s="2"/>
      <c r="L807" s="2"/>
      <c r="M807" s="2"/>
      <c r="N807" s="2"/>
    </row>
    <row r="808" spans="2:14" ht="15.75" customHeight="1">
      <c r="B808" s="2"/>
      <c r="C808" s="2"/>
      <c r="D808" s="2"/>
      <c r="E808" s="2"/>
      <c r="F808" s="2"/>
      <c r="G808" s="2"/>
      <c r="H808" s="2"/>
      <c r="I808" s="2"/>
      <c r="J808" s="2"/>
      <c r="K808" s="2"/>
      <c r="L808" s="2"/>
      <c r="M808" s="2"/>
      <c r="N808" s="2"/>
    </row>
    <row r="809" spans="2:14" ht="15.75" customHeight="1">
      <c r="B809" s="2"/>
      <c r="C809" s="2"/>
      <c r="D809" s="2"/>
      <c r="E809" s="2"/>
      <c r="F809" s="2"/>
      <c r="G809" s="2"/>
      <c r="H809" s="2"/>
      <c r="I809" s="2"/>
      <c r="J809" s="2"/>
      <c r="K809" s="2"/>
      <c r="L809" s="2"/>
      <c r="M809" s="2"/>
      <c r="N809" s="2"/>
    </row>
    <row r="810" spans="2:14" ht="15.75" customHeight="1">
      <c r="B810" s="2"/>
      <c r="C810" s="2"/>
      <c r="D810" s="2"/>
      <c r="E810" s="2"/>
      <c r="F810" s="2"/>
      <c r="G810" s="2"/>
      <c r="H810" s="2"/>
      <c r="I810" s="2"/>
      <c r="J810" s="2"/>
      <c r="K810" s="2"/>
      <c r="L810" s="2"/>
      <c r="M810" s="2"/>
      <c r="N810" s="2"/>
    </row>
    <row r="811" spans="2:14" ht="15.75" customHeight="1">
      <c r="B811" s="2"/>
      <c r="C811" s="2"/>
      <c r="D811" s="2"/>
      <c r="E811" s="2"/>
      <c r="F811" s="2"/>
      <c r="G811" s="2"/>
      <c r="H811" s="2"/>
      <c r="I811" s="2"/>
      <c r="J811" s="2"/>
      <c r="K811" s="2"/>
      <c r="L811" s="2"/>
      <c r="M811" s="2"/>
      <c r="N811" s="2"/>
    </row>
    <row r="812" spans="2:14" ht="15.75" customHeight="1">
      <c r="B812" s="2"/>
      <c r="C812" s="2"/>
      <c r="D812" s="2"/>
      <c r="E812" s="2"/>
      <c r="F812" s="2"/>
      <c r="G812" s="2"/>
      <c r="H812" s="2"/>
      <c r="I812" s="2"/>
      <c r="J812" s="2"/>
      <c r="K812" s="2"/>
      <c r="L812" s="2"/>
      <c r="M812" s="2"/>
      <c r="N812" s="2"/>
    </row>
    <row r="813" spans="2:14" ht="15.75" customHeight="1">
      <c r="B813" s="2"/>
      <c r="C813" s="2"/>
      <c r="D813" s="2"/>
      <c r="E813" s="2"/>
      <c r="F813" s="2"/>
      <c r="G813" s="2"/>
      <c r="H813" s="2"/>
      <c r="I813" s="2"/>
      <c r="J813" s="2"/>
      <c r="K813" s="2"/>
      <c r="L813" s="2"/>
      <c r="M813" s="2"/>
      <c r="N813" s="2"/>
    </row>
    <row r="814" spans="2:14" ht="15.75" customHeight="1">
      <c r="B814" s="2"/>
      <c r="C814" s="2"/>
      <c r="D814" s="2"/>
      <c r="E814" s="2"/>
      <c r="F814" s="2"/>
      <c r="G814" s="2"/>
      <c r="H814" s="2"/>
      <c r="I814" s="2"/>
      <c r="J814" s="2"/>
      <c r="K814" s="2"/>
      <c r="L814" s="2"/>
      <c r="M814" s="2"/>
      <c r="N814" s="2"/>
    </row>
    <row r="815" spans="2:14" ht="15.75" customHeight="1">
      <c r="B815" s="2"/>
      <c r="C815" s="2"/>
      <c r="D815" s="2"/>
      <c r="E815" s="2"/>
      <c r="F815" s="2"/>
      <c r="G815" s="2"/>
      <c r="H815" s="2"/>
      <c r="I815" s="2"/>
      <c r="J815" s="2"/>
      <c r="K815" s="2"/>
      <c r="L815" s="2"/>
      <c r="M815" s="2"/>
      <c r="N815" s="2"/>
    </row>
    <row r="816" spans="2:14" ht="15.75" customHeight="1">
      <c r="B816" s="2"/>
      <c r="C816" s="2"/>
      <c r="D816" s="2"/>
      <c r="E816" s="2"/>
      <c r="F816" s="2"/>
      <c r="G816" s="2"/>
      <c r="H816" s="2"/>
      <c r="I816" s="2"/>
      <c r="J816" s="2"/>
      <c r="K816" s="2"/>
      <c r="L816" s="2"/>
      <c r="M816" s="2"/>
      <c r="N816" s="2"/>
    </row>
    <row r="817" spans="2:14" ht="15.75" customHeight="1">
      <c r="B817" s="2"/>
      <c r="C817" s="2"/>
      <c r="D817" s="2"/>
      <c r="E817" s="2"/>
      <c r="F817" s="2"/>
      <c r="G817" s="2"/>
      <c r="H817" s="2"/>
      <c r="I817" s="2"/>
      <c r="J817" s="2"/>
      <c r="K817" s="2"/>
      <c r="L817" s="2"/>
      <c r="M817" s="2"/>
      <c r="N817" s="2"/>
    </row>
    <row r="818" spans="2:14" ht="15.75" customHeight="1">
      <c r="B818" s="2"/>
      <c r="C818" s="2"/>
      <c r="D818" s="2"/>
      <c r="E818" s="2"/>
      <c r="F818" s="2"/>
      <c r="G818" s="2"/>
      <c r="H818" s="2"/>
      <c r="I818" s="2"/>
      <c r="J818" s="2"/>
      <c r="K818" s="2"/>
      <c r="L818" s="2"/>
      <c r="M818" s="2"/>
      <c r="N818" s="2"/>
    </row>
    <row r="819" spans="2:14" ht="15.75" customHeight="1">
      <c r="B819" s="2"/>
      <c r="C819" s="2"/>
      <c r="D819" s="2"/>
      <c r="E819" s="2"/>
      <c r="F819" s="2"/>
      <c r="G819" s="2"/>
      <c r="H819" s="2"/>
      <c r="I819" s="2"/>
      <c r="J819" s="2"/>
      <c r="K819" s="2"/>
      <c r="L819" s="2"/>
      <c r="M819" s="2"/>
      <c r="N819" s="2"/>
    </row>
    <row r="820" spans="2:14" ht="15.75" customHeight="1">
      <c r="B820" s="2"/>
      <c r="C820" s="2"/>
      <c r="D820" s="2"/>
      <c r="E820" s="2"/>
      <c r="F820" s="2"/>
      <c r="G820" s="2"/>
      <c r="H820" s="2"/>
      <c r="I820" s="2"/>
      <c r="J820" s="2"/>
      <c r="K820" s="2"/>
      <c r="L820" s="2"/>
      <c r="M820" s="2"/>
      <c r="N820" s="2"/>
    </row>
    <row r="821" spans="2:14" ht="15.75" customHeight="1">
      <c r="B821" s="2"/>
      <c r="C821" s="2"/>
      <c r="D821" s="2"/>
      <c r="E821" s="2"/>
      <c r="F821" s="2"/>
      <c r="G821" s="2"/>
      <c r="H821" s="2"/>
      <c r="I821" s="2"/>
      <c r="J821" s="2"/>
      <c r="K821" s="2"/>
      <c r="L821" s="2"/>
      <c r="M821" s="2"/>
      <c r="N821" s="2"/>
    </row>
    <row r="822" spans="2:14" ht="15.75" customHeight="1">
      <c r="B822" s="2"/>
      <c r="C822" s="2"/>
      <c r="D822" s="2"/>
      <c r="E822" s="2"/>
      <c r="F822" s="2"/>
      <c r="G822" s="2"/>
      <c r="H822" s="2"/>
      <c r="I822" s="2"/>
      <c r="J822" s="2"/>
      <c r="K822" s="2"/>
      <c r="L822" s="2"/>
      <c r="M822" s="2"/>
      <c r="N822" s="2"/>
    </row>
    <row r="823" spans="2:14" ht="15.75" customHeight="1">
      <c r="B823" s="2"/>
      <c r="C823" s="2"/>
      <c r="D823" s="2"/>
      <c r="E823" s="2"/>
      <c r="F823" s="2"/>
      <c r="G823" s="2"/>
      <c r="H823" s="2"/>
      <c r="I823" s="2"/>
      <c r="J823" s="2"/>
      <c r="K823" s="2"/>
      <c r="L823" s="2"/>
      <c r="M823" s="2"/>
      <c r="N823" s="2"/>
    </row>
    <row r="824" spans="2:14" ht="15.75" customHeight="1">
      <c r="B824" s="2"/>
      <c r="C824" s="2"/>
      <c r="D824" s="2"/>
      <c r="E824" s="2"/>
      <c r="F824" s="2"/>
      <c r="G824" s="2"/>
      <c r="H824" s="2"/>
      <c r="I824" s="2"/>
      <c r="J824" s="2"/>
      <c r="K824" s="2"/>
      <c r="L824" s="2"/>
      <c r="M824" s="2"/>
      <c r="N824" s="2"/>
    </row>
    <row r="825" spans="2:14" ht="15.75" customHeight="1">
      <c r="B825" s="2"/>
      <c r="C825" s="2"/>
      <c r="D825" s="2"/>
      <c r="E825" s="2"/>
      <c r="F825" s="2"/>
      <c r="G825" s="2"/>
      <c r="H825" s="2"/>
      <c r="I825" s="2"/>
      <c r="J825" s="2"/>
      <c r="K825" s="2"/>
      <c r="L825" s="2"/>
      <c r="M825" s="2"/>
      <c r="N825" s="2"/>
    </row>
    <row r="826" spans="2:14" ht="15.75" customHeight="1">
      <c r="B826" s="2"/>
      <c r="C826" s="2"/>
      <c r="D826" s="2"/>
      <c r="E826" s="2"/>
      <c r="F826" s="2"/>
      <c r="G826" s="2"/>
      <c r="H826" s="2"/>
      <c r="I826" s="2"/>
      <c r="J826" s="2"/>
      <c r="K826" s="2"/>
      <c r="L826" s="2"/>
      <c r="M826" s="2"/>
      <c r="N826" s="2"/>
    </row>
    <row r="827" spans="2:14" ht="15.75" customHeight="1">
      <c r="B827" s="2"/>
      <c r="C827" s="2"/>
      <c r="D827" s="2"/>
      <c r="E827" s="2"/>
      <c r="F827" s="2"/>
      <c r="G827" s="2"/>
      <c r="H827" s="2"/>
      <c r="I827" s="2"/>
      <c r="J827" s="2"/>
      <c r="K827" s="2"/>
      <c r="L827" s="2"/>
      <c r="M827" s="2"/>
      <c r="N827" s="2"/>
    </row>
    <row r="828" spans="2:14" ht="15.75" customHeight="1">
      <c r="B828" s="2"/>
      <c r="C828" s="2"/>
      <c r="D828" s="2"/>
      <c r="E828" s="2"/>
      <c r="F828" s="2"/>
      <c r="G828" s="2"/>
      <c r="H828" s="2"/>
      <c r="I828" s="2"/>
      <c r="J828" s="2"/>
      <c r="K828" s="2"/>
      <c r="L828" s="2"/>
      <c r="M828" s="2"/>
      <c r="N828" s="2"/>
    </row>
    <row r="829" spans="2:14" ht="15.75" customHeight="1">
      <c r="B829" s="2"/>
      <c r="C829" s="2"/>
      <c r="D829" s="2"/>
      <c r="E829" s="2"/>
      <c r="F829" s="2"/>
      <c r="G829" s="2"/>
      <c r="H829" s="2"/>
      <c r="I829" s="2"/>
      <c r="J829" s="2"/>
      <c r="K829" s="2"/>
      <c r="L829" s="2"/>
      <c r="M829" s="2"/>
      <c r="N829" s="2"/>
    </row>
    <row r="830" spans="2:14" ht="15.75" customHeight="1">
      <c r="B830" s="2"/>
      <c r="C830" s="2"/>
      <c r="D830" s="2"/>
      <c r="E830" s="2"/>
      <c r="F830" s="2"/>
      <c r="G830" s="2"/>
      <c r="H830" s="2"/>
      <c r="I830" s="2"/>
      <c r="J830" s="2"/>
      <c r="K830" s="2"/>
      <c r="L830" s="2"/>
      <c r="M830" s="2"/>
      <c r="N830" s="2"/>
    </row>
    <row r="831" spans="2:14" ht="15.75" customHeight="1">
      <c r="B831" s="2"/>
      <c r="C831" s="2"/>
      <c r="D831" s="2"/>
      <c r="E831" s="2"/>
      <c r="F831" s="2"/>
      <c r="G831" s="2"/>
      <c r="H831" s="2"/>
      <c r="I831" s="2"/>
      <c r="J831" s="2"/>
      <c r="K831" s="2"/>
      <c r="L831" s="2"/>
      <c r="M831" s="2"/>
      <c r="N831" s="2"/>
    </row>
    <row r="832" spans="2:14" ht="15.75" customHeight="1">
      <c r="B832" s="2"/>
      <c r="C832" s="2"/>
      <c r="D832" s="2"/>
      <c r="E832" s="2"/>
      <c r="F832" s="2"/>
      <c r="G832" s="2"/>
      <c r="H832" s="2"/>
      <c r="I832" s="2"/>
      <c r="J832" s="2"/>
      <c r="K832" s="2"/>
      <c r="L832" s="2"/>
      <c r="M832" s="2"/>
      <c r="N832" s="2"/>
    </row>
    <row r="833" spans="2:14" ht="15.75" customHeight="1">
      <c r="B833" s="2"/>
      <c r="C833" s="2"/>
      <c r="D833" s="2"/>
      <c r="E833" s="2"/>
      <c r="F833" s="2"/>
      <c r="G833" s="2"/>
      <c r="H833" s="2"/>
      <c r="I833" s="2"/>
      <c r="J833" s="2"/>
      <c r="K833" s="2"/>
      <c r="L833" s="2"/>
      <c r="M833" s="2"/>
      <c r="N833" s="2"/>
    </row>
    <row r="834" spans="2:14" ht="15.75" customHeight="1">
      <c r="B834" s="2"/>
      <c r="C834" s="2"/>
      <c r="D834" s="2"/>
      <c r="E834" s="2"/>
      <c r="F834" s="2"/>
      <c r="G834" s="2"/>
      <c r="H834" s="2"/>
      <c r="I834" s="2"/>
      <c r="J834" s="2"/>
      <c r="K834" s="2"/>
      <c r="L834" s="2"/>
      <c r="M834" s="2"/>
      <c r="N834" s="2"/>
    </row>
    <row r="835" spans="2:14" ht="15.75" customHeight="1">
      <c r="B835" s="2"/>
      <c r="C835" s="2"/>
      <c r="D835" s="2"/>
      <c r="E835" s="2"/>
      <c r="F835" s="2"/>
      <c r="G835" s="2"/>
      <c r="H835" s="2"/>
      <c r="I835" s="2"/>
      <c r="J835" s="2"/>
      <c r="K835" s="2"/>
      <c r="L835" s="2"/>
      <c r="M835" s="2"/>
      <c r="N835" s="2"/>
    </row>
    <row r="836" spans="2:14" ht="15.75" customHeight="1">
      <c r="B836" s="2"/>
      <c r="C836" s="2"/>
      <c r="D836" s="2"/>
      <c r="E836" s="2"/>
      <c r="F836" s="2"/>
      <c r="G836" s="2"/>
      <c r="H836" s="2"/>
      <c r="I836" s="2"/>
      <c r="J836" s="2"/>
      <c r="K836" s="2"/>
      <c r="L836" s="2"/>
      <c r="M836" s="2"/>
      <c r="N836" s="2"/>
    </row>
    <row r="837" spans="2:14" ht="15.75" customHeight="1">
      <c r="B837" s="2"/>
      <c r="C837" s="2"/>
      <c r="D837" s="2"/>
      <c r="E837" s="2"/>
      <c r="F837" s="2"/>
      <c r="G837" s="2"/>
      <c r="H837" s="2"/>
      <c r="I837" s="2"/>
      <c r="J837" s="2"/>
      <c r="K837" s="2"/>
      <c r="L837" s="2"/>
      <c r="M837" s="2"/>
      <c r="N837" s="2"/>
    </row>
    <row r="838" spans="2:14" ht="15.75" customHeight="1">
      <c r="B838" s="2"/>
      <c r="C838" s="2"/>
      <c r="D838" s="2"/>
      <c r="E838" s="2"/>
      <c r="F838" s="2"/>
      <c r="G838" s="2"/>
      <c r="H838" s="2"/>
      <c r="I838" s="2"/>
      <c r="J838" s="2"/>
      <c r="K838" s="2"/>
      <c r="L838" s="2"/>
      <c r="M838" s="2"/>
      <c r="N838" s="2"/>
    </row>
    <row r="839" spans="2:14" ht="15.75" customHeight="1">
      <c r="B839" s="2"/>
      <c r="C839" s="2"/>
      <c r="D839" s="2"/>
      <c r="E839" s="2"/>
      <c r="F839" s="2"/>
      <c r="G839" s="2"/>
      <c r="H839" s="2"/>
      <c r="I839" s="2"/>
      <c r="J839" s="2"/>
      <c r="K839" s="2"/>
      <c r="L839" s="2"/>
      <c r="M839" s="2"/>
      <c r="N839" s="2"/>
    </row>
    <row r="840" spans="2:14" ht="15.75" customHeight="1">
      <c r="B840" s="2"/>
      <c r="C840" s="2"/>
      <c r="D840" s="2"/>
      <c r="E840" s="2"/>
      <c r="F840" s="2"/>
      <c r="G840" s="2"/>
      <c r="H840" s="2"/>
      <c r="I840" s="2"/>
      <c r="J840" s="2"/>
      <c r="K840" s="2"/>
      <c r="L840" s="2"/>
      <c r="M840" s="2"/>
      <c r="N840" s="2"/>
    </row>
    <row r="841" spans="2:14" ht="15.75" customHeight="1">
      <c r="B841" s="2"/>
      <c r="C841" s="2"/>
      <c r="D841" s="2"/>
      <c r="E841" s="2"/>
      <c r="F841" s="2"/>
      <c r="G841" s="2"/>
      <c r="H841" s="2"/>
      <c r="I841" s="2"/>
      <c r="J841" s="2"/>
      <c r="K841" s="2"/>
      <c r="L841" s="2"/>
      <c r="M841" s="2"/>
      <c r="N841" s="2"/>
    </row>
    <row r="842" spans="2:14" ht="15.75" customHeight="1">
      <c r="B842" s="2"/>
      <c r="C842" s="2"/>
      <c r="D842" s="2"/>
      <c r="E842" s="2"/>
      <c r="F842" s="2"/>
      <c r="G842" s="2"/>
      <c r="H842" s="2"/>
      <c r="I842" s="2"/>
      <c r="J842" s="2"/>
      <c r="K842" s="2"/>
      <c r="L842" s="2"/>
      <c r="M842" s="2"/>
      <c r="N842" s="2"/>
    </row>
    <row r="843" spans="2:14" ht="15.75" customHeight="1">
      <c r="B843" s="2"/>
      <c r="C843" s="2"/>
      <c r="D843" s="2"/>
      <c r="E843" s="2"/>
      <c r="F843" s="2"/>
      <c r="G843" s="2"/>
      <c r="H843" s="2"/>
      <c r="I843" s="2"/>
      <c r="J843" s="2"/>
      <c r="K843" s="2"/>
      <c r="L843" s="2"/>
      <c r="M843" s="2"/>
      <c r="N843" s="2"/>
    </row>
    <row r="844" spans="2:14" ht="15.75" customHeight="1">
      <c r="B844" s="2"/>
      <c r="C844" s="2"/>
      <c r="D844" s="2"/>
      <c r="E844" s="2"/>
      <c r="F844" s="2"/>
      <c r="G844" s="2"/>
      <c r="H844" s="2"/>
      <c r="I844" s="2"/>
      <c r="J844" s="2"/>
      <c r="K844" s="2"/>
      <c r="L844" s="2"/>
      <c r="M844" s="2"/>
      <c r="N844" s="2"/>
    </row>
    <row r="845" spans="2:14" ht="15.75" customHeight="1">
      <c r="B845" s="2"/>
      <c r="C845" s="2"/>
      <c r="D845" s="2"/>
      <c r="E845" s="2"/>
      <c r="F845" s="2"/>
      <c r="G845" s="2"/>
      <c r="H845" s="2"/>
      <c r="I845" s="2"/>
      <c r="J845" s="2"/>
      <c r="K845" s="2"/>
      <c r="L845" s="2"/>
      <c r="M845" s="2"/>
      <c r="N845" s="2"/>
    </row>
    <row r="846" spans="2:14" ht="15.75" customHeight="1">
      <c r="B846" s="2"/>
      <c r="C846" s="2"/>
      <c r="D846" s="2"/>
      <c r="E846" s="2"/>
      <c r="F846" s="2"/>
      <c r="G846" s="2"/>
      <c r="H846" s="2"/>
      <c r="I846" s="2"/>
      <c r="J846" s="2"/>
      <c r="K846" s="2"/>
      <c r="L846" s="2"/>
      <c r="M846" s="2"/>
      <c r="N846" s="2"/>
    </row>
    <row r="847" spans="2:14" ht="15.75" customHeight="1">
      <c r="B847" s="2"/>
      <c r="C847" s="2"/>
      <c r="D847" s="2"/>
      <c r="E847" s="2"/>
      <c r="F847" s="2"/>
      <c r="G847" s="2"/>
      <c r="H847" s="2"/>
      <c r="I847" s="2"/>
      <c r="J847" s="2"/>
      <c r="K847" s="2"/>
      <c r="L847" s="2"/>
      <c r="M847" s="2"/>
      <c r="N847" s="2"/>
    </row>
    <row r="848" spans="2:14" ht="15.75" customHeight="1">
      <c r="B848" s="2"/>
      <c r="C848" s="2"/>
      <c r="D848" s="2"/>
      <c r="E848" s="2"/>
      <c r="F848" s="2"/>
      <c r="G848" s="2"/>
      <c r="H848" s="2"/>
      <c r="I848" s="2"/>
      <c r="J848" s="2"/>
      <c r="K848" s="2"/>
      <c r="L848" s="2"/>
      <c r="M848" s="2"/>
      <c r="N848" s="2"/>
    </row>
    <row r="849" spans="2:14" ht="15.75" customHeight="1">
      <c r="B849" s="2"/>
      <c r="C849" s="2"/>
      <c r="D849" s="2"/>
      <c r="E849" s="2"/>
      <c r="F849" s="2"/>
      <c r="G849" s="2"/>
      <c r="H849" s="2"/>
      <c r="I849" s="2"/>
      <c r="J849" s="2"/>
      <c r="K849" s="2"/>
      <c r="L849" s="2"/>
      <c r="M849" s="2"/>
      <c r="N849" s="2"/>
    </row>
    <row r="850" spans="2:14" ht="15.75" customHeight="1">
      <c r="B850" s="2"/>
      <c r="C850" s="2"/>
      <c r="D850" s="2"/>
      <c r="E850" s="2"/>
      <c r="F850" s="2"/>
      <c r="G850" s="2"/>
      <c r="H850" s="2"/>
      <c r="I850" s="2"/>
      <c r="J850" s="2"/>
      <c r="K850" s="2"/>
      <c r="L850" s="2"/>
      <c r="M850" s="2"/>
      <c r="N850" s="2"/>
    </row>
    <row r="851" spans="2:14" ht="15.75" customHeight="1">
      <c r="B851" s="2"/>
      <c r="C851" s="2"/>
      <c r="D851" s="2"/>
      <c r="E851" s="2"/>
      <c r="F851" s="2"/>
      <c r="G851" s="2"/>
      <c r="H851" s="2"/>
      <c r="I851" s="2"/>
      <c r="J851" s="2"/>
      <c r="K851" s="2"/>
      <c r="L851" s="2"/>
      <c r="M851" s="2"/>
      <c r="N851" s="2"/>
    </row>
    <row r="852" spans="2:14" ht="15.75" customHeight="1">
      <c r="B852" s="2"/>
      <c r="C852" s="2"/>
      <c r="D852" s="2"/>
      <c r="E852" s="2"/>
      <c r="F852" s="2"/>
      <c r="G852" s="2"/>
      <c r="H852" s="2"/>
      <c r="I852" s="2"/>
      <c r="J852" s="2"/>
      <c r="K852" s="2"/>
      <c r="L852" s="2"/>
      <c r="M852" s="2"/>
      <c r="N852" s="2"/>
    </row>
    <row r="853" spans="2:14" ht="15.75" customHeight="1">
      <c r="B853" s="2"/>
      <c r="C853" s="2"/>
      <c r="D853" s="2"/>
      <c r="E853" s="2"/>
      <c r="F853" s="2"/>
      <c r="G853" s="2"/>
      <c r="H853" s="2"/>
      <c r="I853" s="2"/>
      <c r="J853" s="2"/>
      <c r="K853" s="2"/>
      <c r="L853" s="2"/>
      <c r="M853" s="2"/>
      <c r="N853" s="2"/>
    </row>
    <row r="854" spans="2:14" ht="15.75" customHeight="1">
      <c r="B854" s="2"/>
      <c r="C854" s="2"/>
      <c r="D854" s="2"/>
      <c r="E854" s="2"/>
      <c r="F854" s="2"/>
      <c r="G854" s="2"/>
      <c r="H854" s="2"/>
      <c r="I854" s="2"/>
      <c r="J854" s="2"/>
      <c r="K854" s="2"/>
      <c r="L854" s="2"/>
      <c r="M854" s="2"/>
      <c r="N854" s="2"/>
    </row>
    <row r="855" spans="2:14" ht="15.75" customHeight="1">
      <c r="B855" s="2"/>
      <c r="C855" s="2"/>
      <c r="D855" s="2"/>
      <c r="E855" s="2"/>
      <c r="F855" s="2"/>
      <c r="G855" s="2"/>
      <c r="H855" s="2"/>
      <c r="I855" s="2"/>
      <c r="J855" s="2"/>
      <c r="K855" s="2"/>
      <c r="L855" s="2"/>
      <c r="M855" s="2"/>
      <c r="N855" s="2"/>
    </row>
    <row r="856" spans="2:14" ht="15.75" customHeight="1">
      <c r="B856" s="2"/>
      <c r="C856" s="2"/>
      <c r="D856" s="2"/>
      <c r="E856" s="2"/>
      <c r="F856" s="2"/>
      <c r="G856" s="2"/>
      <c r="H856" s="2"/>
      <c r="I856" s="2"/>
      <c r="J856" s="2"/>
      <c r="K856" s="2"/>
      <c r="L856" s="2"/>
      <c r="M856" s="2"/>
      <c r="N856" s="2"/>
    </row>
    <row r="857" spans="2:14" ht="15.75" customHeight="1">
      <c r="B857" s="2"/>
      <c r="C857" s="2"/>
      <c r="D857" s="2"/>
      <c r="E857" s="2"/>
      <c r="F857" s="2"/>
      <c r="G857" s="2"/>
      <c r="H857" s="2"/>
      <c r="I857" s="2"/>
      <c r="J857" s="2"/>
      <c r="K857" s="2"/>
      <c r="L857" s="2"/>
      <c r="M857" s="2"/>
      <c r="N857" s="2"/>
    </row>
    <row r="858" spans="2:14" ht="15.75" customHeight="1">
      <c r="B858" s="2"/>
      <c r="C858" s="2"/>
      <c r="D858" s="2"/>
      <c r="E858" s="2"/>
      <c r="F858" s="2"/>
      <c r="G858" s="2"/>
      <c r="H858" s="2"/>
      <c r="I858" s="2"/>
      <c r="J858" s="2"/>
      <c r="K858" s="2"/>
      <c r="L858" s="2"/>
      <c r="M858" s="2"/>
      <c r="N858" s="2"/>
    </row>
    <row r="859" spans="2:14" ht="15.75" customHeight="1">
      <c r="B859" s="2"/>
      <c r="C859" s="2"/>
      <c r="D859" s="2"/>
      <c r="E859" s="2"/>
      <c r="F859" s="2"/>
      <c r="G859" s="2"/>
      <c r="H859" s="2"/>
      <c r="I859" s="2"/>
      <c r="J859" s="2"/>
      <c r="K859" s="2"/>
      <c r="L859" s="2"/>
      <c r="M859" s="2"/>
      <c r="N859" s="2"/>
    </row>
    <row r="860" spans="2:14" ht="15.75" customHeight="1">
      <c r="B860" s="2"/>
      <c r="C860" s="2"/>
      <c r="D860" s="2"/>
      <c r="E860" s="2"/>
      <c r="F860" s="2"/>
      <c r="G860" s="2"/>
      <c r="H860" s="2"/>
      <c r="I860" s="2"/>
      <c r="J860" s="2"/>
      <c r="K860" s="2"/>
      <c r="L860" s="2"/>
      <c r="M860" s="2"/>
      <c r="N860" s="2"/>
    </row>
    <row r="861" spans="2:14" ht="15.75" customHeight="1">
      <c r="B861" s="2"/>
      <c r="C861" s="2"/>
      <c r="D861" s="2"/>
      <c r="E861" s="2"/>
      <c r="F861" s="2"/>
      <c r="G861" s="2"/>
      <c r="H861" s="2"/>
      <c r="I861" s="2"/>
      <c r="J861" s="2"/>
      <c r="K861" s="2"/>
      <c r="L861" s="2"/>
      <c r="M861" s="2"/>
      <c r="N861" s="2"/>
    </row>
    <row r="862" spans="2:14" ht="15.75" customHeight="1">
      <c r="B862" s="2"/>
      <c r="C862" s="2"/>
      <c r="D862" s="2"/>
      <c r="E862" s="2"/>
      <c r="F862" s="2"/>
      <c r="G862" s="2"/>
      <c r="H862" s="2"/>
      <c r="I862" s="2"/>
      <c r="J862" s="2"/>
      <c r="K862" s="2"/>
      <c r="L862" s="2"/>
      <c r="M862" s="2"/>
      <c r="N862" s="2"/>
    </row>
    <row r="863" spans="2:14" ht="15.75" customHeight="1">
      <c r="B863" s="2"/>
      <c r="C863" s="2"/>
      <c r="D863" s="2"/>
      <c r="E863" s="2"/>
      <c r="F863" s="2"/>
      <c r="G863" s="2"/>
      <c r="H863" s="2"/>
      <c r="I863" s="2"/>
      <c r="J863" s="2"/>
      <c r="K863" s="2"/>
      <c r="L863" s="2"/>
      <c r="M863" s="2"/>
      <c r="N863" s="2"/>
    </row>
    <row r="864" spans="2:14" ht="15.75" customHeight="1">
      <c r="B864" s="2"/>
      <c r="C864" s="2"/>
      <c r="D864" s="2"/>
      <c r="E864" s="2"/>
      <c r="F864" s="2"/>
      <c r="G864" s="2"/>
      <c r="H864" s="2"/>
      <c r="I864" s="2"/>
      <c r="J864" s="2"/>
      <c r="K864" s="2"/>
      <c r="L864" s="2"/>
      <c r="M864" s="2"/>
      <c r="N864" s="2"/>
    </row>
    <row r="865" spans="2:14" ht="15.75" customHeight="1">
      <c r="B865" s="2"/>
      <c r="C865" s="2"/>
      <c r="D865" s="2"/>
      <c r="E865" s="2"/>
      <c r="F865" s="2"/>
      <c r="G865" s="2"/>
      <c r="H865" s="2"/>
      <c r="I865" s="2"/>
      <c r="J865" s="2"/>
      <c r="K865" s="2"/>
      <c r="L865" s="2"/>
      <c r="M865" s="2"/>
      <c r="N865" s="2"/>
    </row>
    <row r="866" spans="2:14" ht="15.75" customHeight="1">
      <c r="B866" s="2"/>
      <c r="C866" s="2"/>
      <c r="D866" s="2"/>
      <c r="E866" s="2"/>
      <c r="F866" s="2"/>
      <c r="G866" s="2"/>
      <c r="H866" s="2"/>
      <c r="I866" s="2"/>
      <c r="J866" s="2"/>
      <c r="K866" s="2"/>
      <c r="L866" s="2"/>
      <c r="M866" s="2"/>
      <c r="N866" s="2"/>
    </row>
    <row r="867" spans="2:14" ht="15.75" customHeight="1">
      <c r="B867" s="2"/>
      <c r="C867" s="2"/>
      <c r="D867" s="2"/>
      <c r="E867" s="2"/>
      <c r="F867" s="2"/>
      <c r="G867" s="2"/>
      <c r="H867" s="2"/>
      <c r="I867" s="2"/>
      <c r="J867" s="2"/>
      <c r="K867" s="2"/>
      <c r="L867" s="2"/>
      <c r="M867" s="2"/>
      <c r="N867" s="2"/>
    </row>
    <row r="868" spans="2:14" ht="15.75" customHeight="1">
      <c r="B868" s="2"/>
      <c r="C868" s="2"/>
      <c r="D868" s="2"/>
      <c r="E868" s="2"/>
      <c r="F868" s="2"/>
      <c r="G868" s="2"/>
      <c r="H868" s="2"/>
      <c r="I868" s="2"/>
      <c r="J868" s="2"/>
      <c r="K868" s="2"/>
      <c r="L868" s="2"/>
      <c r="M868" s="2"/>
      <c r="N868" s="2"/>
    </row>
    <row r="869" spans="2:14" ht="15.75" customHeight="1">
      <c r="B869" s="2"/>
      <c r="C869" s="2"/>
      <c r="D869" s="2"/>
      <c r="E869" s="2"/>
      <c r="F869" s="2"/>
      <c r="G869" s="2"/>
      <c r="H869" s="2"/>
      <c r="I869" s="2"/>
      <c r="J869" s="2"/>
      <c r="K869" s="2"/>
      <c r="L869" s="2"/>
      <c r="M869" s="2"/>
      <c r="N869" s="2"/>
    </row>
    <row r="870" spans="2:14" ht="15.75" customHeight="1">
      <c r="B870" s="2"/>
      <c r="C870" s="2"/>
      <c r="D870" s="2"/>
      <c r="E870" s="2"/>
      <c r="F870" s="2"/>
      <c r="G870" s="2"/>
      <c r="H870" s="2"/>
      <c r="I870" s="2"/>
      <c r="J870" s="2"/>
      <c r="K870" s="2"/>
      <c r="L870" s="2"/>
      <c r="M870" s="2"/>
      <c r="N870" s="2"/>
    </row>
    <row r="871" spans="2:14" ht="15.75" customHeight="1">
      <c r="B871" s="2"/>
      <c r="C871" s="2"/>
      <c r="D871" s="2"/>
      <c r="E871" s="2"/>
      <c r="F871" s="2"/>
      <c r="G871" s="2"/>
      <c r="H871" s="2"/>
      <c r="I871" s="2"/>
      <c r="J871" s="2"/>
      <c r="K871" s="2"/>
      <c r="L871" s="2"/>
      <c r="M871" s="2"/>
      <c r="N871" s="2"/>
    </row>
    <row r="872" spans="2:14" ht="15.75" customHeight="1">
      <c r="B872" s="2"/>
      <c r="C872" s="2"/>
      <c r="D872" s="2"/>
      <c r="E872" s="2"/>
      <c r="F872" s="2"/>
      <c r="G872" s="2"/>
      <c r="H872" s="2"/>
      <c r="I872" s="2"/>
      <c r="J872" s="2"/>
      <c r="K872" s="2"/>
      <c r="L872" s="2"/>
      <c r="M872" s="2"/>
      <c r="N872" s="2"/>
    </row>
    <row r="873" spans="2:14" ht="15.75" customHeight="1">
      <c r="B873" s="2"/>
      <c r="C873" s="2"/>
      <c r="D873" s="2"/>
      <c r="E873" s="2"/>
      <c r="F873" s="2"/>
      <c r="G873" s="2"/>
      <c r="H873" s="2"/>
      <c r="I873" s="2"/>
      <c r="J873" s="2"/>
      <c r="K873" s="2"/>
      <c r="L873" s="2"/>
      <c r="M873" s="2"/>
      <c r="N873" s="2"/>
    </row>
    <row r="874" spans="2:14" ht="15.75" customHeight="1">
      <c r="B874" s="2"/>
      <c r="C874" s="2"/>
      <c r="D874" s="2"/>
      <c r="E874" s="2"/>
      <c r="F874" s="2"/>
      <c r="G874" s="2"/>
      <c r="H874" s="2"/>
      <c r="I874" s="2"/>
      <c r="J874" s="2"/>
      <c r="K874" s="2"/>
      <c r="L874" s="2"/>
      <c r="M874" s="2"/>
      <c r="N874" s="2"/>
    </row>
    <row r="875" spans="2:14" ht="15.75" customHeight="1">
      <c r="B875" s="2"/>
      <c r="C875" s="2"/>
      <c r="D875" s="2"/>
      <c r="E875" s="2"/>
      <c r="F875" s="2"/>
      <c r="G875" s="2"/>
      <c r="H875" s="2"/>
      <c r="I875" s="2"/>
      <c r="J875" s="2"/>
      <c r="K875" s="2"/>
      <c r="L875" s="2"/>
      <c r="M875" s="2"/>
      <c r="N875" s="2"/>
    </row>
    <row r="876" spans="2:14" ht="15.75" customHeight="1">
      <c r="B876" s="2"/>
      <c r="C876" s="2"/>
      <c r="D876" s="2"/>
      <c r="E876" s="2"/>
      <c r="F876" s="2"/>
      <c r="G876" s="2"/>
      <c r="H876" s="2"/>
      <c r="I876" s="2"/>
      <c r="J876" s="2"/>
      <c r="K876" s="2"/>
      <c r="L876" s="2"/>
      <c r="M876" s="2"/>
      <c r="N876" s="2"/>
    </row>
    <row r="877" spans="2:14" ht="15.75" customHeight="1">
      <c r="B877" s="2"/>
      <c r="C877" s="2"/>
      <c r="D877" s="2"/>
      <c r="E877" s="2"/>
      <c r="F877" s="2"/>
      <c r="G877" s="2"/>
      <c r="H877" s="2"/>
      <c r="I877" s="2"/>
      <c r="J877" s="2"/>
      <c r="K877" s="2"/>
      <c r="L877" s="2"/>
      <c r="M877" s="2"/>
      <c r="N877" s="2"/>
    </row>
    <row r="878" spans="2:14" ht="15.75" customHeight="1">
      <c r="B878" s="2"/>
      <c r="C878" s="2"/>
      <c r="D878" s="2"/>
      <c r="E878" s="2"/>
      <c r="F878" s="2"/>
      <c r="G878" s="2"/>
      <c r="H878" s="2"/>
      <c r="I878" s="2"/>
      <c r="J878" s="2"/>
      <c r="K878" s="2"/>
      <c r="L878" s="2"/>
      <c r="M878" s="2"/>
      <c r="N878" s="2"/>
    </row>
    <row r="879" spans="2:14" ht="15.75" customHeight="1">
      <c r="B879" s="2"/>
      <c r="C879" s="2"/>
      <c r="D879" s="2"/>
      <c r="E879" s="2"/>
      <c r="F879" s="2"/>
      <c r="G879" s="2"/>
      <c r="H879" s="2"/>
      <c r="I879" s="2"/>
      <c r="J879" s="2"/>
      <c r="K879" s="2"/>
      <c r="L879" s="2"/>
      <c r="M879" s="2"/>
      <c r="N879" s="2"/>
    </row>
    <row r="880" spans="2:14" ht="15.75" customHeight="1">
      <c r="B880" s="2"/>
      <c r="C880" s="2"/>
      <c r="D880" s="2"/>
      <c r="E880" s="2"/>
      <c r="F880" s="2"/>
      <c r="G880" s="2"/>
      <c r="H880" s="2"/>
      <c r="I880" s="2"/>
      <c r="J880" s="2"/>
      <c r="K880" s="2"/>
      <c r="L880" s="2"/>
      <c r="M880" s="2"/>
      <c r="N880" s="2"/>
    </row>
    <row r="881" spans="2:14" ht="15.75" customHeight="1">
      <c r="B881" s="2"/>
      <c r="C881" s="2"/>
      <c r="D881" s="2"/>
      <c r="E881" s="2"/>
      <c r="F881" s="2"/>
      <c r="G881" s="2"/>
      <c r="H881" s="2"/>
      <c r="I881" s="2"/>
      <c r="J881" s="2"/>
      <c r="K881" s="2"/>
      <c r="L881" s="2"/>
      <c r="M881" s="2"/>
      <c r="N881" s="2"/>
    </row>
    <row r="882" spans="2:14" ht="15.75" customHeight="1">
      <c r="B882" s="2"/>
      <c r="C882" s="2"/>
      <c r="D882" s="2"/>
      <c r="E882" s="2"/>
      <c r="F882" s="2"/>
      <c r="G882" s="2"/>
      <c r="H882" s="2"/>
      <c r="I882" s="2"/>
      <c r="J882" s="2"/>
      <c r="K882" s="2"/>
      <c r="L882" s="2"/>
      <c r="M882" s="2"/>
      <c r="N882" s="2"/>
    </row>
    <row r="883" spans="2:14" ht="15.75" customHeight="1">
      <c r="B883" s="2"/>
      <c r="C883" s="2"/>
      <c r="D883" s="2"/>
      <c r="E883" s="2"/>
      <c r="F883" s="2"/>
      <c r="G883" s="2"/>
      <c r="H883" s="2"/>
      <c r="I883" s="2"/>
      <c r="J883" s="2"/>
      <c r="K883" s="2"/>
      <c r="L883" s="2"/>
      <c r="M883" s="2"/>
      <c r="N883" s="2"/>
    </row>
    <row r="884" spans="2:14" ht="15.75" customHeight="1">
      <c r="B884" s="2"/>
      <c r="C884" s="2"/>
      <c r="D884" s="2"/>
      <c r="E884" s="2"/>
      <c r="F884" s="2"/>
      <c r="G884" s="2"/>
      <c r="H884" s="2"/>
      <c r="I884" s="2"/>
      <c r="J884" s="2"/>
      <c r="K884" s="2"/>
      <c r="L884" s="2"/>
      <c r="M884" s="2"/>
      <c r="N884" s="2"/>
    </row>
    <row r="885" spans="2:14" ht="15.75" customHeight="1">
      <c r="B885" s="2"/>
      <c r="C885" s="2"/>
      <c r="D885" s="2"/>
      <c r="E885" s="2"/>
      <c r="F885" s="2"/>
      <c r="G885" s="2"/>
      <c r="H885" s="2"/>
      <c r="I885" s="2"/>
      <c r="J885" s="2"/>
      <c r="K885" s="2"/>
      <c r="L885" s="2"/>
      <c r="M885" s="2"/>
      <c r="N885" s="2"/>
    </row>
    <row r="886" spans="2:14" ht="15.75" customHeight="1">
      <c r="B886" s="2"/>
      <c r="C886" s="2"/>
      <c r="D886" s="2"/>
      <c r="E886" s="2"/>
      <c r="F886" s="2"/>
      <c r="G886" s="2"/>
      <c r="H886" s="2"/>
      <c r="I886" s="2"/>
      <c r="J886" s="2"/>
      <c r="K886" s="2"/>
      <c r="L886" s="2"/>
      <c r="M886" s="2"/>
      <c r="N886" s="2"/>
    </row>
    <row r="887" spans="2:14" ht="15.75" customHeight="1">
      <c r="B887" s="2"/>
      <c r="C887" s="2"/>
      <c r="D887" s="2"/>
      <c r="E887" s="2"/>
      <c r="F887" s="2"/>
      <c r="G887" s="2"/>
      <c r="H887" s="2"/>
      <c r="I887" s="2"/>
      <c r="J887" s="2"/>
      <c r="K887" s="2"/>
      <c r="L887" s="2"/>
      <c r="M887" s="2"/>
      <c r="N887" s="2"/>
    </row>
    <row r="888" spans="2:14" ht="15.75" customHeight="1">
      <c r="B888" s="2"/>
      <c r="C888" s="2"/>
      <c r="D888" s="2"/>
      <c r="E888" s="2"/>
      <c r="F888" s="2"/>
      <c r="G888" s="2"/>
      <c r="H888" s="2"/>
      <c r="I888" s="2"/>
      <c r="J888" s="2"/>
      <c r="K888" s="2"/>
      <c r="L888" s="2"/>
      <c r="M888" s="2"/>
      <c r="N888" s="2"/>
    </row>
    <row r="889" spans="2:14" ht="15.75" customHeight="1">
      <c r="B889" s="2"/>
      <c r="C889" s="2"/>
      <c r="D889" s="2"/>
      <c r="E889" s="2"/>
      <c r="F889" s="2"/>
      <c r="G889" s="2"/>
      <c r="H889" s="2"/>
      <c r="I889" s="2"/>
      <c r="J889" s="2"/>
      <c r="K889" s="2"/>
      <c r="L889" s="2"/>
      <c r="M889" s="2"/>
      <c r="N889" s="2"/>
    </row>
    <row r="890" spans="2:14" ht="15.75" customHeight="1">
      <c r="B890" s="2"/>
      <c r="C890" s="2"/>
      <c r="D890" s="2"/>
      <c r="E890" s="2"/>
      <c r="F890" s="2"/>
      <c r="G890" s="2"/>
      <c r="H890" s="2"/>
      <c r="I890" s="2"/>
      <c r="J890" s="2"/>
      <c r="K890" s="2"/>
      <c r="L890" s="2"/>
      <c r="M890" s="2"/>
      <c r="N890" s="2"/>
    </row>
    <row r="891" spans="2:14" ht="15.75" customHeight="1">
      <c r="B891" s="2"/>
      <c r="C891" s="2"/>
      <c r="D891" s="2"/>
      <c r="E891" s="2"/>
      <c r="F891" s="2"/>
      <c r="G891" s="2"/>
      <c r="H891" s="2"/>
      <c r="I891" s="2"/>
      <c r="J891" s="2"/>
      <c r="K891" s="2"/>
      <c r="L891" s="2"/>
      <c r="M891" s="2"/>
      <c r="N891" s="2"/>
    </row>
    <row r="892" spans="2:14" ht="15.75" customHeight="1">
      <c r="B892" s="2"/>
      <c r="C892" s="2"/>
      <c r="D892" s="2"/>
      <c r="E892" s="2"/>
      <c r="F892" s="2"/>
      <c r="G892" s="2"/>
      <c r="H892" s="2"/>
      <c r="I892" s="2"/>
      <c r="J892" s="2"/>
      <c r="K892" s="2"/>
      <c r="L892" s="2"/>
      <c r="M892" s="2"/>
      <c r="N892" s="2"/>
    </row>
    <row r="893" spans="2:14" ht="15.75" customHeight="1">
      <c r="B893" s="2"/>
      <c r="C893" s="2"/>
      <c r="D893" s="2"/>
      <c r="E893" s="2"/>
      <c r="F893" s="2"/>
      <c r="G893" s="2"/>
      <c r="H893" s="2"/>
      <c r="I893" s="2"/>
      <c r="J893" s="2"/>
      <c r="K893" s="2"/>
      <c r="L893" s="2"/>
      <c r="M893" s="2"/>
      <c r="N893" s="2"/>
    </row>
    <row r="894" spans="2:14" ht="15.75" customHeight="1">
      <c r="B894" s="2"/>
      <c r="C894" s="2"/>
      <c r="D894" s="2"/>
      <c r="E894" s="2"/>
      <c r="F894" s="2"/>
      <c r="G894" s="2"/>
      <c r="H894" s="2"/>
      <c r="I894" s="2"/>
      <c r="J894" s="2"/>
      <c r="K894" s="2"/>
      <c r="L894" s="2"/>
      <c r="M894" s="2"/>
      <c r="N894" s="2"/>
    </row>
    <row r="895" spans="2:14" ht="15.75" customHeight="1">
      <c r="B895" s="2"/>
      <c r="C895" s="2"/>
      <c r="D895" s="2"/>
      <c r="E895" s="2"/>
      <c r="F895" s="2"/>
      <c r="G895" s="2"/>
      <c r="H895" s="2"/>
      <c r="I895" s="2"/>
      <c r="J895" s="2"/>
      <c r="K895" s="2"/>
      <c r="L895" s="2"/>
      <c r="M895" s="2"/>
      <c r="N895" s="2"/>
    </row>
    <row r="896" spans="2:14" ht="15.75" customHeight="1">
      <c r="B896" s="2"/>
      <c r="C896" s="2"/>
      <c r="D896" s="2"/>
      <c r="E896" s="2"/>
      <c r="F896" s="2"/>
      <c r="G896" s="2"/>
      <c r="H896" s="2"/>
      <c r="I896" s="2"/>
      <c r="J896" s="2"/>
      <c r="K896" s="2"/>
      <c r="L896" s="2"/>
      <c r="M896" s="2"/>
      <c r="N896" s="2"/>
    </row>
    <row r="897" spans="2:14" ht="15.75" customHeight="1">
      <c r="B897" s="2"/>
      <c r="C897" s="2"/>
      <c r="D897" s="2"/>
      <c r="E897" s="2"/>
      <c r="F897" s="2"/>
      <c r="G897" s="2"/>
      <c r="H897" s="2"/>
      <c r="I897" s="2"/>
      <c r="J897" s="2"/>
      <c r="K897" s="2"/>
      <c r="L897" s="2"/>
      <c r="M897" s="2"/>
      <c r="N897" s="2"/>
    </row>
    <row r="898" spans="2:14" ht="15.75" customHeight="1">
      <c r="B898" s="2"/>
      <c r="C898" s="2"/>
      <c r="D898" s="2"/>
      <c r="E898" s="2"/>
      <c r="F898" s="2"/>
      <c r="G898" s="2"/>
      <c r="H898" s="2"/>
      <c r="I898" s="2"/>
      <c r="J898" s="2"/>
      <c r="K898" s="2"/>
      <c r="L898" s="2"/>
      <c r="M898" s="2"/>
      <c r="N898" s="2"/>
    </row>
    <row r="899" spans="2:14" ht="15.75" customHeight="1">
      <c r="B899" s="2"/>
      <c r="C899" s="2"/>
      <c r="D899" s="2"/>
      <c r="E899" s="2"/>
      <c r="F899" s="2"/>
      <c r="G899" s="2"/>
      <c r="H899" s="2"/>
      <c r="I899" s="2"/>
      <c r="J899" s="2"/>
      <c r="K899" s="2"/>
      <c r="L899" s="2"/>
      <c r="M899" s="2"/>
      <c r="N899" s="2"/>
    </row>
    <row r="900" spans="2:14" ht="15.75" customHeight="1">
      <c r="B900" s="2"/>
      <c r="C900" s="2"/>
      <c r="D900" s="2"/>
      <c r="E900" s="2"/>
      <c r="F900" s="2"/>
      <c r="G900" s="2"/>
      <c r="H900" s="2"/>
      <c r="I900" s="2"/>
      <c r="J900" s="2"/>
      <c r="K900" s="2"/>
      <c r="L900" s="2"/>
      <c r="M900" s="2"/>
      <c r="N900" s="2"/>
    </row>
    <row r="901" spans="2:14" ht="15.75" customHeight="1">
      <c r="B901" s="2"/>
      <c r="C901" s="2"/>
      <c r="D901" s="2"/>
      <c r="E901" s="2"/>
      <c r="F901" s="2"/>
      <c r="G901" s="2"/>
      <c r="H901" s="2"/>
      <c r="I901" s="2"/>
      <c r="J901" s="2"/>
      <c r="K901" s="2"/>
      <c r="L901" s="2"/>
      <c r="M901" s="2"/>
      <c r="N901" s="2"/>
    </row>
    <row r="902" spans="2:14" ht="15.75" customHeight="1">
      <c r="B902" s="2"/>
      <c r="C902" s="2"/>
      <c r="D902" s="2"/>
      <c r="E902" s="2"/>
      <c r="F902" s="2"/>
      <c r="G902" s="2"/>
      <c r="H902" s="2"/>
      <c r="I902" s="2"/>
      <c r="J902" s="2"/>
      <c r="K902" s="2"/>
      <c r="L902" s="2"/>
      <c r="M902" s="2"/>
      <c r="N902" s="2"/>
    </row>
    <row r="903" spans="2:14" ht="15.75" customHeight="1">
      <c r="B903" s="2"/>
      <c r="C903" s="2"/>
      <c r="D903" s="2"/>
      <c r="E903" s="2"/>
      <c r="F903" s="2"/>
      <c r="G903" s="2"/>
      <c r="H903" s="2"/>
      <c r="I903" s="2"/>
      <c r="J903" s="2"/>
      <c r="K903" s="2"/>
      <c r="L903" s="2"/>
      <c r="M903" s="2"/>
      <c r="N903" s="2"/>
    </row>
    <row r="904" spans="2:14" ht="15.75" customHeight="1">
      <c r="B904" s="2"/>
      <c r="C904" s="2"/>
      <c r="D904" s="2"/>
      <c r="E904" s="2"/>
      <c r="F904" s="2"/>
      <c r="G904" s="2"/>
      <c r="H904" s="2"/>
      <c r="I904" s="2"/>
      <c r="J904" s="2"/>
      <c r="K904" s="2"/>
      <c r="L904" s="2"/>
      <c r="M904" s="2"/>
      <c r="N904" s="2"/>
    </row>
    <row r="905" spans="2:14" ht="15.75" customHeight="1">
      <c r="B905" s="2"/>
      <c r="C905" s="2"/>
      <c r="D905" s="2"/>
      <c r="E905" s="2"/>
      <c r="F905" s="2"/>
      <c r="G905" s="2"/>
      <c r="H905" s="2"/>
      <c r="I905" s="2"/>
      <c r="J905" s="2"/>
      <c r="K905" s="2"/>
      <c r="L905" s="2"/>
      <c r="M905" s="2"/>
      <c r="N905" s="2"/>
    </row>
    <row r="906" spans="2:14" ht="15.75" customHeight="1">
      <c r="B906" s="2"/>
      <c r="C906" s="2"/>
      <c r="D906" s="2"/>
      <c r="E906" s="2"/>
      <c r="F906" s="2"/>
      <c r="G906" s="2"/>
      <c r="H906" s="2"/>
      <c r="I906" s="2"/>
      <c r="J906" s="2"/>
      <c r="K906" s="2"/>
      <c r="L906" s="2"/>
      <c r="M906" s="2"/>
      <c r="N906" s="2"/>
    </row>
    <row r="907" spans="2:14" ht="15.75" customHeight="1">
      <c r="B907" s="2"/>
      <c r="C907" s="2"/>
      <c r="D907" s="2"/>
      <c r="E907" s="2"/>
      <c r="F907" s="2"/>
      <c r="G907" s="2"/>
      <c r="H907" s="2"/>
      <c r="I907" s="2"/>
      <c r="J907" s="2"/>
      <c r="K907" s="2"/>
      <c r="L907" s="2"/>
      <c r="M907" s="2"/>
      <c r="N907" s="2"/>
    </row>
    <row r="908" spans="2:14" ht="15.75" customHeight="1">
      <c r="B908" s="2"/>
      <c r="C908" s="2"/>
      <c r="D908" s="2"/>
      <c r="E908" s="2"/>
      <c r="F908" s="2"/>
      <c r="G908" s="2"/>
      <c r="H908" s="2"/>
      <c r="I908" s="2"/>
      <c r="J908" s="2"/>
      <c r="K908" s="2"/>
      <c r="L908" s="2"/>
      <c r="M908" s="2"/>
      <c r="N908" s="2"/>
    </row>
    <row r="909" spans="2:14" ht="15.75" customHeight="1">
      <c r="B909" s="2"/>
      <c r="C909" s="2"/>
      <c r="D909" s="2"/>
      <c r="E909" s="2"/>
      <c r="F909" s="2"/>
      <c r="G909" s="2"/>
      <c r="H909" s="2"/>
      <c r="I909" s="2"/>
      <c r="J909" s="2"/>
      <c r="K909" s="2"/>
      <c r="L909" s="2"/>
      <c r="M909" s="2"/>
      <c r="N909" s="2"/>
    </row>
    <row r="910" spans="2:14" ht="15.75" customHeight="1">
      <c r="B910" s="2"/>
      <c r="C910" s="2"/>
      <c r="D910" s="2"/>
      <c r="E910" s="2"/>
      <c r="F910" s="2"/>
      <c r="G910" s="2"/>
      <c r="H910" s="2"/>
      <c r="I910" s="2"/>
      <c r="J910" s="2"/>
      <c r="K910" s="2"/>
      <c r="L910" s="2"/>
      <c r="M910" s="2"/>
      <c r="N910" s="2"/>
    </row>
    <row r="911" spans="2:14" ht="15.75" customHeight="1">
      <c r="B911" s="2"/>
      <c r="C911" s="2"/>
      <c r="D911" s="2"/>
      <c r="E911" s="2"/>
      <c r="F911" s="2"/>
      <c r="G911" s="2"/>
      <c r="H911" s="2"/>
      <c r="I911" s="2"/>
      <c r="J911" s="2"/>
      <c r="K911" s="2"/>
      <c r="L911" s="2"/>
      <c r="M911" s="2"/>
      <c r="N911" s="2"/>
    </row>
    <row r="912" spans="2:14" ht="15.75" customHeight="1">
      <c r="B912" s="2"/>
      <c r="C912" s="2"/>
      <c r="D912" s="2"/>
      <c r="E912" s="2"/>
      <c r="F912" s="2"/>
      <c r="G912" s="2"/>
      <c r="H912" s="2"/>
      <c r="I912" s="2"/>
      <c r="J912" s="2"/>
      <c r="K912" s="2"/>
      <c r="L912" s="2"/>
      <c r="M912" s="2"/>
      <c r="N912" s="2"/>
    </row>
    <row r="913" spans="2:14" ht="15.75" customHeight="1">
      <c r="B913" s="2"/>
      <c r="C913" s="2"/>
      <c r="D913" s="2"/>
      <c r="E913" s="2"/>
      <c r="F913" s="2"/>
      <c r="G913" s="2"/>
      <c r="H913" s="2"/>
      <c r="I913" s="2"/>
      <c r="J913" s="2"/>
      <c r="K913" s="2"/>
      <c r="L913" s="2"/>
      <c r="M913" s="2"/>
      <c r="N913" s="2"/>
    </row>
    <row r="914" spans="2:14" ht="15.75" customHeight="1">
      <c r="B914" s="2"/>
      <c r="C914" s="2"/>
      <c r="D914" s="2"/>
      <c r="E914" s="2"/>
      <c r="F914" s="2"/>
      <c r="G914" s="2"/>
      <c r="H914" s="2"/>
      <c r="I914" s="2"/>
      <c r="J914" s="2"/>
      <c r="K914" s="2"/>
      <c r="L914" s="2"/>
      <c r="M914" s="2"/>
      <c r="N914" s="2"/>
    </row>
    <row r="915" spans="2:14" ht="15.75" customHeight="1">
      <c r="B915" s="2"/>
      <c r="C915" s="2"/>
      <c r="D915" s="2"/>
      <c r="E915" s="2"/>
      <c r="F915" s="2"/>
      <c r="G915" s="2"/>
      <c r="H915" s="2"/>
      <c r="I915" s="2"/>
      <c r="J915" s="2"/>
      <c r="K915" s="2"/>
      <c r="L915" s="2"/>
      <c r="M915" s="2"/>
      <c r="N915" s="2"/>
    </row>
    <row r="916" spans="2:14" ht="15.75" customHeight="1">
      <c r="B916" s="2"/>
      <c r="C916" s="2"/>
      <c r="D916" s="2"/>
      <c r="E916" s="2"/>
      <c r="F916" s="2"/>
      <c r="G916" s="2"/>
      <c r="H916" s="2"/>
      <c r="I916" s="2"/>
      <c r="J916" s="2"/>
      <c r="K916" s="2"/>
      <c r="L916" s="2"/>
      <c r="M916" s="2"/>
      <c r="N916" s="2"/>
    </row>
    <row r="917" spans="2:14" ht="15.75" customHeight="1">
      <c r="B917" s="2"/>
      <c r="C917" s="2"/>
      <c r="D917" s="2"/>
      <c r="E917" s="2"/>
      <c r="F917" s="2"/>
      <c r="G917" s="2"/>
      <c r="H917" s="2"/>
      <c r="I917" s="2"/>
      <c r="J917" s="2"/>
      <c r="K917" s="2"/>
      <c r="L917" s="2"/>
      <c r="M917" s="2"/>
      <c r="N917" s="2"/>
    </row>
    <row r="918" spans="2:14" ht="15.75" customHeight="1">
      <c r="B918" s="2"/>
      <c r="C918" s="2"/>
      <c r="D918" s="2"/>
      <c r="E918" s="2"/>
      <c r="F918" s="2"/>
      <c r="G918" s="2"/>
      <c r="H918" s="2"/>
      <c r="I918" s="2"/>
      <c r="J918" s="2"/>
      <c r="K918" s="2"/>
      <c r="L918" s="2"/>
      <c r="M918" s="2"/>
      <c r="N918" s="2"/>
    </row>
    <row r="919" spans="2:14" ht="15.75" customHeight="1">
      <c r="B919" s="2"/>
      <c r="C919" s="2"/>
      <c r="D919" s="2"/>
      <c r="E919" s="2"/>
      <c r="F919" s="2"/>
      <c r="G919" s="2"/>
      <c r="H919" s="2"/>
      <c r="I919" s="2"/>
      <c r="J919" s="2"/>
      <c r="K919" s="2"/>
      <c r="L919" s="2"/>
      <c r="M919" s="2"/>
      <c r="N919" s="2"/>
    </row>
    <row r="920" spans="2:14" ht="15.75" customHeight="1">
      <c r="B920" s="2"/>
      <c r="C920" s="2"/>
      <c r="D920" s="2"/>
      <c r="E920" s="2"/>
      <c r="F920" s="2"/>
      <c r="G920" s="2"/>
      <c r="H920" s="2"/>
      <c r="I920" s="2"/>
      <c r="J920" s="2"/>
      <c r="K920" s="2"/>
      <c r="L920" s="2"/>
      <c r="M920" s="2"/>
      <c r="N920" s="2"/>
    </row>
    <row r="921" spans="2:14" ht="15.75" customHeight="1">
      <c r="B921" s="2"/>
      <c r="C921" s="2"/>
      <c r="D921" s="2"/>
      <c r="E921" s="2"/>
      <c r="F921" s="2"/>
      <c r="G921" s="2"/>
      <c r="H921" s="2"/>
      <c r="I921" s="2"/>
      <c r="J921" s="2"/>
      <c r="K921" s="2"/>
      <c r="L921" s="2"/>
      <c r="M921" s="2"/>
      <c r="N921" s="2"/>
    </row>
    <row r="922" spans="2:14" ht="15.75" customHeight="1">
      <c r="B922" s="2"/>
      <c r="C922" s="2"/>
      <c r="D922" s="2"/>
      <c r="E922" s="2"/>
      <c r="F922" s="2"/>
      <c r="G922" s="2"/>
      <c r="H922" s="2"/>
      <c r="I922" s="2"/>
      <c r="J922" s="2"/>
      <c r="K922" s="2"/>
      <c r="L922" s="2"/>
      <c r="M922" s="2"/>
      <c r="N922" s="2"/>
    </row>
    <row r="923" spans="2:14" ht="15.75" customHeight="1">
      <c r="B923" s="2"/>
      <c r="C923" s="2"/>
      <c r="D923" s="2"/>
      <c r="E923" s="2"/>
      <c r="F923" s="2"/>
      <c r="G923" s="2"/>
      <c r="H923" s="2"/>
      <c r="I923" s="2"/>
      <c r="J923" s="2"/>
      <c r="K923" s="2"/>
      <c r="L923" s="2"/>
      <c r="M923" s="2"/>
      <c r="N923" s="2"/>
    </row>
    <row r="924" spans="2:14" ht="15.75" customHeight="1">
      <c r="B924" s="2"/>
      <c r="C924" s="2"/>
      <c r="D924" s="2"/>
      <c r="E924" s="2"/>
      <c r="F924" s="2"/>
      <c r="G924" s="2"/>
      <c r="H924" s="2"/>
      <c r="I924" s="2"/>
      <c r="J924" s="2"/>
      <c r="K924" s="2"/>
      <c r="L924" s="2"/>
      <c r="M924" s="2"/>
      <c r="N924" s="2"/>
    </row>
    <row r="925" spans="2:14" ht="15.75" customHeight="1">
      <c r="B925" s="2"/>
      <c r="C925" s="2"/>
      <c r="D925" s="2"/>
      <c r="E925" s="2"/>
      <c r="F925" s="2"/>
      <c r="G925" s="2"/>
      <c r="H925" s="2"/>
      <c r="I925" s="2"/>
      <c r="J925" s="2"/>
      <c r="K925" s="2"/>
      <c r="L925" s="2"/>
      <c r="M925" s="2"/>
      <c r="N925" s="2"/>
    </row>
    <row r="926" spans="2:14" ht="15.75" customHeight="1">
      <c r="B926" s="2"/>
      <c r="C926" s="2"/>
      <c r="D926" s="2"/>
      <c r="E926" s="2"/>
      <c r="F926" s="2"/>
      <c r="G926" s="2"/>
      <c r="H926" s="2"/>
      <c r="I926" s="2"/>
      <c r="J926" s="2"/>
      <c r="K926" s="2"/>
      <c r="L926" s="2"/>
      <c r="M926" s="2"/>
      <c r="N926" s="2"/>
    </row>
    <row r="927" spans="2:14" ht="15.75" customHeight="1">
      <c r="B927" s="2"/>
      <c r="C927" s="2"/>
      <c r="D927" s="2"/>
      <c r="E927" s="2"/>
      <c r="F927" s="2"/>
      <c r="G927" s="2"/>
      <c r="H927" s="2"/>
      <c r="I927" s="2"/>
      <c r="J927" s="2"/>
      <c r="K927" s="2"/>
      <c r="L927" s="2"/>
      <c r="M927" s="2"/>
      <c r="N927" s="2"/>
    </row>
    <row r="928" spans="2:14" ht="15.75" customHeight="1">
      <c r="B928" s="2"/>
      <c r="C928" s="2"/>
      <c r="D928" s="2"/>
      <c r="E928" s="2"/>
      <c r="F928" s="2"/>
      <c r="G928" s="2"/>
      <c r="H928" s="2"/>
      <c r="I928" s="2"/>
      <c r="J928" s="2"/>
      <c r="K928" s="2"/>
      <c r="L928" s="2"/>
      <c r="M928" s="2"/>
      <c r="N928" s="2"/>
    </row>
    <row r="929" spans="2:14" ht="15.75" customHeight="1">
      <c r="B929" s="2"/>
      <c r="C929" s="2"/>
      <c r="D929" s="2"/>
      <c r="E929" s="2"/>
      <c r="F929" s="2"/>
      <c r="G929" s="2"/>
      <c r="H929" s="2"/>
      <c r="I929" s="2"/>
      <c r="J929" s="2"/>
      <c r="K929" s="2"/>
      <c r="L929" s="2"/>
      <c r="M929" s="2"/>
      <c r="N929" s="2"/>
    </row>
    <row r="930" spans="2:14" ht="15.75" customHeight="1">
      <c r="B930" s="2"/>
      <c r="C930" s="2"/>
      <c r="D930" s="2"/>
      <c r="E930" s="2"/>
      <c r="F930" s="2"/>
      <c r="G930" s="2"/>
      <c r="H930" s="2"/>
      <c r="I930" s="2"/>
      <c r="J930" s="2"/>
      <c r="K930" s="2"/>
      <c r="L930" s="2"/>
      <c r="M930" s="2"/>
      <c r="N930" s="2"/>
    </row>
    <row r="931" spans="2:14" ht="15.75" customHeight="1">
      <c r="B931" s="2"/>
      <c r="C931" s="2"/>
      <c r="D931" s="2"/>
      <c r="E931" s="2"/>
      <c r="F931" s="2"/>
      <c r="G931" s="2"/>
      <c r="H931" s="2"/>
      <c r="I931" s="2"/>
      <c r="J931" s="2"/>
      <c r="K931" s="2"/>
      <c r="L931" s="2"/>
      <c r="M931" s="2"/>
      <c r="N931" s="2"/>
    </row>
    <row r="932" spans="2:14" ht="15.75" customHeight="1">
      <c r="B932" s="2"/>
      <c r="C932" s="2"/>
      <c r="D932" s="2"/>
      <c r="E932" s="2"/>
      <c r="F932" s="2"/>
      <c r="G932" s="2"/>
      <c r="H932" s="2"/>
      <c r="I932" s="2"/>
      <c r="J932" s="2"/>
      <c r="K932" s="2"/>
      <c r="L932" s="2"/>
      <c r="M932" s="2"/>
      <c r="N932" s="2"/>
    </row>
    <row r="933" spans="2:14" ht="15.75" customHeight="1">
      <c r="B933" s="2"/>
      <c r="C933" s="2"/>
      <c r="D933" s="2"/>
      <c r="E933" s="2"/>
      <c r="F933" s="2"/>
      <c r="G933" s="2"/>
      <c r="H933" s="2"/>
      <c r="I933" s="2"/>
      <c r="J933" s="2"/>
      <c r="K933" s="2"/>
      <c r="L933" s="2"/>
      <c r="M933" s="2"/>
      <c r="N933" s="2"/>
    </row>
    <row r="934" spans="2:14" ht="15.75" customHeight="1">
      <c r="B934" s="2"/>
      <c r="C934" s="2"/>
      <c r="D934" s="2"/>
      <c r="E934" s="2"/>
      <c r="F934" s="2"/>
      <c r="G934" s="2"/>
      <c r="H934" s="2"/>
      <c r="I934" s="2"/>
      <c r="J934" s="2"/>
      <c r="K934" s="2"/>
      <c r="L934" s="2"/>
      <c r="M934" s="2"/>
      <c r="N934" s="2"/>
    </row>
    <row r="935" spans="2:14" ht="15.75" customHeight="1">
      <c r="B935" s="2"/>
      <c r="C935" s="2"/>
      <c r="D935" s="2"/>
      <c r="E935" s="2"/>
      <c r="F935" s="2"/>
      <c r="G935" s="2"/>
      <c r="H935" s="2"/>
      <c r="I935" s="2"/>
      <c r="J935" s="2"/>
      <c r="K935" s="2"/>
      <c r="L935" s="2"/>
      <c r="M935" s="2"/>
      <c r="N935" s="2"/>
    </row>
    <row r="936" spans="2:14" ht="15.75" customHeight="1">
      <c r="B936" s="2"/>
      <c r="C936" s="2"/>
      <c r="D936" s="2"/>
      <c r="E936" s="2"/>
      <c r="F936" s="2"/>
      <c r="G936" s="2"/>
      <c r="H936" s="2"/>
      <c r="I936" s="2"/>
      <c r="J936" s="2"/>
      <c r="K936" s="2"/>
      <c r="L936" s="2"/>
      <c r="M936" s="2"/>
      <c r="N936" s="2"/>
    </row>
    <row r="937" spans="2:14" ht="15.75" customHeight="1">
      <c r="B937" s="2"/>
      <c r="C937" s="2"/>
      <c r="D937" s="2"/>
      <c r="E937" s="2"/>
      <c r="F937" s="2"/>
      <c r="G937" s="2"/>
      <c r="H937" s="2"/>
      <c r="I937" s="2"/>
      <c r="J937" s="2"/>
      <c r="K937" s="2"/>
      <c r="L937" s="2"/>
      <c r="M937" s="2"/>
      <c r="N937" s="2"/>
    </row>
    <row r="938" spans="2:14" ht="15.75" customHeight="1">
      <c r="B938" s="2"/>
      <c r="C938" s="2"/>
      <c r="D938" s="2"/>
      <c r="E938" s="2"/>
      <c r="F938" s="2"/>
      <c r="G938" s="2"/>
      <c r="H938" s="2"/>
      <c r="I938" s="2"/>
      <c r="J938" s="2"/>
      <c r="K938" s="2"/>
      <c r="L938" s="2"/>
      <c r="M938" s="2"/>
      <c r="N938" s="2"/>
    </row>
    <row r="939" spans="2:14" ht="15.75" customHeight="1">
      <c r="B939" s="2"/>
      <c r="C939" s="2"/>
      <c r="D939" s="2"/>
      <c r="E939" s="2"/>
      <c r="F939" s="2"/>
      <c r="G939" s="2"/>
      <c r="H939" s="2"/>
      <c r="I939" s="2"/>
      <c r="J939" s="2"/>
      <c r="K939" s="2"/>
      <c r="L939" s="2"/>
      <c r="M939" s="2"/>
      <c r="N939" s="2"/>
    </row>
    <row r="940" spans="2:14" ht="15.75" customHeight="1">
      <c r="B940" s="2"/>
      <c r="C940" s="2"/>
      <c r="D940" s="2"/>
      <c r="E940" s="2"/>
      <c r="F940" s="2"/>
      <c r="G940" s="2"/>
      <c r="H940" s="2"/>
      <c r="I940" s="2"/>
      <c r="J940" s="2"/>
      <c r="K940" s="2"/>
      <c r="L940" s="2"/>
      <c r="M940" s="2"/>
      <c r="N940" s="2"/>
    </row>
    <row r="941" spans="2:14" ht="15.75" customHeight="1">
      <c r="B941" s="2"/>
      <c r="C941" s="2"/>
      <c r="D941" s="2"/>
      <c r="E941" s="2"/>
      <c r="F941" s="2"/>
      <c r="G941" s="2"/>
      <c r="H941" s="2"/>
      <c r="I941" s="2"/>
      <c r="J941" s="2"/>
      <c r="K941" s="2"/>
      <c r="L941" s="2"/>
      <c r="M941" s="2"/>
      <c r="N941" s="2"/>
    </row>
    <row r="942" spans="2:14" ht="15.75" customHeight="1">
      <c r="B942" s="2"/>
      <c r="C942" s="2"/>
      <c r="D942" s="2"/>
      <c r="E942" s="2"/>
      <c r="F942" s="2"/>
      <c r="G942" s="2"/>
      <c r="H942" s="2"/>
      <c r="I942" s="2"/>
      <c r="J942" s="2"/>
      <c r="K942" s="2"/>
      <c r="L942" s="2"/>
      <c r="M942" s="2"/>
      <c r="N942" s="2"/>
    </row>
    <row r="943" spans="2:14" ht="15.75" customHeight="1">
      <c r="B943" s="2"/>
      <c r="C943" s="2"/>
      <c r="D943" s="2"/>
      <c r="E943" s="2"/>
      <c r="F943" s="2"/>
      <c r="G943" s="2"/>
      <c r="H943" s="2"/>
      <c r="I943" s="2"/>
      <c r="J943" s="2"/>
      <c r="K943" s="2"/>
      <c r="L943" s="2"/>
      <c r="M943" s="2"/>
      <c r="N943" s="2"/>
    </row>
    <row r="944" spans="2:14" ht="15.75" customHeight="1">
      <c r="B944" s="2"/>
      <c r="C944" s="2"/>
      <c r="D944" s="2"/>
      <c r="E944" s="2"/>
      <c r="F944" s="2"/>
      <c r="G944" s="2"/>
      <c r="H944" s="2"/>
      <c r="I944" s="2"/>
      <c r="J944" s="2"/>
      <c r="K944" s="2"/>
      <c r="L944" s="2"/>
      <c r="M944" s="2"/>
      <c r="N944" s="2"/>
    </row>
    <row r="945" spans="2:14" ht="15.75" customHeight="1">
      <c r="B945" s="2"/>
      <c r="C945" s="2"/>
      <c r="D945" s="2"/>
      <c r="E945" s="2"/>
      <c r="F945" s="2"/>
      <c r="G945" s="2"/>
      <c r="H945" s="2"/>
      <c r="I945" s="2"/>
      <c r="J945" s="2"/>
      <c r="K945" s="2"/>
      <c r="L945" s="2"/>
      <c r="M945" s="2"/>
      <c r="N945" s="2"/>
    </row>
    <row r="946" spans="2:14" ht="15.75" customHeight="1">
      <c r="B946" s="2"/>
      <c r="C946" s="2"/>
      <c r="D946" s="2"/>
      <c r="E946" s="2"/>
      <c r="F946" s="2"/>
      <c r="G946" s="2"/>
      <c r="H946" s="2"/>
      <c r="I946" s="2"/>
      <c r="J946" s="2"/>
      <c r="K946" s="2"/>
      <c r="L946" s="2"/>
      <c r="M946" s="2"/>
      <c r="N946" s="2"/>
    </row>
    <row r="947" spans="2:14" ht="15.75" customHeight="1">
      <c r="B947" s="2"/>
      <c r="C947" s="2"/>
      <c r="D947" s="2"/>
      <c r="E947" s="2"/>
      <c r="F947" s="2"/>
      <c r="G947" s="2"/>
      <c r="H947" s="2"/>
      <c r="I947" s="2"/>
      <c r="J947" s="2"/>
      <c r="K947" s="2"/>
      <c r="L947" s="2"/>
      <c r="M947" s="2"/>
      <c r="N947" s="2"/>
    </row>
    <row r="948" spans="2:14" ht="15.75" customHeight="1">
      <c r="B948" s="2"/>
      <c r="C948" s="2"/>
      <c r="D948" s="2"/>
      <c r="E948" s="2"/>
      <c r="F948" s="2"/>
      <c r="G948" s="2"/>
      <c r="H948" s="2"/>
      <c r="I948" s="2"/>
      <c r="J948" s="2"/>
      <c r="K948" s="2"/>
      <c r="L948" s="2"/>
      <c r="M948" s="2"/>
      <c r="N948" s="2"/>
    </row>
    <row r="949" spans="2:14" ht="15.75" customHeight="1">
      <c r="B949" s="2"/>
      <c r="C949" s="2"/>
      <c r="D949" s="2"/>
      <c r="E949" s="2"/>
      <c r="F949" s="2"/>
      <c r="G949" s="2"/>
      <c r="H949" s="2"/>
      <c r="I949" s="2"/>
      <c r="J949" s="2"/>
      <c r="K949" s="2"/>
      <c r="L949" s="2"/>
      <c r="M949" s="2"/>
      <c r="N949" s="2"/>
    </row>
    <row r="950" spans="2:14" ht="15.75" customHeight="1">
      <c r="B950" s="2"/>
      <c r="C950" s="2"/>
      <c r="D950" s="2"/>
      <c r="E950" s="2"/>
      <c r="F950" s="2"/>
      <c r="G950" s="2"/>
      <c r="H950" s="2"/>
      <c r="I950" s="2"/>
      <c r="J950" s="2"/>
      <c r="K950" s="2"/>
      <c r="L950" s="2"/>
      <c r="M950" s="2"/>
      <c r="N950" s="2"/>
    </row>
    <row r="951" spans="2:14" ht="15.75" customHeight="1">
      <c r="B951" s="2"/>
      <c r="C951" s="2"/>
      <c r="D951" s="2"/>
      <c r="E951" s="2"/>
      <c r="F951" s="2"/>
      <c r="G951" s="2"/>
      <c r="H951" s="2"/>
      <c r="I951" s="2"/>
      <c r="J951" s="2"/>
      <c r="K951" s="2"/>
      <c r="L951" s="2"/>
      <c r="M951" s="2"/>
      <c r="N951" s="2"/>
    </row>
    <row r="952" spans="2:14" ht="15.75" customHeight="1">
      <c r="B952" s="2"/>
      <c r="C952" s="2"/>
      <c r="D952" s="2"/>
      <c r="E952" s="2"/>
      <c r="F952" s="2"/>
      <c r="G952" s="2"/>
      <c r="H952" s="2"/>
      <c r="I952" s="2"/>
      <c r="J952" s="2"/>
      <c r="K952" s="2"/>
      <c r="L952" s="2"/>
      <c r="M952" s="2"/>
      <c r="N952" s="2"/>
    </row>
    <row r="953" spans="2:14" ht="15.75" customHeight="1">
      <c r="B953" s="2"/>
      <c r="C953" s="2"/>
      <c r="D953" s="2"/>
      <c r="E953" s="2"/>
      <c r="F953" s="2"/>
      <c r="G953" s="2"/>
      <c r="H953" s="2"/>
      <c r="I953" s="2"/>
      <c r="J953" s="2"/>
      <c r="K953" s="2"/>
      <c r="L953" s="2"/>
      <c r="M953" s="2"/>
      <c r="N953" s="2"/>
    </row>
    <row r="954" spans="2:14" ht="15.75" customHeight="1">
      <c r="B954" s="2"/>
      <c r="C954" s="2"/>
      <c r="D954" s="2"/>
      <c r="E954" s="2"/>
      <c r="F954" s="2"/>
      <c r="G954" s="2"/>
      <c r="H954" s="2"/>
      <c r="I954" s="2"/>
      <c r="J954" s="2"/>
      <c r="K954" s="2"/>
      <c r="L954" s="2"/>
      <c r="M954" s="2"/>
      <c r="N954" s="2"/>
    </row>
    <row r="955" spans="2:14" ht="15.75" customHeight="1">
      <c r="B955" s="2"/>
      <c r="C955" s="2"/>
      <c r="D955" s="2"/>
      <c r="E955" s="2"/>
      <c r="F955" s="2"/>
      <c r="G955" s="2"/>
      <c r="H955" s="2"/>
      <c r="I955" s="2"/>
      <c r="J955" s="2"/>
      <c r="K955" s="2"/>
      <c r="L955" s="2"/>
      <c r="M955" s="2"/>
      <c r="N955" s="2"/>
    </row>
    <row r="956" spans="2:14" ht="15.75" customHeight="1">
      <c r="B956" s="2"/>
      <c r="C956" s="2"/>
      <c r="D956" s="2"/>
      <c r="E956" s="2"/>
      <c r="F956" s="2"/>
      <c r="G956" s="2"/>
      <c r="H956" s="2"/>
      <c r="I956" s="2"/>
      <c r="J956" s="2"/>
      <c r="K956" s="2"/>
      <c r="L956" s="2"/>
      <c r="M956" s="2"/>
      <c r="N956" s="2"/>
    </row>
    <row r="957" spans="2:14" ht="15.75" customHeight="1">
      <c r="B957" s="2"/>
      <c r="C957" s="2"/>
      <c r="D957" s="2"/>
      <c r="E957" s="2"/>
      <c r="F957" s="2"/>
      <c r="G957" s="2"/>
      <c r="H957" s="2"/>
      <c r="I957" s="2"/>
      <c r="J957" s="2"/>
      <c r="K957" s="2"/>
      <c r="L957" s="2"/>
      <c r="M957" s="2"/>
      <c r="N957" s="2"/>
    </row>
    <row r="958" spans="2:14" ht="15.75" customHeight="1">
      <c r="B958" s="2"/>
      <c r="C958" s="2"/>
      <c r="D958" s="2"/>
      <c r="E958" s="2"/>
      <c r="F958" s="2"/>
      <c r="G958" s="2"/>
      <c r="H958" s="2"/>
      <c r="I958" s="2"/>
      <c r="J958" s="2"/>
      <c r="K958" s="2"/>
      <c r="L958" s="2"/>
      <c r="M958" s="2"/>
      <c r="N958" s="2"/>
    </row>
    <row r="959" spans="2:14" ht="15.75" customHeight="1">
      <c r="B959" s="2"/>
      <c r="C959" s="2"/>
      <c r="D959" s="2"/>
      <c r="E959" s="2"/>
      <c r="F959" s="2"/>
      <c r="G959" s="2"/>
      <c r="H959" s="2"/>
      <c r="I959" s="2"/>
      <c r="J959" s="2"/>
      <c r="K959" s="2"/>
      <c r="L959" s="2"/>
      <c r="M959" s="2"/>
      <c r="N959" s="2"/>
    </row>
    <row r="960" spans="2:14" ht="15.75" customHeight="1">
      <c r="B960" s="2"/>
      <c r="C960" s="2"/>
      <c r="D960" s="2"/>
      <c r="E960" s="2"/>
      <c r="F960" s="2"/>
      <c r="G960" s="2"/>
      <c r="H960" s="2"/>
      <c r="I960" s="2"/>
      <c r="J960" s="2"/>
      <c r="K960" s="2"/>
      <c r="L960" s="2"/>
      <c r="M960" s="2"/>
      <c r="N960" s="2"/>
    </row>
    <row r="961" spans="2:14" ht="15.75" customHeight="1">
      <c r="B961" s="2"/>
      <c r="C961" s="2"/>
      <c r="D961" s="2"/>
      <c r="E961" s="2"/>
      <c r="F961" s="2"/>
      <c r="G961" s="2"/>
      <c r="H961" s="2"/>
      <c r="I961" s="2"/>
      <c r="J961" s="2"/>
      <c r="K961" s="2"/>
      <c r="L961" s="2"/>
      <c r="M961" s="2"/>
      <c r="N961" s="2"/>
    </row>
    <row r="962" spans="2:14" ht="15.75" customHeight="1">
      <c r="B962" s="2"/>
      <c r="C962" s="2"/>
      <c r="D962" s="2"/>
      <c r="E962" s="2"/>
      <c r="F962" s="2"/>
      <c r="G962" s="2"/>
      <c r="H962" s="2"/>
      <c r="I962" s="2"/>
      <c r="J962" s="2"/>
      <c r="K962" s="2"/>
      <c r="L962" s="2"/>
      <c r="M962" s="2"/>
      <c r="N962" s="2"/>
    </row>
    <row r="963" spans="2:14" ht="15.75" customHeight="1">
      <c r="B963" s="2"/>
      <c r="C963" s="2"/>
      <c r="D963" s="2"/>
      <c r="E963" s="2"/>
      <c r="F963" s="2"/>
      <c r="G963" s="2"/>
      <c r="H963" s="2"/>
      <c r="I963" s="2"/>
      <c r="J963" s="2"/>
      <c r="K963" s="2"/>
      <c r="L963" s="2"/>
      <c r="M963" s="2"/>
      <c r="N963" s="2"/>
    </row>
    <row r="964" spans="2:14" ht="15.75" customHeight="1">
      <c r="B964" s="2"/>
      <c r="C964" s="2"/>
      <c r="D964" s="2"/>
      <c r="E964" s="2"/>
      <c r="F964" s="2"/>
      <c r="G964" s="2"/>
      <c r="H964" s="2"/>
      <c r="I964" s="2"/>
      <c r="J964" s="2"/>
      <c r="K964" s="2"/>
      <c r="L964" s="2"/>
      <c r="M964" s="2"/>
      <c r="N964" s="2"/>
    </row>
    <row r="965" spans="2:14" ht="15.75" customHeight="1">
      <c r="B965" s="2"/>
      <c r="C965" s="2"/>
      <c r="D965" s="2"/>
      <c r="E965" s="2"/>
      <c r="F965" s="2"/>
      <c r="G965" s="2"/>
      <c r="H965" s="2"/>
      <c r="I965" s="2"/>
      <c r="J965" s="2"/>
      <c r="K965" s="2"/>
      <c r="L965" s="2"/>
      <c r="M965" s="2"/>
      <c r="N965" s="2"/>
    </row>
    <row r="966" spans="2:14" ht="15.75" customHeight="1">
      <c r="B966" s="2"/>
      <c r="C966" s="2"/>
      <c r="D966" s="2"/>
      <c r="E966" s="2"/>
      <c r="F966" s="2"/>
      <c r="G966" s="2"/>
      <c r="H966" s="2"/>
      <c r="I966" s="2"/>
      <c r="J966" s="2"/>
      <c r="K966" s="2"/>
      <c r="L966" s="2"/>
      <c r="M966" s="2"/>
      <c r="N966" s="2"/>
    </row>
    <row r="967" spans="2:14" ht="15.75" customHeight="1">
      <c r="B967" s="2"/>
      <c r="C967" s="2"/>
      <c r="D967" s="2"/>
      <c r="E967" s="2"/>
      <c r="F967" s="2"/>
      <c r="G967" s="2"/>
      <c r="H967" s="2"/>
      <c r="I967" s="2"/>
      <c r="J967" s="2"/>
      <c r="K967" s="2"/>
      <c r="L967" s="2"/>
      <c r="M967" s="2"/>
      <c r="N967" s="2"/>
    </row>
    <row r="968" spans="2:14" ht="15.75" customHeight="1">
      <c r="B968" s="2"/>
      <c r="C968" s="2"/>
      <c r="D968" s="2"/>
      <c r="E968" s="2"/>
      <c r="F968" s="2"/>
      <c r="G968" s="2"/>
      <c r="H968" s="2"/>
      <c r="I968" s="2"/>
      <c r="J968" s="2"/>
      <c r="K968" s="2"/>
      <c r="L968" s="2"/>
      <c r="M968" s="2"/>
      <c r="N968" s="2"/>
    </row>
    <row r="969" spans="2:14" ht="15.75" customHeight="1">
      <c r="B969" s="2"/>
      <c r="C969" s="2"/>
      <c r="D969" s="2"/>
      <c r="E969" s="2"/>
      <c r="F969" s="2"/>
      <c r="G969" s="2"/>
      <c r="H969" s="2"/>
      <c r="I969" s="2"/>
      <c r="J969" s="2"/>
      <c r="K969" s="2"/>
      <c r="L969" s="2"/>
      <c r="M969" s="2"/>
      <c r="N969" s="2"/>
    </row>
    <row r="970" spans="2:14" ht="15.75" customHeight="1">
      <c r="B970" s="2"/>
      <c r="C970" s="2"/>
      <c r="D970" s="2"/>
      <c r="E970" s="2"/>
      <c r="F970" s="2"/>
      <c r="G970" s="2"/>
      <c r="H970" s="2"/>
      <c r="I970" s="2"/>
      <c r="J970" s="2"/>
      <c r="K970" s="2"/>
      <c r="L970" s="2"/>
      <c r="M970" s="2"/>
      <c r="N970" s="2"/>
    </row>
    <row r="971" spans="2:14" ht="15.75" customHeight="1">
      <c r="B971" s="2"/>
      <c r="C971" s="2"/>
      <c r="D971" s="2"/>
      <c r="E971" s="2"/>
      <c r="F971" s="2"/>
      <c r="G971" s="2"/>
      <c r="H971" s="2"/>
      <c r="I971" s="2"/>
      <c r="J971" s="2"/>
      <c r="K971" s="2"/>
      <c r="L971" s="2"/>
      <c r="M971" s="2"/>
      <c r="N971" s="2"/>
    </row>
    <row r="972" spans="2:14" ht="15.75" customHeight="1">
      <c r="B972" s="2"/>
      <c r="C972" s="2"/>
      <c r="D972" s="2"/>
      <c r="E972" s="2"/>
      <c r="F972" s="2"/>
      <c r="G972" s="2"/>
      <c r="H972" s="2"/>
      <c r="I972" s="2"/>
      <c r="J972" s="2"/>
      <c r="K972" s="2"/>
      <c r="L972" s="2"/>
      <c r="M972" s="2"/>
      <c r="N972" s="2"/>
    </row>
    <row r="973" spans="2:14" ht="15.75" customHeight="1">
      <c r="B973" s="2"/>
      <c r="C973" s="2"/>
      <c r="D973" s="2"/>
      <c r="E973" s="2"/>
      <c r="F973" s="2"/>
      <c r="G973" s="2"/>
      <c r="H973" s="2"/>
      <c r="I973" s="2"/>
      <c r="J973" s="2"/>
      <c r="K973" s="2"/>
      <c r="L973" s="2"/>
      <c r="M973" s="2"/>
      <c r="N973" s="2"/>
    </row>
    <row r="974" spans="2:14" ht="15.75" customHeight="1">
      <c r="B974" s="2"/>
      <c r="C974" s="2"/>
      <c r="D974" s="2"/>
      <c r="E974" s="2"/>
      <c r="F974" s="2"/>
      <c r="G974" s="2"/>
      <c r="H974" s="2"/>
      <c r="I974" s="2"/>
      <c r="J974" s="2"/>
      <c r="K974" s="2"/>
      <c r="L974" s="2"/>
      <c r="M974" s="2"/>
      <c r="N974" s="2"/>
    </row>
    <row r="975" spans="2:14" ht="15.75" customHeight="1">
      <c r="B975" s="2"/>
      <c r="C975" s="2"/>
      <c r="D975" s="2"/>
      <c r="E975" s="2"/>
      <c r="F975" s="2"/>
      <c r="G975" s="2"/>
      <c r="H975" s="2"/>
      <c r="I975" s="2"/>
      <c r="J975" s="2"/>
      <c r="K975" s="2"/>
      <c r="L975" s="2"/>
      <c r="M975" s="2"/>
      <c r="N975" s="2"/>
    </row>
    <row r="976" spans="2:14" ht="15.75" customHeight="1">
      <c r="B976" s="2"/>
      <c r="C976" s="2"/>
      <c r="D976" s="2"/>
      <c r="E976" s="2"/>
      <c r="F976" s="2"/>
      <c r="G976" s="2"/>
      <c r="H976" s="2"/>
      <c r="I976" s="2"/>
      <c r="J976" s="2"/>
      <c r="K976" s="2"/>
      <c r="L976" s="2"/>
      <c r="M976" s="2"/>
      <c r="N976" s="2"/>
    </row>
    <row r="977" spans="2:14" ht="15.75" customHeight="1">
      <c r="B977" s="2"/>
      <c r="C977" s="2"/>
      <c r="D977" s="2"/>
      <c r="E977" s="2"/>
      <c r="F977" s="2"/>
      <c r="G977" s="2"/>
      <c r="H977" s="2"/>
      <c r="I977" s="2"/>
      <c r="J977" s="2"/>
      <c r="K977" s="2"/>
      <c r="L977" s="2"/>
      <c r="M977" s="2"/>
      <c r="N977" s="2"/>
    </row>
    <row r="978" spans="2:14" ht="15.75" customHeight="1">
      <c r="B978" s="2"/>
      <c r="C978" s="2"/>
      <c r="D978" s="2"/>
      <c r="E978" s="2"/>
      <c r="F978" s="2"/>
      <c r="G978" s="2"/>
      <c r="H978" s="2"/>
      <c r="I978" s="2"/>
      <c r="J978" s="2"/>
      <c r="K978" s="2"/>
      <c r="L978" s="2"/>
      <c r="M978" s="2"/>
      <c r="N978" s="2"/>
    </row>
    <row r="979" spans="2:14" ht="15.75" customHeight="1">
      <c r="B979" s="2"/>
      <c r="C979" s="2"/>
      <c r="D979" s="2"/>
      <c r="E979" s="2"/>
      <c r="F979" s="2"/>
      <c r="G979" s="2"/>
      <c r="H979" s="2"/>
      <c r="I979" s="2"/>
      <c r="J979" s="2"/>
      <c r="K979" s="2"/>
      <c r="L979" s="2"/>
      <c r="M979" s="2"/>
      <c r="N979" s="2"/>
    </row>
    <row r="980" spans="2:14" ht="15.75" customHeight="1">
      <c r="B980" s="2"/>
      <c r="C980" s="2"/>
      <c r="D980" s="2"/>
      <c r="E980" s="2"/>
      <c r="F980" s="2"/>
      <c r="G980" s="2"/>
      <c r="H980" s="2"/>
      <c r="I980" s="2"/>
      <c r="J980" s="2"/>
      <c r="K980" s="2"/>
      <c r="L980" s="2"/>
      <c r="M980" s="2"/>
      <c r="N980" s="2"/>
    </row>
    <row r="981" spans="2:14" ht="15.75" customHeight="1">
      <c r="B981" s="2"/>
      <c r="C981" s="2"/>
      <c r="D981" s="2"/>
      <c r="E981" s="2"/>
      <c r="F981" s="2"/>
      <c r="G981" s="2"/>
      <c r="H981" s="2"/>
      <c r="I981" s="2"/>
      <c r="J981" s="2"/>
      <c r="K981" s="2"/>
      <c r="L981" s="2"/>
      <c r="M981" s="2"/>
      <c r="N981" s="2"/>
    </row>
    <row r="982" spans="2:14" ht="15.75" customHeight="1">
      <c r="B982" s="2"/>
      <c r="C982" s="2"/>
      <c r="D982" s="2"/>
      <c r="E982" s="2"/>
      <c r="F982" s="2"/>
      <c r="G982" s="2"/>
      <c r="H982" s="2"/>
      <c r="I982" s="2"/>
      <c r="J982" s="2"/>
      <c r="K982" s="2"/>
      <c r="L982" s="2"/>
      <c r="M982" s="2"/>
      <c r="N982" s="2"/>
    </row>
    <row r="983" spans="2:14" ht="15.75" customHeight="1">
      <c r="B983" s="2"/>
      <c r="C983" s="2"/>
      <c r="D983" s="2"/>
      <c r="E983" s="2"/>
      <c r="F983" s="2"/>
      <c r="G983" s="2"/>
      <c r="H983" s="2"/>
      <c r="I983" s="2"/>
      <c r="J983" s="2"/>
      <c r="K983" s="2"/>
      <c r="L983" s="2"/>
      <c r="M983" s="2"/>
      <c r="N983" s="2"/>
    </row>
    <row r="984" spans="2:14" ht="15.75" customHeight="1">
      <c r="B984" s="2"/>
      <c r="C984" s="2"/>
      <c r="D984" s="2"/>
      <c r="E984" s="2"/>
      <c r="F984" s="2"/>
      <c r="G984" s="2"/>
      <c r="H984" s="2"/>
      <c r="I984" s="2"/>
      <c r="J984" s="2"/>
      <c r="K984" s="2"/>
      <c r="L984" s="2"/>
      <c r="M984" s="2"/>
      <c r="N984" s="2"/>
    </row>
    <row r="985" spans="2:14" ht="15.75" customHeight="1">
      <c r="B985" s="2"/>
      <c r="C985" s="2"/>
      <c r="D985" s="2"/>
      <c r="E985" s="2"/>
      <c r="F985" s="2"/>
      <c r="G985" s="2"/>
      <c r="H985" s="2"/>
      <c r="I985" s="2"/>
      <c r="J985" s="2"/>
      <c r="K985" s="2"/>
      <c r="L985" s="2"/>
      <c r="M985" s="2"/>
      <c r="N985" s="2"/>
    </row>
    <row r="986" spans="2:14" ht="15.75" customHeight="1">
      <c r="B986" s="2"/>
      <c r="C986" s="2"/>
      <c r="D986" s="2"/>
      <c r="E986" s="2"/>
      <c r="F986" s="2"/>
      <c r="G986" s="2"/>
      <c r="H986" s="2"/>
      <c r="I986" s="2"/>
      <c r="J986" s="2"/>
      <c r="K986" s="2"/>
      <c r="L986" s="2"/>
      <c r="M986" s="2"/>
      <c r="N986" s="2"/>
    </row>
    <row r="987" spans="2:14" ht="15.75" customHeight="1">
      <c r="B987" s="2"/>
      <c r="C987" s="2"/>
      <c r="D987" s="2"/>
      <c r="E987" s="2"/>
      <c r="F987" s="2"/>
      <c r="G987" s="2"/>
      <c r="H987" s="2"/>
      <c r="I987" s="2"/>
      <c r="J987" s="2"/>
      <c r="K987" s="2"/>
      <c r="L987" s="2"/>
      <c r="M987" s="2"/>
      <c r="N987" s="2"/>
    </row>
    <row r="988" spans="2:14" ht="15.75" customHeight="1">
      <c r="B988" s="2"/>
      <c r="C988" s="2"/>
      <c r="D988" s="2"/>
      <c r="E988" s="2"/>
      <c r="F988" s="2"/>
      <c r="G988" s="2"/>
      <c r="H988" s="2"/>
      <c r="I988" s="2"/>
      <c r="J988" s="2"/>
      <c r="K988" s="2"/>
      <c r="L988" s="2"/>
      <c r="M988" s="2"/>
      <c r="N988" s="2"/>
    </row>
    <row r="989" spans="2:14" ht="15.75" customHeight="1">
      <c r="B989" s="2"/>
      <c r="C989" s="2"/>
      <c r="D989" s="2"/>
      <c r="E989" s="2"/>
      <c r="F989" s="2"/>
      <c r="G989" s="2"/>
      <c r="H989" s="2"/>
      <c r="I989" s="2"/>
      <c r="J989" s="2"/>
      <c r="K989" s="2"/>
      <c r="L989" s="2"/>
      <c r="M989" s="2"/>
      <c r="N989" s="2"/>
    </row>
    <row r="990" spans="2:14" ht="15.75" customHeight="1">
      <c r="B990" s="2"/>
      <c r="C990" s="2"/>
      <c r="D990" s="2"/>
      <c r="E990" s="2"/>
      <c r="F990" s="2"/>
      <c r="G990" s="2"/>
      <c r="H990" s="2"/>
      <c r="I990" s="2"/>
      <c r="J990" s="2"/>
      <c r="K990" s="2"/>
      <c r="L990" s="2"/>
      <c r="M990" s="2"/>
      <c r="N990" s="2"/>
    </row>
    <row r="991" spans="2:14" ht="15.75" customHeight="1">
      <c r="B991" s="2"/>
      <c r="C991" s="2"/>
      <c r="D991" s="2"/>
      <c r="E991" s="2"/>
      <c r="F991" s="2"/>
      <c r="G991" s="2"/>
      <c r="H991" s="2"/>
      <c r="I991" s="2"/>
      <c r="J991" s="2"/>
      <c r="K991" s="2"/>
      <c r="L991" s="2"/>
      <c r="M991" s="2"/>
      <c r="N991" s="2"/>
    </row>
    <row r="992" spans="2:14" ht="15.75" customHeight="1">
      <c r="B992" s="2"/>
      <c r="C992" s="2"/>
      <c r="D992" s="2"/>
      <c r="E992" s="2"/>
      <c r="F992" s="2"/>
      <c r="G992" s="2"/>
      <c r="H992" s="2"/>
      <c r="I992" s="2"/>
      <c r="J992" s="2"/>
      <c r="K992" s="2"/>
      <c r="L992" s="2"/>
      <c r="M992" s="2"/>
      <c r="N992" s="2"/>
    </row>
    <row r="993" spans="2:14" ht="15.75" customHeight="1">
      <c r="B993" s="2"/>
      <c r="C993" s="2"/>
      <c r="D993" s="2"/>
      <c r="E993" s="2"/>
      <c r="F993" s="2"/>
      <c r="G993" s="2"/>
      <c r="H993" s="2"/>
      <c r="I993" s="2"/>
      <c r="J993" s="2"/>
      <c r="K993" s="2"/>
      <c r="L993" s="2"/>
      <c r="M993" s="2"/>
      <c r="N993" s="2"/>
    </row>
    <row r="994" spans="2:14" ht="15.75" customHeight="1">
      <c r="B994" s="2"/>
      <c r="C994" s="2"/>
      <c r="D994" s="2"/>
      <c r="E994" s="2"/>
      <c r="F994" s="2"/>
      <c r="G994" s="2"/>
      <c r="H994" s="2"/>
      <c r="I994" s="2"/>
      <c r="J994" s="2"/>
      <c r="K994" s="2"/>
      <c r="L994" s="2"/>
      <c r="M994" s="2"/>
      <c r="N994" s="2"/>
    </row>
    <row r="995" spans="2:14" ht="15.75" customHeight="1">
      <c r="B995" s="2"/>
      <c r="C995" s="2"/>
      <c r="D995" s="2"/>
      <c r="E995" s="2"/>
      <c r="F995" s="2"/>
      <c r="G995" s="2"/>
      <c r="H995" s="2"/>
      <c r="I995" s="2"/>
      <c r="J995" s="2"/>
      <c r="K995" s="2"/>
      <c r="L995" s="2"/>
      <c r="M995" s="2"/>
      <c r="N995" s="2"/>
    </row>
    <row r="996" spans="2:14" ht="15.75" customHeight="1">
      <c r="B996" s="2"/>
      <c r="C996" s="2"/>
      <c r="D996" s="2"/>
      <c r="E996" s="2"/>
      <c r="F996" s="2"/>
      <c r="G996" s="2"/>
      <c r="H996" s="2"/>
      <c r="I996" s="2"/>
      <c r="J996" s="2"/>
      <c r="K996" s="2"/>
      <c r="L996" s="2"/>
      <c r="M996" s="2"/>
      <c r="N996" s="2"/>
    </row>
    <row r="997" spans="2:14" ht="15.75" customHeight="1">
      <c r="B997" s="2"/>
      <c r="C997" s="2"/>
      <c r="D997" s="2"/>
      <c r="E997" s="2"/>
      <c r="F997" s="2"/>
      <c r="G997" s="2"/>
      <c r="H997" s="2"/>
      <c r="I997" s="2"/>
      <c r="J997" s="2"/>
      <c r="K997" s="2"/>
      <c r="L997" s="2"/>
      <c r="M997" s="2"/>
      <c r="N997" s="2"/>
    </row>
    <row r="998" spans="2:14" ht="15.75" customHeight="1">
      <c r="B998" s="2"/>
      <c r="C998" s="2"/>
      <c r="D998" s="2"/>
      <c r="E998" s="2"/>
      <c r="F998" s="2"/>
      <c r="G998" s="2"/>
      <c r="H998" s="2"/>
      <c r="I998" s="2"/>
      <c r="J998" s="2"/>
      <c r="K998" s="2"/>
      <c r="L998" s="2"/>
      <c r="M998" s="2"/>
      <c r="N998" s="2"/>
    </row>
    <row r="999" spans="2:14" ht="15.75" customHeight="1">
      <c r="B999" s="2"/>
      <c r="C999" s="2"/>
      <c r="D999" s="2"/>
      <c r="E999" s="2"/>
      <c r="F999" s="2"/>
      <c r="G999" s="2"/>
      <c r="H999" s="2"/>
      <c r="I999" s="2"/>
      <c r="J999" s="2"/>
      <c r="K999" s="2"/>
      <c r="L999" s="2"/>
      <c r="M999" s="2"/>
      <c r="N999" s="2"/>
    </row>
    <row r="1000" spans="2:14" ht="15.75" customHeight="1">
      <c r="B1000" s="2"/>
      <c r="C1000" s="2"/>
      <c r="D1000" s="2"/>
      <c r="E1000" s="2"/>
      <c r="F1000" s="2"/>
      <c r="G1000" s="2"/>
      <c r="H1000" s="2"/>
      <c r="I1000" s="2"/>
      <c r="J1000" s="2"/>
      <c r="K1000" s="2"/>
      <c r="L1000" s="2"/>
      <c r="M1000" s="2"/>
      <c r="N1000" s="2"/>
    </row>
  </sheetData>
  <mergeCells count="1">
    <mergeCell ref="A2:N2"/>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election activeCell="H21" sqref="H21"/>
    </sheetView>
  </sheetViews>
  <sheetFormatPr defaultColWidth="14.42578125" defaultRowHeight="15" customHeight="1"/>
  <cols>
    <col min="1" max="1" width="14" style="2" customWidth="1"/>
    <col min="2" max="2" width="14" customWidth="1"/>
    <col min="3" max="3" width="9" customWidth="1"/>
    <col min="4" max="4" width="14" customWidth="1"/>
    <col min="5" max="5" width="9" customWidth="1"/>
    <col min="6" max="6" width="13" customWidth="1"/>
    <col min="7" max="7" width="9" customWidth="1"/>
    <col min="8" max="8" width="16" customWidth="1"/>
    <col min="9" max="9" width="9" customWidth="1"/>
    <col min="10" max="26" width="8.7109375" customWidth="1"/>
  </cols>
  <sheetData>
    <row r="1" spans="1:10" ht="17.25" customHeight="1">
      <c r="A1" s="1" t="s">
        <v>2944</v>
      </c>
      <c r="B1" s="2"/>
      <c r="C1" s="2"/>
      <c r="D1" s="2"/>
      <c r="E1" s="2"/>
      <c r="F1" s="2"/>
      <c r="G1" s="2"/>
      <c r="H1" s="2"/>
      <c r="I1" s="2"/>
    </row>
    <row r="2" spans="1:10" ht="15" customHeight="1">
      <c r="A2" s="41" t="s">
        <v>2945</v>
      </c>
      <c r="B2" s="37"/>
      <c r="C2" s="37"/>
      <c r="D2" s="37"/>
      <c r="E2" s="37"/>
      <c r="F2" s="37"/>
      <c r="G2" s="37"/>
      <c r="H2" s="37"/>
      <c r="I2" s="37"/>
    </row>
    <row r="3" spans="1:10">
      <c r="B3" s="2"/>
      <c r="C3" s="2"/>
      <c r="D3" s="2"/>
      <c r="E3" s="2"/>
      <c r="F3" s="2"/>
      <c r="G3" s="2"/>
      <c r="H3" s="2"/>
      <c r="I3" s="2"/>
    </row>
    <row r="4" spans="1:10" ht="39.75" customHeight="1">
      <c r="A4" s="5" t="s">
        <v>1108</v>
      </c>
      <c r="B4" s="5" t="s">
        <v>2946</v>
      </c>
      <c r="C4" s="5" t="s">
        <v>2947</v>
      </c>
      <c r="D4" s="5" t="s">
        <v>2948</v>
      </c>
      <c r="E4" s="5" t="s">
        <v>2949</v>
      </c>
      <c r="F4" s="5" t="s">
        <v>2950</v>
      </c>
      <c r="G4" s="5" t="s">
        <v>2951</v>
      </c>
      <c r="H4" s="5" t="s">
        <v>2952</v>
      </c>
      <c r="I4" s="5" t="s">
        <v>2953</v>
      </c>
      <c r="J4" s="2" t="s">
        <v>2954</v>
      </c>
    </row>
    <row r="5" spans="1:10" ht="15" customHeight="1">
      <c r="A5" s="7" t="s">
        <v>99</v>
      </c>
      <c r="B5" s="7">
        <f>SUMIF(Edges_Summary!B:B,A5,Edges_Summary!E:E)</f>
        <v>39</v>
      </c>
      <c r="C5" s="7">
        <f t="shared" ref="C5:C17" si="0">IF(B5=0,"",RANK(B5,$B$5:$B$17)+(COUNTIF($B$5:$B$17,B5)-1)/2)</f>
        <v>3</v>
      </c>
      <c r="D5" s="7">
        <f>SUMIF(Edges_Summary!B:B,A5,Edges_Summary!J:J)</f>
        <v>34</v>
      </c>
      <c r="E5" s="7">
        <f t="shared" ref="E5:E17" si="1">IF(D5=0,"",RANK(D5,$D$5:$D$17)+(COUNTIF($D$5:$D$17,D5)-1)/2)</f>
        <v>2</v>
      </c>
      <c r="F5" s="7">
        <f>SUMIF(Edges_Summary!B:B,A5,Edges_Summary!K:K)</f>
        <v>6</v>
      </c>
      <c r="G5" s="7">
        <f t="shared" ref="G5:G17" si="2">IF(F5=0,"",RANK(F5,$F$5:$F$17)+(COUNTIF($F$5:$F$17,F5)-1)/2)</f>
        <v>1</v>
      </c>
      <c r="H5" s="7"/>
      <c r="I5" s="7" t="str">
        <f t="shared" ref="I5:I17" si="3">IF(H5=0,"",RANK(H5,$H$5:$H$17)+(COUNTIF($H$5:$H$17,H5)-1)/2)</f>
        <v/>
      </c>
      <c r="J5" s="2">
        <f t="shared" ref="J5:J17" si="4">IF(OR(C5="",E5=""),"",E5-C5)</f>
        <v>-1</v>
      </c>
    </row>
    <row r="6" spans="1:10" ht="15" customHeight="1">
      <c r="A6" s="7" t="s">
        <v>103</v>
      </c>
      <c r="B6" s="7">
        <f>SUMIF(Edges_Summary!B:B,A6,Edges_Summary!E:E)</f>
        <v>13</v>
      </c>
      <c r="C6" s="7">
        <f t="shared" si="0"/>
        <v>9</v>
      </c>
      <c r="D6" s="7">
        <f>SUMIF(Edges_Summary!B:B,A6,Edges_Summary!J:J)</f>
        <v>13</v>
      </c>
      <c r="E6" s="7">
        <f t="shared" si="1"/>
        <v>9</v>
      </c>
      <c r="F6" s="7">
        <f>SUMIF(Edges_Summary!B:B,A6,Edges_Summary!K:K)</f>
        <v>2</v>
      </c>
      <c r="G6" s="7">
        <f t="shared" si="2"/>
        <v>11.5</v>
      </c>
      <c r="H6" s="7"/>
      <c r="I6" s="7" t="str">
        <f t="shared" si="3"/>
        <v/>
      </c>
      <c r="J6" s="2">
        <f t="shared" si="4"/>
        <v>0</v>
      </c>
    </row>
    <row r="7" spans="1:10" ht="15" customHeight="1">
      <c r="A7" s="7" t="s">
        <v>106</v>
      </c>
      <c r="B7" s="7">
        <f>SUMIF(Edges_Summary!B:B,A7,Edges_Summary!E:E)</f>
        <v>40</v>
      </c>
      <c r="C7" s="7">
        <f t="shared" si="0"/>
        <v>1.5</v>
      </c>
      <c r="D7" s="7">
        <f>SUMIF(Edges_Summary!B:B,A7,Edges_Summary!J:J)</f>
        <v>37</v>
      </c>
      <c r="E7" s="7">
        <f t="shared" si="1"/>
        <v>1</v>
      </c>
      <c r="F7" s="7">
        <f>SUMIF(Edges_Summary!B:B,A7,Edges_Summary!K:K)</f>
        <v>4</v>
      </c>
      <c r="G7" s="7">
        <f t="shared" si="2"/>
        <v>4</v>
      </c>
      <c r="H7" s="7"/>
      <c r="I7" s="7" t="str">
        <f t="shared" si="3"/>
        <v/>
      </c>
      <c r="J7" s="2">
        <f t="shared" si="4"/>
        <v>-0.5</v>
      </c>
    </row>
    <row r="8" spans="1:10" ht="15" customHeight="1">
      <c r="A8" s="7" t="s">
        <v>109</v>
      </c>
      <c r="B8" s="7">
        <f>SUMIF(Edges_Summary!B:B,A8,Edges_Summary!E:E)</f>
        <v>7</v>
      </c>
      <c r="C8" s="7">
        <f t="shared" si="0"/>
        <v>12</v>
      </c>
      <c r="D8" s="7">
        <f>SUMIF(Edges_Summary!B:B,A8,Edges_Summary!J:J)</f>
        <v>6</v>
      </c>
      <c r="E8" s="7">
        <f t="shared" si="1"/>
        <v>11.5</v>
      </c>
      <c r="F8" s="7">
        <f>SUMIF(Edges_Summary!B:B,A8,Edges_Summary!K:K)</f>
        <v>2</v>
      </c>
      <c r="G8" s="7">
        <f t="shared" si="2"/>
        <v>11.5</v>
      </c>
      <c r="H8" s="7"/>
      <c r="I8" s="7" t="str">
        <f t="shared" si="3"/>
        <v/>
      </c>
      <c r="J8" s="2">
        <f t="shared" si="4"/>
        <v>-0.5</v>
      </c>
    </row>
    <row r="9" spans="1:10" ht="15" customHeight="1">
      <c r="A9" s="7" t="s">
        <v>112</v>
      </c>
      <c r="B9" s="7">
        <f>SUMIF(Edges_Summary!B:B,A9,Edges_Summary!E:E)</f>
        <v>36</v>
      </c>
      <c r="C9" s="7">
        <f t="shared" si="0"/>
        <v>4</v>
      </c>
      <c r="D9" s="7">
        <f>SUMIF(Edges_Summary!B:B,A9,Edges_Summary!J:J)</f>
        <v>24</v>
      </c>
      <c r="E9" s="7">
        <f t="shared" si="1"/>
        <v>7</v>
      </c>
      <c r="F9" s="7">
        <f>SUMIF(Edges_Summary!B:B,A9,Edges_Summary!K:K)</f>
        <v>5</v>
      </c>
      <c r="G9" s="7">
        <f t="shared" si="2"/>
        <v>2.5</v>
      </c>
      <c r="H9" s="7"/>
      <c r="I9" s="7" t="str">
        <f t="shared" si="3"/>
        <v/>
      </c>
      <c r="J9" s="2">
        <f t="shared" si="4"/>
        <v>3</v>
      </c>
    </row>
    <row r="10" spans="1:10" ht="15" customHeight="1">
      <c r="A10" s="7" t="s">
        <v>115</v>
      </c>
      <c r="B10" s="7">
        <f>SUMIF(Edges_Summary!B:B,A10,Edges_Summary!E:E)</f>
        <v>33</v>
      </c>
      <c r="C10" s="7">
        <f t="shared" si="0"/>
        <v>6</v>
      </c>
      <c r="D10" s="7">
        <f>SUMIF(Edges_Summary!B:B,A10,Edges_Summary!J:J)</f>
        <v>26</v>
      </c>
      <c r="E10" s="7">
        <f t="shared" si="1"/>
        <v>4</v>
      </c>
      <c r="F10" s="7">
        <f>SUMIF(Edges_Summary!B:B,A10,Edges_Summary!K:K)</f>
        <v>5</v>
      </c>
      <c r="G10" s="7">
        <f t="shared" si="2"/>
        <v>2.5</v>
      </c>
      <c r="H10" s="7"/>
      <c r="I10" s="7" t="str">
        <f t="shared" si="3"/>
        <v/>
      </c>
      <c r="J10" s="2">
        <f t="shared" si="4"/>
        <v>-2</v>
      </c>
    </row>
    <row r="11" spans="1:10" ht="15" customHeight="1">
      <c r="A11" s="7" t="s">
        <v>118</v>
      </c>
      <c r="B11" s="7">
        <f>SUMIF(Edges_Summary!B:B,A11,Edges_Summary!E:E)</f>
        <v>34</v>
      </c>
      <c r="C11" s="7">
        <f t="shared" si="0"/>
        <v>5</v>
      </c>
      <c r="D11" s="7">
        <f>SUMIF(Edges_Summary!B:B,A11,Edges_Summary!J:J)</f>
        <v>22</v>
      </c>
      <c r="E11" s="7">
        <f t="shared" si="1"/>
        <v>8</v>
      </c>
      <c r="F11" s="7">
        <f>SUMIF(Edges_Summary!B:B,A11,Edges_Summary!K:K)</f>
        <v>3</v>
      </c>
      <c r="G11" s="7">
        <f t="shared" si="2"/>
        <v>7</v>
      </c>
      <c r="H11" s="7"/>
      <c r="I11" s="7" t="str">
        <f t="shared" si="3"/>
        <v/>
      </c>
      <c r="J11" s="2">
        <f t="shared" si="4"/>
        <v>3</v>
      </c>
    </row>
    <row r="12" spans="1:10" ht="15" customHeight="1">
      <c r="A12" s="7" t="s">
        <v>121</v>
      </c>
      <c r="B12" s="7">
        <f>SUMIF(Edges_Summary!B:B,A12,Edges_Summary!E:E)</f>
        <v>6</v>
      </c>
      <c r="C12" s="7">
        <f t="shared" si="0"/>
        <v>13</v>
      </c>
      <c r="D12" s="7">
        <f>SUMIF(Edges_Summary!B:B,A12,Edges_Summary!J:J)</f>
        <v>6</v>
      </c>
      <c r="E12" s="7">
        <f t="shared" si="1"/>
        <v>11.5</v>
      </c>
      <c r="F12" s="7">
        <f>SUMIF(Edges_Summary!B:B,A12,Edges_Summary!K:K)</f>
        <v>2</v>
      </c>
      <c r="G12" s="7">
        <f t="shared" si="2"/>
        <v>11.5</v>
      </c>
      <c r="H12" s="7"/>
      <c r="I12" s="7" t="str">
        <f t="shared" si="3"/>
        <v/>
      </c>
      <c r="J12" s="2">
        <f t="shared" si="4"/>
        <v>-1.5</v>
      </c>
    </row>
    <row r="13" spans="1:10" ht="15" customHeight="1">
      <c r="A13" s="7" t="s">
        <v>124</v>
      </c>
      <c r="B13" s="7">
        <f>SUMIF(Edges_Summary!B:B,A13,Edges_Summary!E:E)</f>
        <v>32</v>
      </c>
      <c r="C13" s="7">
        <f t="shared" si="0"/>
        <v>7</v>
      </c>
      <c r="D13" s="7">
        <f>SUMIF(Edges_Summary!B:B,A13,Edges_Summary!J:J)</f>
        <v>26</v>
      </c>
      <c r="E13" s="7">
        <f t="shared" si="1"/>
        <v>4</v>
      </c>
      <c r="F13" s="7">
        <f>SUMIF(Edges_Summary!B:B,A13,Edges_Summary!K:K)</f>
        <v>3</v>
      </c>
      <c r="G13" s="7">
        <f t="shared" si="2"/>
        <v>7</v>
      </c>
      <c r="H13" s="7"/>
      <c r="I13" s="7" t="str">
        <f t="shared" si="3"/>
        <v/>
      </c>
      <c r="J13" s="2">
        <f t="shared" si="4"/>
        <v>-3</v>
      </c>
    </row>
    <row r="14" spans="1:10" ht="15" customHeight="1">
      <c r="A14" s="7" t="s">
        <v>127</v>
      </c>
      <c r="B14" s="7">
        <f>SUMIF(Edges_Summary!B:B,A14,Edges_Summary!E:E)</f>
        <v>26</v>
      </c>
      <c r="C14" s="7">
        <f t="shared" si="0"/>
        <v>8</v>
      </c>
      <c r="D14" s="7">
        <f>SUMIF(Edges_Summary!B:B,A14,Edges_Summary!J:J)</f>
        <v>25</v>
      </c>
      <c r="E14" s="7">
        <f t="shared" si="1"/>
        <v>6</v>
      </c>
      <c r="F14" s="7">
        <f>SUMIF(Edges_Summary!B:B,A14,Edges_Summary!K:K)</f>
        <v>3</v>
      </c>
      <c r="G14" s="7">
        <f t="shared" si="2"/>
        <v>7</v>
      </c>
      <c r="H14" s="7"/>
      <c r="I14" s="7" t="str">
        <f t="shared" si="3"/>
        <v/>
      </c>
      <c r="J14" s="2">
        <f t="shared" si="4"/>
        <v>-2</v>
      </c>
    </row>
    <row r="15" spans="1:10" ht="15" customHeight="1">
      <c r="A15" s="7" t="s">
        <v>130</v>
      </c>
      <c r="B15" s="7">
        <f>SUMIF(Edges_Summary!B:B,A15,Edges_Summary!E:E)</f>
        <v>11</v>
      </c>
      <c r="C15" s="7">
        <f t="shared" si="0"/>
        <v>10</v>
      </c>
      <c r="D15" s="7">
        <f>SUMIF(Edges_Summary!B:B,A15,Edges_Summary!J:J)</f>
        <v>11</v>
      </c>
      <c r="E15" s="7">
        <f t="shared" si="1"/>
        <v>10</v>
      </c>
      <c r="F15" s="7">
        <f>SUMIF(Edges_Summary!B:B,A15,Edges_Summary!K:K)</f>
        <v>3</v>
      </c>
      <c r="G15" s="7">
        <f t="shared" si="2"/>
        <v>7</v>
      </c>
      <c r="H15" s="7"/>
      <c r="I15" s="7" t="str">
        <f t="shared" si="3"/>
        <v/>
      </c>
      <c r="J15" s="2">
        <f t="shared" si="4"/>
        <v>0</v>
      </c>
    </row>
    <row r="16" spans="1:10" ht="15" customHeight="1">
      <c r="A16" s="7" t="s">
        <v>133</v>
      </c>
      <c r="B16" s="7">
        <f>SUMIF(Edges_Summary!B:B,A16,Edges_Summary!E:E)</f>
        <v>40</v>
      </c>
      <c r="C16" s="7">
        <f t="shared" si="0"/>
        <v>1.5</v>
      </c>
      <c r="D16" s="7">
        <f>SUMIF(Edges_Summary!B:B,A16,Edges_Summary!J:J)</f>
        <v>26</v>
      </c>
      <c r="E16" s="7">
        <f t="shared" si="1"/>
        <v>4</v>
      </c>
      <c r="F16" s="7">
        <f>SUMIF(Edges_Summary!B:B,A16,Edges_Summary!K:K)</f>
        <v>3</v>
      </c>
      <c r="G16" s="7">
        <f t="shared" si="2"/>
        <v>7</v>
      </c>
      <c r="H16" s="7"/>
      <c r="I16" s="7" t="str">
        <f t="shared" si="3"/>
        <v/>
      </c>
      <c r="J16" s="2">
        <f t="shared" si="4"/>
        <v>2.5</v>
      </c>
    </row>
    <row r="17" spans="1:10" ht="15" customHeight="1">
      <c r="A17" s="7" t="s">
        <v>136</v>
      </c>
      <c r="B17" s="7">
        <f>SUMIF(Edges_Summary!B:B,A17,Edges_Summary!E:E)</f>
        <v>9</v>
      </c>
      <c r="C17" s="7">
        <f t="shared" si="0"/>
        <v>11</v>
      </c>
      <c r="D17" s="7">
        <f>SUMIF(Edges_Summary!B:B,A17,Edges_Summary!J:J)</f>
        <v>5</v>
      </c>
      <c r="E17" s="7">
        <f t="shared" si="1"/>
        <v>13</v>
      </c>
      <c r="F17" s="7">
        <f>SUMIF(Edges_Summary!B:B,A17,Edges_Summary!K:K)</f>
        <v>2</v>
      </c>
      <c r="G17" s="7">
        <f t="shared" si="2"/>
        <v>11.5</v>
      </c>
      <c r="H17" s="7"/>
      <c r="I17" s="7" t="str">
        <f t="shared" si="3"/>
        <v/>
      </c>
      <c r="J17" s="2">
        <f t="shared" si="4"/>
        <v>2</v>
      </c>
    </row>
    <row r="18" spans="1:10">
      <c r="B18" s="2"/>
      <c r="C18" s="2"/>
      <c r="D18" s="2"/>
      <c r="E18" s="2"/>
      <c r="F18" s="2"/>
      <c r="G18" s="2"/>
      <c r="H18" s="2"/>
      <c r="I18" s="2"/>
    </row>
    <row r="19" spans="1:10" ht="15" customHeight="1">
      <c r="A19" s="42" t="s">
        <v>2955</v>
      </c>
      <c r="B19" s="39"/>
      <c r="C19" s="39"/>
      <c r="D19" s="39"/>
      <c r="E19" s="2"/>
      <c r="F19" s="2"/>
      <c r="G19" s="2"/>
      <c r="H19" s="2"/>
      <c r="I19" s="2"/>
    </row>
    <row r="20" spans="1:10" ht="15" customHeight="1">
      <c r="A20" s="3" t="s">
        <v>2956</v>
      </c>
      <c r="B20" s="3">
        <f>IFERROR(CORREL(C5:C17,E5:E17),"")</f>
        <v>0.86427919193106184</v>
      </c>
      <c r="C20" s="2"/>
      <c r="D20" s="2"/>
      <c r="E20" s="2"/>
      <c r="F20" s="2"/>
      <c r="G20" s="2"/>
      <c r="H20" s="2"/>
      <c r="I20" s="2"/>
    </row>
    <row r="21" spans="1:10" ht="15" customHeight="1">
      <c r="A21" s="3" t="s">
        <v>2957</v>
      </c>
      <c r="B21" s="3">
        <f>IFERROR(CORREL(C5:C17,G5:G17),"")</f>
        <v>0.7765838147065901</v>
      </c>
      <c r="C21" s="2"/>
      <c r="D21" s="2"/>
      <c r="E21" s="2"/>
      <c r="F21" s="2"/>
      <c r="G21" s="2"/>
      <c r="H21" s="2"/>
      <c r="I21" s="2"/>
    </row>
    <row r="22" spans="1:10" ht="15" customHeight="1">
      <c r="A22" s="3" t="s">
        <v>2958</v>
      </c>
      <c r="B22" s="3" t="str">
        <f>IFERROR(CORREL(C5:C17,I5:I17),"")</f>
        <v/>
      </c>
      <c r="C22" s="2"/>
      <c r="D22" s="2"/>
      <c r="E22" s="2"/>
      <c r="F22" s="2"/>
      <c r="G22" s="2"/>
      <c r="H22" s="2"/>
      <c r="I22" s="2"/>
    </row>
    <row r="23" spans="1:10" ht="15.75" customHeight="1">
      <c r="B23" s="2"/>
      <c r="C23" s="2"/>
      <c r="D23" s="2"/>
      <c r="E23" s="2"/>
      <c r="F23" s="2"/>
      <c r="G23" s="2"/>
      <c r="H23" s="2"/>
      <c r="I23" s="2"/>
    </row>
    <row r="24" spans="1:10" ht="15.75" customHeight="1">
      <c r="A24" s="16" t="s">
        <v>2959</v>
      </c>
      <c r="B24" s="2"/>
      <c r="C24" s="2"/>
      <c r="D24" s="2"/>
      <c r="E24" s="2"/>
      <c r="F24" s="2"/>
      <c r="G24" s="2"/>
      <c r="H24" s="2"/>
      <c r="I24" s="2"/>
    </row>
    <row r="25" spans="1:10" ht="15.75" customHeight="1">
      <c r="B25" s="2"/>
      <c r="C25" s="2"/>
      <c r="D25" s="2"/>
      <c r="E25" s="2"/>
      <c r="F25" s="2"/>
      <c r="G25" s="2"/>
      <c r="H25" s="2"/>
      <c r="I25" s="2"/>
    </row>
    <row r="26" spans="1:10" ht="15.75" customHeight="1">
      <c r="B26" s="2"/>
      <c r="C26" s="2"/>
      <c r="D26" s="2"/>
      <c r="E26" s="2"/>
      <c r="F26" s="2"/>
      <c r="G26" s="2"/>
      <c r="H26" s="2"/>
      <c r="I26" s="2"/>
    </row>
    <row r="27" spans="1:10" ht="15.75" customHeight="1">
      <c r="B27" s="2"/>
      <c r="C27" s="2"/>
      <c r="D27" s="2"/>
      <c r="E27" s="2"/>
      <c r="F27" s="2"/>
      <c r="G27" s="2"/>
      <c r="H27" s="2"/>
      <c r="I27" s="2"/>
    </row>
    <row r="28" spans="1:10" ht="15.75" customHeight="1">
      <c r="B28" s="2"/>
      <c r="C28" s="2"/>
      <c r="D28" s="2"/>
      <c r="E28" s="2"/>
      <c r="F28" s="2"/>
      <c r="G28" s="2"/>
      <c r="H28" s="2"/>
      <c r="I28" s="2"/>
    </row>
    <row r="29" spans="1:10" ht="15.75" customHeight="1">
      <c r="B29" s="2"/>
      <c r="C29" s="2"/>
      <c r="D29" s="2"/>
      <c r="E29" s="2"/>
      <c r="F29" s="2"/>
      <c r="G29" s="2"/>
      <c r="H29" s="2"/>
      <c r="I29" s="2"/>
    </row>
    <row r="30" spans="1:10" ht="15.75" customHeight="1">
      <c r="B30" s="2"/>
      <c r="C30" s="2"/>
      <c r="D30" s="2"/>
      <c r="E30" s="2"/>
      <c r="F30" s="2"/>
      <c r="G30" s="2"/>
      <c r="H30" s="2"/>
      <c r="I30" s="2"/>
    </row>
    <row r="31" spans="1:10" ht="15.75" customHeight="1">
      <c r="B31" s="2"/>
      <c r="C31" s="2"/>
      <c r="D31" s="2"/>
      <c r="E31" s="2"/>
      <c r="F31" s="2"/>
      <c r="G31" s="2"/>
      <c r="H31" s="2"/>
      <c r="I31" s="2"/>
    </row>
    <row r="32" spans="1:10" ht="15.75" customHeight="1">
      <c r="B32" s="2"/>
      <c r="C32" s="2"/>
      <c r="D32" s="2"/>
      <c r="E32" s="2"/>
      <c r="F32" s="2"/>
      <c r="G32" s="2"/>
      <c r="H32" s="2"/>
      <c r="I32" s="2"/>
    </row>
    <row r="33" spans="2:9" ht="15.75" customHeight="1">
      <c r="B33" s="2"/>
      <c r="C33" s="2"/>
      <c r="D33" s="2"/>
      <c r="E33" s="2"/>
      <c r="F33" s="2"/>
      <c r="G33" s="2"/>
      <c r="H33" s="2"/>
      <c r="I33" s="2"/>
    </row>
    <row r="34" spans="2:9" ht="15.75" customHeight="1">
      <c r="B34" s="2"/>
      <c r="C34" s="2"/>
      <c r="D34" s="2"/>
      <c r="E34" s="2"/>
      <c r="F34" s="2"/>
      <c r="G34" s="2"/>
      <c r="H34" s="2"/>
      <c r="I34" s="2"/>
    </row>
    <row r="35" spans="2:9" ht="15.75" customHeight="1">
      <c r="B35" s="2"/>
      <c r="C35" s="2"/>
      <c r="D35" s="2"/>
      <c r="E35" s="2"/>
      <c r="F35" s="2"/>
      <c r="G35" s="2"/>
      <c r="H35" s="2"/>
      <c r="I35" s="2"/>
    </row>
    <row r="36" spans="2:9" ht="15.75" customHeight="1">
      <c r="B36" s="2"/>
      <c r="C36" s="2"/>
      <c r="D36" s="2"/>
      <c r="E36" s="2"/>
      <c r="F36" s="2"/>
      <c r="G36" s="2"/>
      <c r="H36" s="2"/>
      <c r="I36" s="2"/>
    </row>
    <row r="37" spans="2:9" ht="15.75" customHeight="1">
      <c r="B37" s="2"/>
      <c r="C37" s="2"/>
      <c r="D37" s="2"/>
      <c r="E37" s="2"/>
      <c r="F37" s="2"/>
      <c r="G37" s="2"/>
      <c r="H37" s="2"/>
      <c r="I37" s="2"/>
    </row>
    <row r="38" spans="2:9" ht="15.75" customHeight="1">
      <c r="B38" s="2"/>
      <c r="C38" s="2"/>
      <c r="D38" s="2"/>
      <c r="E38" s="2"/>
      <c r="F38" s="2"/>
      <c r="G38" s="2"/>
      <c r="H38" s="2"/>
      <c r="I38" s="2"/>
    </row>
    <row r="39" spans="2:9" ht="15.75" customHeight="1">
      <c r="B39" s="2"/>
      <c r="C39" s="2"/>
      <c r="D39" s="2"/>
      <c r="E39" s="2"/>
      <c r="F39" s="2"/>
      <c r="G39" s="2"/>
      <c r="H39" s="2"/>
      <c r="I39" s="2"/>
    </row>
    <row r="40" spans="2:9" ht="15.75" customHeight="1">
      <c r="B40" s="2"/>
      <c r="C40" s="2"/>
      <c r="D40" s="2"/>
      <c r="E40" s="2"/>
      <c r="F40" s="2"/>
      <c r="G40" s="2"/>
      <c r="H40" s="2"/>
      <c r="I40" s="2"/>
    </row>
    <row r="41" spans="2:9" ht="15.75" customHeight="1">
      <c r="B41" s="2"/>
      <c r="C41" s="2"/>
      <c r="D41" s="2"/>
      <c r="E41" s="2"/>
      <c r="F41" s="2"/>
      <c r="G41" s="2"/>
      <c r="H41" s="2"/>
      <c r="I41" s="2"/>
    </row>
    <row r="42" spans="2:9" ht="15.75" customHeight="1">
      <c r="B42" s="2"/>
      <c r="C42" s="2"/>
      <c r="D42" s="2"/>
      <c r="E42" s="2"/>
      <c r="F42" s="2"/>
      <c r="G42" s="2"/>
      <c r="H42" s="2"/>
      <c r="I42" s="2"/>
    </row>
    <row r="43" spans="2:9" ht="15.75" customHeight="1">
      <c r="B43" s="2"/>
      <c r="C43" s="2"/>
      <c r="D43" s="2"/>
      <c r="E43" s="2"/>
      <c r="F43" s="2"/>
      <c r="G43" s="2"/>
      <c r="H43" s="2"/>
      <c r="I43" s="2"/>
    </row>
    <row r="44" spans="2:9" ht="15.75" customHeight="1">
      <c r="B44" s="2"/>
      <c r="C44" s="2"/>
      <c r="D44" s="2"/>
      <c r="E44" s="2"/>
      <c r="F44" s="2"/>
      <c r="G44" s="2"/>
      <c r="H44" s="2"/>
      <c r="I44" s="2"/>
    </row>
    <row r="45" spans="2:9" ht="15.75" customHeight="1">
      <c r="B45" s="2"/>
      <c r="C45" s="2"/>
      <c r="D45" s="2"/>
      <c r="E45" s="2"/>
      <c r="F45" s="2"/>
      <c r="G45" s="2"/>
      <c r="H45" s="2"/>
      <c r="I45" s="2"/>
    </row>
    <row r="46" spans="2:9" ht="15.75" customHeight="1">
      <c r="B46" s="2"/>
      <c r="C46" s="2"/>
      <c r="D46" s="2"/>
      <c r="E46" s="2"/>
      <c r="F46" s="2"/>
      <c r="G46" s="2"/>
      <c r="H46" s="2"/>
      <c r="I46" s="2"/>
    </row>
    <row r="47" spans="2:9" ht="15.75" customHeight="1">
      <c r="B47" s="2"/>
      <c r="C47" s="2"/>
      <c r="D47" s="2"/>
      <c r="E47" s="2"/>
      <c r="F47" s="2"/>
      <c r="G47" s="2"/>
      <c r="H47" s="2"/>
      <c r="I47" s="2"/>
    </row>
    <row r="48" spans="2:9" ht="15.75" customHeight="1">
      <c r="B48" s="2"/>
      <c r="C48" s="2"/>
      <c r="D48" s="2"/>
      <c r="E48" s="2"/>
      <c r="F48" s="2"/>
      <c r="G48" s="2"/>
      <c r="H48" s="2"/>
      <c r="I48" s="2"/>
    </row>
    <row r="49" spans="2:9" ht="15.75" customHeight="1">
      <c r="B49" s="2"/>
      <c r="C49" s="2"/>
      <c r="D49" s="2"/>
      <c r="E49" s="2"/>
      <c r="F49" s="2"/>
      <c r="G49" s="2"/>
      <c r="H49" s="2"/>
      <c r="I49" s="2"/>
    </row>
    <row r="50" spans="2:9" ht="15.75" customHeight="1">
      <c r="B50" s="2"/>
      <c r="C50" s="2"/>
      <c r="D50" s="2"/>
      <c r="E50" s="2"/>
      <c r="F50" s="2"/>
      <c r="G50" s="2"/>
      <c r="H50" s="2"/>
      <c r="I50" s="2"/>
    </row>
    <row r="51" spans="2:9" ht="15.75" customHeight="1">
      <c r="B51" s="2"/>
      <c r="C51" s="2"/>
      <c r="D51" s="2"/>
      <c r="E51" s="2"/>
      <c r="F51" s="2"/>
      <c r="G51" s="2"/>
      <c r="H51" s="2"/>
      <c r="I51" s="2"/>
    </row>
    <row r="52" spans="2:9" ht="15.75" customHeight="1">
      <c r="B52" s="2"/>
      <c r="C52" s="2"/>
      <c r="D52" s="2"/>
      <c r="E52" s="2"/>
      <c r="F52" s="2"/>
      <c r="G52" s="2"/>
      <c r="H52" s="2"/>
      <c r="I52" s="2"/>
    </row>
    <row r="53" spans="2:9" ht="15.75" customHeight="1">
      <c r="B53" s="2"/>
      <c r="C53" s="2"/>
      <c r="D53" s="2"/>
      <c r="E53" s="2"/>
      <c r="F53" s="2"/>
      <c r="G53" s="2"/>
      <c r="H53" s="2"/>
      <c r="I53" s="2"/>
    </row>
    <row r="54" spans="2:9" ht="15.75" customHeight="1">
      <c r="B54" s="2"/>
      <c r="C54" s="2"/>
      <c r="D54" s="2"/>
      <c r="E54" s="2"/>
      <c r="F54" s="2"/>
      <c r="G54" s="2"/>
      <c r="H54" s="2"/>
      <c r="I54" s="2"/>
    </row>
    <row r="55" spans="2:9" ht="15.75" customHeight="1">
      <c r="B55" s="2"/>
      <c r="C55" s="2"/>
      <c r="D55" s="2"/>
      <c r="E55" s="2"/>
      <c r="F55" s="2"/>
      <c r="G55" s="2"/>
      <c r="H55" s="2"/>
      <c r="I55" s="2"/>
    </row>
    <row r="56" spans="2:9" ht="15.75" customHeight="1">
      <c r="B56" s="2"/>
      <c r="C56" s="2"/>
      <c r="D56" s="2"/>
      <c r="E56" s="2"/>
      <c r="F56" s="2"/>
      <c r="G56" s="2"/>
      <c r="H56" s="2"/>
      <c r="I56" s="2"/>
    </row>
    <row r="57" spans="2:9" ht="15.75" customHeight="1">
      <c r="B57" s="2"/>
      <c r="C57" s="2"/>
      <c r="D57" s="2"/>
      <c r="E57" s="2"/>
      <c r="F57" s="2"/>
      <c r="G57" s="2"/>
      <c r="H57" s="2"/>
      <c r="I57" s="2"/>
    </row>
    <row r="58" spans="2:9" ht="15.75" customHeight="1">
      <c r="B58" s="2"/>
      <c r="C58" s="2"/>
      <c r="D58" s="2"/>
      <c r="E58" s="2"/>
      <c r="F58" s="2"/>
      <c r="G58" s="2"/>
      <c r="H58" s="2"/>
      <c r="I58" s="2"/>
    </row>
    <row r="59" spans="2:9" ht="15.75" customHeight="1">
      <c r="B59" s="2"/>
      <c r="C59" s="2"/>
      <c r="D59" s="2"/>
      <c r="E59" s="2"/>
      <c r="F59" s="2"/>
      <c r="G59" s="2"/>
      <c r="H59" s="2"/>
      <c r="I59" s="2"/>
    </row>
    <row r="60" spans="2:9" ht="15.75" customHeight="1">
      <c r="B60" s="2"/>
      <c r="C60" s="2"/>
      <c r="D60" s="2"/>
      <c r="E60" s="2"/>
      <c r="F60" s="2"/>
      <c r="G60" s="2"/>
      <c r="H60" s="2"/>
      <c r="I60" s="2"/>
    </row>
    <row r="61" spans="2:9" ht="15.75" customHeight="1">
      <c r="B61" s="2"/>
      <c r="C61" s="2"/>
      <c r="D61" s="2"/>
      <c r="E61" s="2"/>
      <c r="F61" s="2"/>
      <c r="G61" s="2"/>
      <c r="H61" s="2"/>
      <c r="I61" s="2"/>
    </row>
    <row r="62" spans="2:9" ht="15.75" customHeight="1">
      <c r="B62" s="2"/>
      <c r="C62" s="2"/>
      <c r="D62" s="2"/>
      <c r="E62" s="2"/>
      <c r="F62" s="2"/>
      <c r="G62" s="2"/>
      <c r="H62" s="2"/>
      <c r="I62" s="2"/>
    </row>
    <row r="63" spans="2:9" ht="15.75" customHeight="1">
      <c r="B63" s="2"/>
      <c r="C63" s="2"/>
      <c r="D63" s="2"/>
      <c r="E63" s="2"/>
      <c r="F63" s="2"/>
      <c r="G63" s="2"/>
      <c r="H63" s="2"/>
      <c r="I63" s="2"/>
    </row>
    <row r="64" spans="2:9" ht="15.75" customHeight="1">
      <c r="B64" s="2"/>
      <c r="C64" s="2"/>
      <c r="D64" s="2"/>
      <c r="E64" s="2"/>
      <c r="F64" s="2"/>
      <c r="G64" s="2"/>
      <c r="H64" s="2"/>
      <c r="I64" s="2"/>
    </row>
    <row r="65" spans="2:9" ht="15.75" customHeight="1">
      <c r="B65" s="2"/>
      <c r="C65" s="2"/>
      <c r="D65" s="2"/>
      <c r="E65" s="2"/>
      <c r="F65" s="2"/>
      <c r="G65" s="2"/>
      <c r="H65" s="2"/>
      <c r="I65" s="2"/>
    </row>
    <row r="66" spans="2:9" ht="15.75" customHeight="1">
      <c r="B66" s="2"/>
      <c r="C66" s="2"/>
      <c r="D66" s="2"/>
      <c r="E66" s="2"/>
      <c r="F66" s="2"/>
      <c r="G66" s="2"/>
      <c r="H66" s="2"/>
      <c r="I66" s="2"/>
    </row>
    <row r="67" spans="2:9" ht="15.75" customHeight="1">
      <c r="B67" s="2"/>
      <c r="C67" s="2"/>
      <c r="D67" s="2"/>
      <c r="E67" s="2"/>
      <c r="F67" s="2"/>
      <c r="G67" s="2"/>
      <c r="H67" s="2"/>
      <c r="I67" s="2"/>
    </row>
    <row r="68" spans="2:9" ht="15.75" customHeight="1">
      <c r="B68" s="2"/>
      <c r="C68" s="2"/>
      <c r="D68" s="2"/>
      <c r="E68" s="2"/>
      <c r="F68" s="2"/>
      <c r="G68" s="2"/>
      <c r="H68" s="2"/>
      <c r="I68" s="2"/>
    </row>
    <row r="69" spans="2:9" ht="15.75" customHeight="1">
      <c r="B69" s="2"/>
      <c r="C69" s="2"/>
      <c r="D69" s="2"/>
      <c r="E69" s="2"/>
      <c r="F69" s="2"/>
      <c r="G69" s="2"/>
      <c r="H69" s="2"/>
      <c r="I69" s="2"/>
    </row>
    <row r="70" spans="2:9" ht="15.75" customHeight="1">
      <c r="B70" s="2"/>
      <c r="C70" s="2"/>
      <c r="D70" s="2"/>
      <c r="E70" s="2"/>
      <c r="F70" s="2"/>
      <c r="G70" s="2"/>
      <c r="H70" s="2"/>
      <c r="I70" s="2"/>
    </row>
    <row r="71" spans="2:9" ht="15.75" customHeight="1">
      <c r="B71" s="2"/>
      <c r="C71" s="2"/>
      <c r="D71" s="2"/>
      <c r="E71" s="2"/>
      <c r="F71" s="2"/>
      <c r="G71" s="2"/>
      <c r="H71" s="2"/>
      <c r="I71" s="2"/>
    </row>
    <row r="72" spans="2:9" ht="15.75" customHeight="1">
      <c r="B72" s="2"/>
      <c r="C72" s="2"/>
      <c r="D72" s="2"/>
      <c r="E72" s="2"/>
      <c r="F72" s="2"/>
      <c r="G72" s="2"/>
      <c r="H72" s="2"/>
      <c r="I72" s="2"/>
    </row>
    <row r="73" spans="2:9" ht="15.75" customHeight="1">
      <c r="B73" s="2"/>
      <c r="C73" s="2"/>
      <c r="D73" s="2"/>
      <c r="E73" s="2"/>
      <c r="F73" s="2"/>
      <c r="G73" s="2"/>
      <c r="H73" s="2"/>
      <c r="I73" s="2"/>
    </row>
    <row r="74" spans="2:9" ht="15.75" customHeight="1">
      <c r="B74" s="2"/>
      <c r="C74" s="2"/>
      <c r="D74" s="2"/>
      <c r="E74" s="2"/>
      <c r="F74" s="2"/>
      <c r="G74" s="2"/>
      <c r="H74" s="2"/>
      <c r="I74" s="2"/>
    </row>
    <row r="75" spans="2:9" ht="15.75" customHeight="1">
      <c r="B75" s="2"/>
      <c r="C75" s="2"/>
      <c r="D75" s="2"/>
      <c r="E75" s="2"/>
      <c r="F75" s="2"/>
      <c r="G75" s="2"/>
      <c r="H75" s="2"/>
      <c r="I75" s="2"/>
    </row>
    <row r="76" spans="2:9" ht="15.75" customHeight="1">
      <c r="B76" s="2"/>
      <c r="C76" s="2"/>
      <c r="D76" s="2"/>
      <c r="E76" s="2"/>
      <c r="F76" s="2"/>
      <c r="G76" s="2"/>
      <c r="H76" s="2"/>
      <c r="I76" s="2"/>
    </row>
    <row r="77" spans="2:9" ht="15.75" customHeight="1">
      <c r="B77" s="2"/>
      <c r="C77" s="2"/>
      <c r="D77" s="2"/>
      <c r="E77" s="2"/>
      <c r="F77" s="2"/>
      <c r="G77" s="2"/>
      <c r="H77" s="2"/>
      <c r="I77" s="2"/>
    </row>
    <row r="78" spans="2:9" ht="15.75" customHeight="1">
      <c r="B78" s="2"/>
      <c r="C78" s="2"/>
      <c r="D78" s="2"/>
      <c r="E78" s="2"/>
      <c r="F78" s="2"/>
      <c r="G78" s="2"/>
      <c r="H78" s="2"/>
      <c r="I78" s="2"/>
    </row>
    <row r="79" spans="2:9" ht="15.75" customHeight="1">
      <c r="B79" s="2"/>
      <c r="C79" s="2"/>
      <c r="D79" s="2"/>
      <c r="E79" s="2"/>
      <c r="F79" s="2"/>
      <c r="G79" s="2"/>
      <c r="H79" s="2"/>
      <c r="I79" s="2"/>
    </row>
    <row r="80" spans="2:9" ht="15.75" customHeight="1">
      <c r="B80" s="2"/>
      <c r="C80" s="2"/>
      <c r="D80" s="2"/>
      <c r="E80" s="2"/>
      <c r="F80" s="2"/>
      <c r="G80" s="2"/>
      <c r="H80" s="2"/>
      <c r="I80" s="2"/>
    </row>
    <row r="81" spans="2:9" ht="15.75" customHeight="1">
      <c r="B81" s="2"/>
      <c r="C81" s="2"/>
      <c r="D81" s="2"/>
      <c r="E81" s="2"/>
      <c r="F81" s="2"/>
      <c r="G81" s="2"/>
      <c r="H81" s="2"/>
      <c r="I81" s="2"/>
    </row>
    <row r="82" spans="2:9" ht="15.75" customHeight="1">
      <c r="B82" s="2"/>
      <c r="C82" s="2"/>
      <c r="D82" s="2"/>
      <c r="E82" s="2"/>
      <c r="F82" s="2"/>
      <c r="G82" s="2"/>
      <c r="H82" s="2"/>
      <c r="I82" s="2"/>
    </row>
    <row r="83" spans="2:9" ht="15.75" customHeight="1">
      <c r="B83" s="2"/>
      <c r="C83" s="2"/>
      <c r="D83" s="2"/>
      <c r="E83" s="2"/>
      <c r="F83" s="2"/>
      <c r="G83" s="2"/>
      <c r="H83" s="2"/>
      <c r="I83" s="2"/>
    </row>
    <row r="84" spans="2:9" ht="15.75" customHeight="1">
      <c r="B84" s="2"/>
      <c r="C84" s="2"/>
      <c r="D84" s="2"/>
      <c r="E84" s="2"/>
      <c r="F84" s="2"/>
      <c r="G84" s="2"/>
      <c r="H84" s="2"/>
      <c r="I84" s="2"/>
    </row>
    <row r="85" spans="2:9" ht="15.75" customHeight="1">
      <c r="B85" s="2"/>
      <c r="C85" s="2"/>
      <c r="D85" s="2"/>
      <c r="E85" s="2"/>
      <c r="F85" s="2"/>
      <c r="G85" s="2"/>
      <c r="H85" s="2"/>
      <c r="I85" s="2"/>
    </row>
    <row r="86" spans="2:9" ht="15.75" customHeight="1">
      <c r="B86" s="2"/>
      <c r="C86" s="2"/>
      <c r="D86" s="2"/>
      <c r="E86" s="2"/>
      <c r="F86" s="2"/>
      <c r="G86" s="2"/>
      <c r="H86" s="2"/>
      <c r="I86" s="2"/>
    </row>
    <row r="87" spans="2:9" ht="15.75" customHeight="1">
      <c r="B87" s="2"/>
      <c r="C87" s="2"/>
      <c r="D87" s="2"/>
      <c r="E87" s="2"/>
      <c r="F87" s="2"/>
      <c r="G87" s="2"/>
      <c r="H87" s="2"/>
      <c r="I87" s="2"/>
    </row>
    <row r="88" spans="2:9" ht="15.75" customHeight="1">
      <c r="B88" s="2"/>
      <c r="C88" s="2"/>
      <c r="D88" s="2"/>
      <c r="E88" s="2"/>
      <c r="F88" s="2"/>
      <c r="G88" s="2"/>
      <c r="H88" s="2"/>
      <c r="I88" s="2"/>
    </row>
    <row r="89" spans="2:9" ht="15.75" customHeight="1">
      <c r="B89" s="2"/>
      <c r="C89" s="2"/>
      <c r="D89" s="2"/>
      <c r="E89" s="2"/>
      <c r="F89" s="2"/>
      <c r="G89" s="2"/>
      <c r="H89" s="2"/>
      <c r="I89" s="2"/>
    </row>
    <row r="90" spans="2:9" ht="15.75" customHeight="1">
      <c r="B90" s="2"/>
      <c r="C90" s="2"/>
      <c r="D90" s="2"/>
      <c r="E90" s="2"/>
      <c r="F90" s="2"/>
      <c r="G90" s="2"/>
      <c r="H90" s="2"/>
      <c r="I90" s="2"/>
    </row>
    <row r="91" spans="2:9" ht="15.75" customHeight="1">
      <c r="B91" s="2"/>
      <c r="C91" s="2"/>
      <c r="D91" s="2"/>
      <c r="E91" s="2"/>
      <c r="F91" s="2"/>
      <c r="G91" s="2"/>
      <c r="H91" s="2"/>
      <c r="I91" s="2"/>
    </row>
    <row r="92" spans="2:9" ht="15.75" customHeight="1">
      <c r="B92" s="2"/>
      <c r="C92" s="2"/>
      <c r="D92" s="2"/>
      <c r="E92" s="2"/>
      <c r="F92" s="2"/>
      <c r="G92" s="2"/>
      <c r="H92" s="2"/>
      <c r="I92" s="2"/>
    </row>
    <row r="93" spans="2:9" ht="15.75" customHeight="1">
      <c r="B93" s="2"/>
      <c r="C93" s="2"/>
      <c r="D93" s="2"/>
      <c r="E93" s="2"/>
      <c r="F93" s="2"/>
      <c r="G93" s="2"/>
      <c r="H93" s="2"/>
      <c r="I93" s="2"/>
    </row>
    <row r="94" spans="2:9" ht="15.75" customHeight="1">
      <c r="B94" s="2"/>
      <c r="C94" s="2"/>
      <c r="D94" s="2"/>
      <c r="E94" s="2"/>
      <c r="F94" s="2"/>
      <c r="G94" s="2"/>
      <c r="H94" s="2"/>
      <c r="I94" s="2"/>
    </row>
    <row r="95" spans="2:9" ht="15.75" customHeight="1">
      <c r="B95" s="2"/>
      <c r="C95" s="2"/>
      <c r="D95" s="2"/>
      <c r="E95" s="2"/>
      <c r="F95" s="2"/>
      <c r="G95" s="2"/>
      <c r="H95" s="2"/>
      <c r="I95" s="2"/>
    </row>
    <row r="96" spans="2:9" ht="15.75" customHeight="1">
      <c r="B96" s="2"/>
      <c r="C96" s="2"/>
      <c r="D96" s="2"/>
      <c r="E96" s="2"/>
      <c r="F96" s="2"/>
      <c r="G96" s="2"/>
      <c r="H96" s="2"/>
      <c r="I96" s="2"/>
    </row>
    <row r="97" spans="2:9" ht="15.75" customHeight="1">
      <c r="B97" s="2"/>
      <c r="C97" s="2"/>
      <c r="D97" s="2"/>
      <c r="E97" s="2"/>
      <c r="F97" s="2"/>
      <c r="G97" s="2"/>
      <c r="H97" s="2"/>
      <c r="I97" s="2"/>
    </row>
    <row r="98" spans="2:9" ht="15.75" customHeight="1">
      <c r="B98" s="2"/>
      <c r="C98" s="2"/>
      <c r="D98" s="2"/>
      <c r="E98" s="2"/>
      <c r="F98" s="2"/>
      <c r="G98" s="2"/>
      <c r="H98" s="2"/>
      <c r="I98" s="2"/>
    </row>
    <row r="99" spans="2:9" ht="15.75" customHeight="1">
      <c r="B99" s="2"/>
      <c r="C99" s="2"/>
      <c r="D99" s="2"/>
      <c r="E99" s="2"/>
      <c r="F99" s="2"/>
      <c r="G99" s="2"/>
      <c r="H99" s="2"/>
      <c r="I99" s="2"/>
    </row>
    <row r="100" spans="2:9" ht="15.75" customHeight="1">
      <c r="B100" s="2"/>
      <c r="C100" s="2"/>
      <c r="D100" s="2"/>
      <c r="E100" s="2"/>
      <c r="F100" s="2"/>
      <c r="G100" s="2"/>
      <c r="H100" s="2"/>
      <c r="I100" s="2"/>
    </row>
    <row r="101" spans="2:9" ht="15.75" customHeight="1">
      <c r="B101" s="2"/>
      <c r="C101" s="2"/>
      <c r="D101" s="2"/>
      <c r="E101" s="2"/>
      <c r="F101" s="2"/>
      <c r="G101" s="2"/>
      <c r="H101" s="2"/>
      <c r="I101" s="2"/>
    </row>
    <row r="102" spans="2:9" ht="15.75" customHeight="1">
      <c r="B102" s="2"/>
      <c r="C102" s="2"/>
      <c r="D102" s="2"/>
      <c r="E102" s="2"/>
      <c r="F102" s="2"/>
      <c r="G102" s="2"/>
      <c r="H102" s="2"/>
      <c r="I102" s="2"/>
    </row>
    <row r="103" spans="2:9" ht="15.75" customHeight="1">
      <c r="B103" s="2"/>
      <c r="C103" s="2"/>
      <c r="D103" s="2"/>
      <c r="E103" s="2"/>
      <c r="F103" s="2"/>
      <c r="G103" s="2"/>
      <c r="H103" s="2"/>
      <c r="I103" s="2"/>
    </row>
    <row r="104" spans="2:9" ht="15.75" customHeight="1">
      <c r="B104" s="2"/>
      <c r="C104" s="2"/>
      <c r="D104" s="2"/>
      <c r="E104" s="2"/>
      <c r="F104" s="2"/>
      <c r="G104" s="2"/>
      <c r="H104" s="2"/>
      <c r="I104" s="2"/>
    </row>
    <row r="105" spans="2:9" ht="15.75" customHeight="1">
      <c r="B105" s="2"/>
      <c r="C105" s="2"/>
      <c r="D105" s="2"/>
      <c r="E105" s="2"/>
      <c r="F105" s="2"/>
      <c r="G105" s="2"/>
      <c r="H105" s="2"/>
      <c r="I105" s="2"/>
    </row>
    <row r="106" spans="2:9" ht="15.75" customHeight="1">
      <c r="B106" s="2"/>
      <c r="C106" s="2"/>
      <c r="D106" s="2"/>
      <c r="E106" s="2"/>
      <c r="F106" s="2"/>
      <c r="G106" s="2"/>
      <c r="H106" s="2"/>
      <c r="I106" s="2"/>
    </row>
    <row r="107" spans="2:9" ht="15.75" customHeight="1">
      <c r="B107" s="2"/>
      <c r="C107" s="2"/>
      <c r="D107" s="2"/>
      <c r="E107" s="2"/>
      <c r="F107" s="2"/>
      <c r="G107" s="2"/>
      <c r="H107" s="2"/>
      <c r="I107" s="2"/>
    </row>
    <row r="108" spans="2:9" ht="15.75" customHeight="1">
      <c r="B108" s="2"/>
      <c r="C108" s="2"/>
      <c r="D108" s="2"/>
      <c r="E108" s="2"/>
      <c r="F108" s="2"/>
      <c r="G108" s="2"/>
      <c r="H108" s="2"/>
      <c r="I108" s="2"/>
    </row>
    <row r="109" spans="2:9" ht="15.75" customHeight="1">
      <c r="B109" s="2"/>
      <c r="C109" s="2"/>
      <c r="D109" s="2"/>
      <c r="E109" s="2"/>
      <c r="F109" s="2"/>
      <c r="G109" s="2"/>
      <c r="H109" s="2"/>
      <c r="I109" s="2"/>
    </row>
    <row r="110" spans="2:9" ht="15.75" customHeight="1">
      <c r="B110" s="2"/>
      <c r="C110" s="2"/>
      <c r="D110" s="2"/>
      <c r="E110" s="2"/>
      <c r="F110" s="2"/>
      <c r="G110" s="2"/>
      <c r="H110" s="2"/>
      <c r="I110" s="2"/>
    </row>
    <row r="111" spans="2:9" ht="15.75" customHeight="1">
      <c r="B111" s="2"/>
      <c r="C111" s="2"/>
      <c r="D111" s="2"/>
      <c r="E111" s="2"/>
      <c r="F111" s="2"/>
      <c r="G111" s="2"/>
      <c r="H111" s="2"/>
      <c r="I111" s="2"/>
    </row>
    <row r="112" spans="2:9" ht="15.75" customHeight="1">
      <c r="B112" s="2"/>
      <c r="C112" s="2"/>
      <c r="D112" s="2"/>
      <c r="E112" s="2"/>
      <c r="F112" s="2"/>
      <c r="G112" s="2"/>
      <c r="H112" s="2"/>
      <c r="I112" s="2"/>
    </row>
    <row r="113" spans="2:9" ht="15.75" customHeight="1">
      <c r="B113" s="2"/>
      <c r="C113" s="2"/>
      <c r="D113" s="2"/>
      <c r="E113" s="2"/>
      <c r="F113" s="2"/>
      <c r="G113" s="2"/>
      <c r="H113" s="2"/>
      <c r="I113" s="2"/>
    </row>
    <row r="114" spans="2:9" ht="15.75" customHeight="1">
      <c r="B114" s="2"/>
      <c r="C114" s="2"/>
      <c r="D114" s="2"/>
      <c r="E114" s="2"/>
      <c r="F114" s="2"/>
      <c r="G114" s="2"/>
      <c r="H114" s="2"/>
      <c r="I114" s="2"/>
    </row>
    <row r="115" spans="2:9" ht="15.75" customHeight="1">
      <c r="B115" s="2"/>
      <c r="C115" s="2"/>
      <c r="D115" s="2"/>
      <c r="E115" s="2"/>
      <c r="F115" s="2"/>
      <c r="G115" s="2"/>
      <c r="H115" s="2"/>
      <c r="I115" s="2"/>
    </row>
    <row r="116" spans="2:9" ht="15.75" customHeight="1">
      <c r="B116" s="2"/>
      <c r="C116" s="2"/>
      <c r="D116" s="2"/>
      <c r="E116" s="2"/>
      <c r="F116" s="2"/>
      <c r="G116" s="2"/>
      <c r="H116" s="2"/>
      <c r="I116" s="2"/>
    </row>
    <row r="117" spans="2:9" ht="15.75" customHeight="1">
      <c r="B117" s="2"/>
      <c r="C117" s="2"/>
      <c r="D117" s="2"/>
      <c r="E117" s="2"/>
      <c r="F117" s="2"/>
      <c r="G117" s="2"/>
      <c r="H117" s="2"/>
      <c r="I117" s="2"/>
    </row>
    <row r="118" spans="2:9" ht="15.75" customHeight="1">
      <c r="B118" s="2"/>
      <c r="C118" s="2"/>
      <c r="D118" s="2"/>
      <c r="E118" s="2"/>
      <c r="F118" s="2"/>
      <c r="G118" s="2"/>
      <c r="H118" s="2"/>
      <c r="I118" s="2"/>
    </row>
    <row r="119" spans="2:9" ht="15.75" customHeight="1">
      <c r="B119" s="2"/>
      <c r="C119" s="2"/>
      <c r="D119" s="2"/>
      <c r="E119" s="2"/>
      <c r="F119" s="2"/>
      <c r="G119" s="2"/>
      <c r="H119" s="2"/>
      <c r="I119" s="2"/>
    </row>
    <row r="120" spans="2:9" ht="15.75" customHeight="1">
      <c r="B120" s="2"/>
      <c r="C120" s="2"/>
      <c r="D120" s="2"/>
      <c r="E120" s="2"/>
      <c r="F120" s="2"/>
      <c r="G120" s="2"/>
      <c r="H120" s="2"/>
      <c r="I120" s="2"/>
    </row>
    <row r="121" spans="2:9" ht="15.75" customHeight="1">
      <c r="B121" s="2"/>
      <c r="C121" s="2"/>
      <c r="D121" s="2"/>
      <c r="E121" s="2"/>
      <c r="F121" s="2"/>
      <c r="G121" s="2"/>
      <c r="H121" s="2"/>
      <c r="I121" s="2"/>
    </row>
    <row r="122" spans="2:9" ht="15.75" customHeight="1">
      <c r="B122" s="2"/>
      <c r="C122" s="2"/>
      <c r="D122" s="2"/>
      <c r="E122" s="2"/>
      <c r="F122" s="2"/>
      <c r="G122" s="2"/>
      <c r="H122" s="2"/>
      <c r="I122" s="2"/>
    </row>
    <row r="123" spans="2:9" ht="15.75" customHeight="1">
      <c r="B123" s="2"/>
      <c r="C123" s="2"/>
      <c r="D123" s="2"/>
      <c r="E123" s="2"/>
      <c r="F123" s="2"/>
      <c r="G123" s="2"/>
      <c r="H123" s="2"/>
      <c r="I123" s="2"/>
    </row>
    <row r="124" spans="2:9" ht="15.75" customHeight="1">
      <c r="B124" s="2"/>
      <c r="C124" s="2"/>
      <c r="D124" s="2"/>
      <c r="E124" s="2"/>
      <c r="F124" s="2"/>
      <c r="G124" s="2"/>
      <c r="H124" s="2"/>
      <c r="I124" s="2"/>
    </row>
    <row r="125" spans="2:9" ht="15.75" customHeight="1">
      <c r="B125" s="2"/>
      <c r="C125" s="2"/>
      <c r="D125" s="2"/>
      <c r="E125" s="2"/>
      <c r="F125" s="2"/>
      <c r="G125" s="2"/>
      <c r="H125" s="2"/>
      <c r="I125" s="2"/>
    </row>
    <row r="126" spans="2:9" ht="15.75" customHeight="1">
      <c r="B126" s="2"/>
      <c r="C126" s="2"/>
      <c r="D126" s="2"/>
      <c r="E126" s="2"/>
      <c r="F126" s="2"/>
      <c r="G126" s="2"/>
      <c r="H126" s="2"/>
      <c r="I126" s="2"/>
    </row>
    <row r="127" spans="2:9" ht="15.75" customHeight="1">
      <c r="B127" s="2"/>
      <c r="C127" s="2"/>
      <c r="D127" s="2"/>
      <c r="E127" s="2"/>
      <c r="F127" s="2"/>
      <c r="G127" s="2"/>
      <c r="H127" s="2"/>
      <c r="I127" s="2"/>
    </row>
    <row r="128" spans="2:9" ht="15.75" customHeight="1">
      <c r="B128" s="2"/>
      <c r="C128" s="2"/>
      <c r="D128" s="2"/>
      <c r="E128" s="2"/>
      <c r="F128" s="2"/>
      <c r="G128" s="2"/>
      <c r="H128" s="2"/>
      <c r="I128" s="2"/>
    </row>
    <row r="129" spans="2:9" ht="15.75" customHeight="1">
      <c r="B129" s="2"/>
      <c r="C129" s="2"/>
      <c r="D129" s="2"/>
      <c r="E129" s="2"/>
      <c r="F129" s="2"/>
      <c r="G129" s="2"/>
      <c r="H129" s="2"/>
      <c r="I129" s="2"/>
    </row>
    <row r="130" spans="2:9" ht="15.75" customHeight="1">
      <c r="B130" s="2"/>
      <c r="C130" s="2"/>
      <c r="D130" s="2"/>
      <c r="E130" s="2"/>
      <c r="F130" s="2"/>
      <c r="G130" s="2"/>
      <c r="H130" s="2"/>
      <c r="I130" s="2"/>
    </row>
    <row r="131" spans="2:9" ht="15.75" customHeight="1">
      <c r="B131" s="2"/>
      <c r="C131" s="2"/>
      <c r="D131" s="2"/>
      <c r="E131" s="2"/>
      <c r="F131" s="2"/>
      <c r="G131" s="2"/>
      <c r="H131" s="2"/>
      <c r="I131" s="2"/>
    </row>
    <row r="132" spans="2:9" ht="15.75" customHeight="1">
      <c r="B132" s="2"/>
      <c r="C132" s="2"/>
      <c r="D132" s="2"/>
      <c r="E132" s="2"/>
      <c r="F132" s="2"/>
      <c r="G132" s="2"/>
      <c r="H132" s="2"/>
      <c r="I132" s="2"/>
    </row>
    <row r="133" spans="2:9" ht="15.75" customHeight="1">
      <c r="B133" s="2"/>
      <c r="C133" s="2"/>
      <c r="D133" s="2"/>
      <c r="E133" s="2"/>
      <c r="F133" s="2"/>
      <c r="G133" s="2"/>
      <c r="H133" s="2"/>
      <c r="I133" s="2"/>
    </row>
    <row r="134" spans="2:9" ht="15.75" customHeight="1">
      <c r="B134" s="2"/>
      <c r="C134" s="2"/>
      <c r="D134" s="2"/>
      <c r="E134" s="2"/>
      <c r="F134" s="2"/>
      <c r="G134" s="2"/>
      <c r="H134" s="2"/>
      <c r="I134" s="2"/>
    </row>
    <row r="135" spans="2:9" ht="15.75" customHeight="1">
      <c r="B135" s="2"/>
      <c r="C135" s="2"/>
      <c r="D135" s="2"/>
      <c r="E135" s="2"/>
      <c r="F135" s="2"/>
      <c r="G135" s="2"/>
      <c r="H135" s="2"/>
      <c r="I135" s="2"/>
    </row>
    <row r="136" spans="2:9" ht="15.75" customHeight="1">
      <c r="B136" s="2"/>
      <c r="C136" s="2"/>
      <c r="D136" s="2"/>
      <c r="E136" s="2"/>
      <c r="F136" s="2"/>
      <c r="G136" s="2"/>
      <c r="H136" s="2"/>
      <c r="I136" s="2"/>
    </row>
    <row r="137" spans="2:9" ht="15.75" customHeight="1">
      <c r="B137" s="2"/>
      <c r="C137" s="2"/>
      <c r="D137" s="2"/>
      <c r="E137" s="2"/>
      <c r="F137" s="2"/>
      <c r="G137" s="2"/>
      <c r="H137" s="2"/>
      <c r="I137" s="2"/>
    </row>
    <row r="138" spans="2:9" ht="15.75" customHeight="1">
      <c r="B138" s="2"/>
      <c r="C138" s="2"/>
      <c r="D138" s="2"/>
      <c r="E138" s="2"/>
      <c r="F138" s="2"/>
      <c r="G138" s="2"/>
      <c r="H138" s="2"/>
      <c r="I138" s="2"/>
    </row>
    <row r="139" spans="2:9" ht="15.75" customHeight="1">
      <c r="B139" s="2"/>
      <c r="C139" s="2"/>
      <c r="D139" s="2"/>
      <c r="E139" s="2"/>
      <c r="F139" s="2"/>
      <c r="G139" s="2"/>
      <c r="H139" s="2"/>
      <c r="I139" s="2"/>
    </row>
    <row r="140" spans="2:9" ht="15.75" customHeight="1">
      <c r="B140" s="2"/>
      <c r="C140" s="2"/>
      <c r="D140" s="2"/>
      <c r="E140" s="2"/>
      <c r="F140" s="2"/>
      <c r="G140" s="2"/>
      <c r="H140" s="2"/>
      <c r="I140" s="2"/>
    </row>
    <row r="141" spans="2:9" ht="15.75" customHeight="1">
      <c r="B141" s="2"/>
      <c r="C141" s="2"/>
      <c r="D141" s="2"/>
      <c r="E141" s="2"/>
      <c r="F141" s="2"/>
      <c r="G141" s="2"/>
      <c r="H141" s="2"/>
      <c r="I141" s="2"/>
    </row>
    <row r="142" spans="2:9" ht="15.75" customHeight="1">
      <c r="B142" s="2"/>
      <c r="C142" s="2"/>
      <c r="D142" s="2"/>
      <c r="E142" s="2"/>
      <c r="F142" s="2"/>
      <c r="G142" s="2"/>
      <c r="H142" s="2"/>
      <c r="I142" s="2"/>
    </row>
    <row r="143" spans="2:9" ht="15.75" customHeight="1">
      <c r="B143" s="2"/>
      <c r="C143" s="2"/>
      <c r="D143" s="2"/>
      <c r="E143" s="2"/>
      <c r="F143" s="2"/>
      <c r="G143" s="2"/>
      <c r="H143" s="2"/>
      <c r="I143" s="2"/>
    </row>
    <row r="144" spans="2:9" ht="15.75" customHeight="1">
      <c r="B144" s="2"/>
      <c r="C144" s="2"/>
      <c r="D144" s="2"/>
      <c r="E144" s="2"/>
      <c r="F144" s="2"/>
      <c r="G144" s="2"/>
      <c r="H144" s="2"/>
      <c r="I144" s="2"/>
    </row>
    <row r="145" spans="2:9" ht="15.75" customHeight="1">
      <c r="B145" s="2"/>
      <c r="C145" s="2"/>
      <c r="D145" s="2"/>
      <c r="E145" s="2"/>
      <c r="F145" s="2"/>
      <c r="G145" s="2"/>
      <c r="H145" s="2"/>
      <c r="I145" s="2"/>
    </row>
    <row r="146" spans="2:9" ht="15.75" customHeight="1">
      <c r="B146" s="2"/>
      <c r="C146" s="2"/>
      <c r="D146" s="2"/>
      <c r="E146" s="2"/>
      <c r="F146" s="2"/>
      <c r="G146" s="2"/>
      <c r="H146" s="2"/>
      <c r="I146" s="2"/>
    </row>
    <row r="147" spans="2:9" ht="15.75" customHeight="1">
      <c r="B147" s="2"/>
      <c r="C147" s="2"/>
      <c r="D147" s="2"/>
      <c r="E147" s="2"/>
      <c r="F147" s="2"/>
      <c r="G147" s="2"/>
      <c r="H147" s="2"/>
      <c r="I147" s="2"/>
    </row>
    <row r="148" spans="2:9" ht="15.75" customHeight="1">
      <c r="B148" s="2"/>
      <c r="C148" s="2"/>
      <c r="D148" s="2"/>
      <c r="E148" s="2"/>
      <c r="F148" s="2"/>
      <c r="G148" s="2"/>
      <c r="H148" s="2"/>
      <c r="I148" s="2"/>
    </row>
    <row r="149" spans="2:9" ht="15.75" customHeight="1">
      <c r="B149" s="2"/>
      <c r="C149" s="2"/>
      <c r="D149" s="2"/>
      <c r="E149" s="2"/>
      <c r="F149" s="2"/>
      <c r="G149" s="2"/>
      <c r="H149" s="2"/>
      <c r="I149" s="2"/>
    </row>
    <row r="150" spans="2:9" ht="15.75" customHeight="1">
      <c r="B150" s="2"/>
      <c r="C150" s="2"/>
      <c r="D150" s="2"/>
      <c r="E150" s="2"/>
      <c r="F150" s="2"/>
      <c r="G150" s="2"/>
      <c r="H150" s="2"/>
      <c r="I150" s="2"/>
    </row>
    <row r="151" spans="2:9" ht="15.75" customHeight="1">
      <c r="B151" s="2"/>
      <c r="C151" s="2"/>
      <c r="D151" s="2"/>
      <c r="E151" s="2"/>
      <c r="F151" s="2"/>
      <c r="G151" s="2"/>
      <c r="H151" s="2"/>
      <c r="I151" s="2"/>
    </row>
    <row r="152" spans="2:9" ht="15.75" customHeight="1">
      <c r="B152" s="2"/>
      <c r="C152" s="2"/>
      <c r="D152" s="2"/>
      <c r="E152" s="2"/>
      <c r="F152" s="2"/>
      <c r="G152" s="2"/>
      <c r="H152" s="2"/>
      <c r="I152" s="2"/>
    </row>
    <row r="153" spans="2:9" ht="15.75" customHeight="1">
      <c r="B153" s="2"/>
      <c r="C153" s="2"/>
      <c r="D153" s="2"/>
      <c r="E153" s="2"/>
      <c r="F153" s="2"/>
      <c r="G153" s="2"/>
      <c r="H153" s="2"/>
      <c r="I153" s="2"/>
    </row>
    <row r="154" spans="2:9" ht="15.75" customHeight="1">
      <c r="B154" s="2"/>
      <c r="C154" s="2"/>
      <c r="D154" s="2"/>
      <c r="E154" s="2"/>
      <c r="F154" s="2"/>
      <c r="G154" s="2"/>
      <c r="H154" s="2"/>
      <c r="I154" s="2"/>
    </row>
    <row r="155" spans="2:9" ht="15.75" customHeight="1">
      <c r="B155" s="2"/>
      <c r="C155" s="2"/>
      <c r="D155" s="2"/>
      <c r="E155" s="2"/>
      <c r="F155" s="2"/>
      <c r="G155" s="2"/>
      <c r="H155" s="2"/>
      <c r="I155" s="2"/>
    </row>
    <row r="156" spans="2:9" ht="15.75" customHeight="1">
      <c r="B156" s="2"/>
      <c r="C156" s="2"/>
      <c r="D156" s="2"/>
      <c r="E156" s="2"/>
      <c r="F156" s="2"/>
      <c r="G156" s="2"/>
      <c r="H156" s="2"/>
      <c r="I156" s="2"/>
    </row>
    <row r="157" spans="2:9" ht="15.75" customHeight="1">
      <c r="B157" s="2"/>
      <c r="C157" s="2"/>
      <c r="D157" s="2"/>
      <c r="E157" s="2"/>
      <c r="F157" s="2"/>
      <c r="G157" s="2"/>
      <c r="H157" s="2"/>
      <c r="I157" s="2"/>
    </row>
    <row r="158" spans="2:9" ht="15.75" customHeight="1">
      <c r="B158" s="2"/>
      <c r="C158" s="2"/>
      <c r="D158" s="2"/>
      <c r="E158" s="2"/>
      <c r="F158" s="2"/>
      <c r="G158" s="2"/>
      <c r="H158" s="2"/>
      <c r="I158" s="2"/>
    </row>
    <row r="159" spans="2:9" ht="15.75" customHeight="1">
      <c r="B159" s="2"/>
      <c r="C159" s="2"/>
      <c r="D159" s="2"/>
      <c r="E159" s="2"/>
      <c r="F159" s="2"/>
      <c r="G159" s="2"/>
      <c r="H159" s="2"/>
      <c r="I159" s="2"/>
    </row>
    <row r="160" spans="2:9" ht="15.75" customHeight="1">
      <c r="B160" s="2"/>
      <c r="C160" s="2"/>
      <c r="D160" s="2"/>
      <c r="E160" s="2"/>
      <c r="F160" s="2"/>
      <c r="G160" s="2"/>
      <c r="H160" s="2"/>
      <c r="I160" s="2"/>
    </row>
    <row r="161" spans="2:9" ht="15.75" customHeight="1">
      <c r="B161" s="2"/>
      <c r="C161" s="2"/>
      <c r="D161" s="2"/>
      <c r="E161" s="2"/>
      <c r="F161" s="2"/>
      <c r="G161" s="2"/>
      <c r="H161" s="2"/>
      <c r="I161" s="2"/>
    </row>
    <row r="162" spans="2:9" ht="15.75" customHeight="1">
      <c r="B162" s="2"/>
      <c r="C162" s="2"/>
      <c r="D162" s="2"/>
      <c r="E162" s="2"/>
      <c r="F162" s="2"/>
      <c r="G162" s="2"/>
      <c r="H162" s="2"/>
      <c r="I162" s="2"/>
    </row>
    <row r="163" spans="2:9" ht="15.75" customHeight="1">
      <c r="B163" s="2"/>
      <c r="C163" s="2"/>
      <c r="D163" s="2"/>
      <c r="E163" s="2"/>
      <c r="F163" s="2"/>
      <c r="G163" s="2"/>
      <c r="H163" s="2"/>
      <c r="I163" s="2"/>
    </row>
    <row r="164" spans="2:9" ht="15.75" customHeight="1">
      <c r="B164" s="2"/>
      <c r="C164" s="2"/>
      <c r="D164" s="2"/>
      <c r="E164" s="2"/>
      <c r="F164" s="2"/>
      <c r="G164" s="2"/>
      <c r="H164" s="2"/>
      <c r="I164" s="2"/>
    </row>
    <row r="165" spans="2:9" ht="15.75" customHeight="1">
      <c r="B165" s="2"/>
      <c r="C165" s="2"/>
      <c r="D165" s="2"/>
      <c r="E165" s="2"/>
      <c r="F165" s="2"/>
      <c r="G165" s="2"/>
      <c r="H165" s="2"/>
      <c r="I165" s="2"/>
    </row>
    <row r="166" spans="2:9" ht="15.75" customHeight="1">
      <c r="B166" s="2"/>
      <c r="C166" s="2"/>
      <c r="D166" s="2"/>
      <c r="E166" s="2"/>
      <c r="F166" s="2"/>
      <c r="G166" s="2"/>
      <c r="H166" s="2"/>
      <c r="I166" s="2"/>
    </row>
    <row r="167" spans="2:9" ht="15.75" customHeight="1">
      <c r="B167" s="2"/>
      <c r="C167" s="2"/>
      <c r="D167" s="2"/>
      <c r="E167" s="2"/>
      <c r="F167" s="2"/>
      <c r="G167" s="2"/>
      <c r="H167" s="2"/>
      <c r="I167" s="2"/>
    </row>
    <row r="168" spans="2:9" ht="15.75" customHeight="1">
      <c r="B168" s="2"/>
      <c r="C168" s="2"/>
      <c r="D168" s="2"/>
      <c r="E168" s="2"/>
      <c r="F168" s="2"/>
      <c r="G168" s="2"/>
      <c r="H168" s="2"/>
      <c r="I168" s="2"/>
    </row>
    <row r="169" spans="2:9" ht="15.75" customHeight="1">
      <c r="B169" s="2"/>
      <c r="C169" s="2"/>
      <c r="D169" s="2"/>
      <c r="E169" s="2"/>
      <c r="F169" s="2"/>
      <c r="G169" s="2"/>
      <c r="H169" s="2"/>
      <c r="I169" s="2"/>
    </row>
    <row r="170" spans="2:9" ht="15.75" customHeight="1">
      <c r="B170" s="2"/>
      <c r="C170" s="2"/>
      <c r="D170" s="2"/>
      <c r="E170" s="2"/>
      <c r="F170" s="2"/>
      <c r="G170" s="2"/>
      <c r="H170" s="2"/>
      <c r="I170" s="2"/>
    </row>
    <row r="171" spans="2:9" ht="15.75" customHeight="1">
      <c r="B171" s="2"/>
      <c r="C171" s="2"/>
      <c r="D171" s="2"/>
      <c r="E171" s="2"/>
      <c r="F171" s="2"/>
      <c r="G171" s="2"/>
      <c r="H171" s="2"/>
      <c r="I171" s="2"/>
    </row>
    <row r="172" spans="2:9" ht="15.75" customHeight="1">
      <c r="B172" s="2"/>
      <c r="C172" s="2"/>
      <c r="D172" s="2"/>
      <c r="E172" s="2"/>
      <c r="F172" s="2"/>
      <c r="G172" s="2"/>
      <c r="H172" s="2"/>
      <c r="I172" s="2"/>
    </row>
    <row r="173" spans="2:9" ht="15.75" customHeight="1">
      <c r="B173" s="2"/>
      <c r="C173" s="2"/>
      <c r="D173" s="2"/>
      <c r="E173" s="2"/>
      <c r="F173" s="2"/>
      <c r="G173" s="2"/>
      <c r="H173" s="2"/>
      <c r="I173" s="2"/>
    </row>
    <row r="174" spans="2:9" ht="15.75" customHeight="1">
      <c r="B174" s="2"/>
      <c r="C174" s="2"/>
      <c r="D174" s="2"/>
      <c r="E174" s="2"/>
      <c r="F174" s="2"/>
      <c r="G174" s="2"/>
      <c r="H174" s="2"/>
      <c r="I174" s="2"/>
    </row>
    <row r="175" spans="2:9" ht="15.75" customHeight="1">
      <c r="B175" s="2"/>
      <c r="C175" s="2"/>
      <c r="D175" s="2"/>
      <c r="E175" s="2"/>
      <c r="F175" s="2"/>
      <c r="G175" s="2"/>
      <c r="H175" s="2"/>
      <c r="I175" s="2"/>
    </row>
    <row r="176" spans="2:9" ht="15.75" customHeight="1">
      <c r="B176" s="2"/>
      <c r="C176" s="2"/>
      <c r="D176" s="2"/>
      <c r="E176" s="2"/>
      <c r="F176" s="2"/>
      <c r="G176" s="2"/>
      <c r="H176" s="2"/>
      <c r="I176" s="2"/>
    </row>
    <row r="177" spans="2:9" ht="15.75" customHeight="1">
      <c r="B177" s="2"/>
      <c r="C177" s="2"/>
      <c r="D177" s="2"/>
      <c r="E177" s="2"/>
      <c r="F177" s="2"/>
      <c r="G177" s="2"/>
      <c r="H177" s="2"/>
      <c r="I177" s="2"/>
    </row>
    <row r="178" spans="2:9" ht="15.75" customHeight="1">
      <c r="B178" s="2"/>
      <c r="C178" s="2"/>
      <c r="D178" s="2"/>
      <c r="E178" s="2"/>
      <c r="F178" s="2"/>
      <c r="G178" s="2"/>
      <c r="H178" s="2"/>
      <c r="I178" s="2"/>
    </row>
    <row r="179" spans="2:9" ht="15.75" customHeight="1">
      <c r="B179" s="2"/>
      <c r="C179" s="2"/>
      <c r="D179" s="2"/>
      <c r="E179" s="2"/>
      <c r="F179" s="2"/>
      <c r="G179" s="2"/>
      <c r="H179" s="2"/>
      <c r="I179" s="2"/>
    </row>
    <row r="180" spans="2:9" ht="15.75" customHeight="1">
      <c r="B180" s="2"/>
      <c r="C180" s="2"/>
      <c r="D180" s="2"/>
      <c r="E180" s="2"/>
      <c r="F180" s="2"/>
      <c r="G180" s="2"/>
      <c r="H180" s="2"/>
      <c r="I180" s="2"/>
    </row>
    <row r="181" spans="2:9" ht="15.75" customHeight="1">
      <c r="B181" s="2"/>
      <c r="C181" s="2"/>
      <c r="D181" s="2"/>
      <c r="E181" s="2"/>
      <c r="F181" s="2"/>
      <c r="G181" s="2"/>
      <c r="H181" s="2"/>
      <c r="I181" s="2"/>
    </row>
    <row r="182" spans="2:9" ht="15.75" customHeight="1">
      <c r="B182" s="2"/>
      <c r="C182" s="2"/>
      <c r="D182" s="2"/>
      <c r="E182" s="2"/>
      <c r="F182" s="2"/>
      <c r="G182" s="2"/>
      <c r="H182" s="2"/>
      <c r="I182" s="2"/>
    </row>
    <row r="183" spans="2:9" ht="15.75" customHeight="1">
      <c r="B183" s="2"/>
      <c r="C183" s="2"/>
      <c r="D183" s="2"/>
      <c r="E183" s="2"/>
      <c r="F183" s="2"/>
      <c r="G183" s="2"/>
      <c r="H183" s="2"/>
      <c r="I183" s="2"/>
    </row>
    <row r="184" spans="2:9" ht="15.75" customHeight="1">
      <c r="B184" s="2"/>
      <c r="C184" s="2"/>
      <c r="D184" s="2"/>
      <c r="E184" s="2"/>
      <c r="F184" s="2"/>
      <c r="G184" s="2"/>
      <c r="H184" s="2"/>
      <c r="I184" s="2"/>
    </row>
    <row r="185" spans="2:9" ht="15.75" customHeight="1">
      <c r="B185" s="2"/>
      <c r="C185" s="2"/>
      <c r="D185" s="2"/>
      <c r="E185" s="2"/>
      <c r="F185" s="2"/>
      <c r="G185" s="2"/>
      <c r="H185" s="2"/>
      <c r="I185" s="2"/>
    </row>
    <row r="186" spans="2:9" ht="15.75" customHeight="1">
      <c r="B186" s="2"/>
      <c r="C186" s="2"/>
      <c r="D186" s="2"/>
      <c r="E186" s="2"/>
      <c r="F186" s="2"/>
      <c r="G186" s="2"/>
      <c r="H186" s="2"/>
      <c r="I186" s="2"/>
    </row>
    <row r="187" spans="2:9" ht="15.75" customHeight="1">
      <c r="B187" s="2"/>
      <c r="C187" s="2"/>
      <c r="D187" s="2"/>
      <c r="E187" s="2"/>
      <c r="F187" s="2"/>
      <c r="G187" s="2"/>
      <c r="H187" s="2"/>
      <c r="I187" s="2"/>
    </row>
    <row r="188" spans="2:9" ht="15.75" customHeight="1">
      <c r="B188" s="2"/>
      <c r="C188" s="2"/>
      <c r="D188" s="2"/>
      <c r="E188" s="2"/>
      <c r="F188" s="2"/>
      <c r="G188" s="2"/>
      <c r="H188" s="2"/>
      <c r="I188" s="2"/>
    </row>
    <row r="189" spans="2:9" ht="15.75" customHeight="1">
      <c r="B189" s="2"/>
      <c r="C189" s="2"/>
      <c r="D189" s="2"/>
      <c r="E189" s="2"/>
      <c r="F189" s="2"/>
      <c r="G189" s="2"/>
      <c r="H189" s="2"/>
      <c r="I189" s="2"/>
    </row>
    <row r="190" spans="2:9" ht="15.75" customHeight="1">
      <c r="B190" s="2"/>
      <c r="C190" s="2"/>
      <c r="D190" s="2"/>
      <c r="E190" s="2"/>
      <c r="F190" s="2"/>
      <c r="G190" s="2"/>
      <c r="H190" s="2"/>
      <c r="I190" s="2"/>
    </row>
    <row r="191" spans="2:9" ht="15.75" customHeight="1">
      <c r="B191" s="2"/>
      <c r="C191" s="2"/>
      <c r="D191" s="2"/>
      <c r="E191" s="2"/>
      <c r="F191" s="2"/>
      <c r="G191" s="2"/>
      <c r="H191" s="2"/>
      <c r="I191" s="2"/>
    </row>
    <row r="192" spans="2:9" ht="15.75" customHeight="1">
      <c r="B192" s="2"/>
      <c r="C192" s="2"/>
      <c r="D192" s="2"/>
      <c r="E192" s="2"/>
      <c r="F192" s="2"/>
      <c r="G192" s="2"/>
      <c r="H192" s="2"/>
      <c r="I192" s="2"/>
    </row>
    <row r="193" spans="2:9" ht="15.75" customHeight="1">
      <c r="B193" s="2"/>
      <c r="C193" s="2"/>
      <c r="D193" s="2"/>
      <c r="E193" s="2"/>
      <c r="F193" s="2"/>
      <c r="G193" s="2"/>
      <c r="H193" s="2"/>
      <c r="I193" s="2"/>
    </row>
    <row r="194" spans="2:9" ht="15.75" customHeight="1">
      <c r="B194" s="2"/>
      <c r="C194" s="2"/>
      <c r="D194" s="2"/>
      <c r="E194" s="2"/>
      <c r="F194" s="2"/>
      <c r="G194" s="2"/>
      <c r="H194" s="2"/>
      <c r="I194" s="2"/>
    </row>
    <row r="195" spans="2:9" ht="15.75" customHeight="1">
      <c r="B195" s="2"/>
      <c r="C195" s="2"/>
      <c r="D195" s="2"/>
      <c r="E195" s="2"/>
      <c r="F195" s="2"/>
      <c r="G195" s="2"/>
      <c r="H195" s="2"/>
      <c r="I195" s="2"/>
    </row>
    <row r="196" spans="2:9" ht="15.75" customHeight="1">
      <c r="B196" s="2"/>
      <c r="C196" s="2"/>
      <c r="D196" s="2"/>
      <c r="E196" s="2"/>
      <c r="F196" s="2"/>
      <c r="G196" s="2"/>
      <c r="H196" s="2"/>
      <c r="I196" s="2"/>
    </row>
    <row r="197" spans="2:9" ht="15.75" customHeight="1">
      <c r="B197" s="2"/>
      <c r="C197" s="2"/>
      <c r="D197" s="2"/>
      <c r="E197" s="2"/>
      <c r="F197" s="2"/>
      <c r="G197" s="2"/>
      <c r="H197" s="2"/>
      <c r="I197" s="2"/>
    </row>
    <row r="198" spans="2:9" ht="15.75" customHeight="1">
      <c r="B198" s="2"/>
      <c r="C198" s="2"/>
      <c r="D198" s="2"/>
      <c r="E198" s="2"/>
      <c r="F198" s="2"/>
      <c r="G198" s="2"/>
      <c r="H198" s="2"/>
      <c r="I198" s="2"/>
    </row>
    <row r="199" spans="2:9" ht="15.75" customHeight="1">
      <c r="B199" s="2"/>
      <c r="C199" s="2"/>
      <c r="D199" s="2"/>
      <c r="E199" s="2"/>
      <c r="F199" s="2"/>
      <c r="G199" s="2"/>
      <c r="H199" s="2"/>
      <c r="I199" s="2"/>
    </row>
    <row r="200" spans="2:9" ht="15.75" customHeight="1">
      <c r="B200" s="2"/>
      <c r="C200" s="2"/>
      <c r="D200" s="2"/>
      <c r="E200" s="2"/>
      <c r="F200" s="2"/>
      <c r="G200" s="2"/>
      <c r="H200" s="2"/>
      <c r="I200" s="2"/>
    </row>
    <row r="201" spans="2:9" ht="15.75" customHeight="1">
      <c r="B201" s="2"/>
      <c r="C201" s="2"/>
      <c r="D201" s="2"/>
      <c r="E201" s="2"/>
      <c r="F201" s="2"/>
      <c r="G201" s="2"/>
      <c r="H201" s="2"/>
      <c r="I201" s="2"/>
    </row>
    <row r="202" spans="2:9" ht="15.75" customHeight="1">
      <c r="B202" s="2"/>
      <c r="C202" s="2"/>
      <c r="D202" s="2"/>
      <c r="E202" s="2"/>
      <c r="F202" s="2"/>
      <c r="G202" s="2"/>
      <c r="H202" s="2"/>
      <c r="I202" s="2"/>
    </row>
    <row r="203" spans="2:9" ht="15.75" customHeight="1">
      <c r="B203" s="2"/>
      <c r="C203" s="2"/>
      <c r="D203" s="2"/>
      <c r="E203" s="2"/>
      <c r="F203" s="2"/>
      <c r="G203" s="2"/>
      <c r="H203" s="2"/>
      <c r="I203" s="2"/>
    </row>
    <row r="204" spans="2:9" ht="15.75" customHeight="1">
      <c r="B204" s="2"/>
      <c r="C204" s="2"/>
      <c r="D204" s="2"/>
      <c r="E204" s="2"/>
      <c r="F204" s="2"/>
      <c r="G204" s="2"/>
      <c r="H204" s="2"/>
      <c r="I204" s="2"/>
    </row>
    <row r="205" spans="2:9" ht="15.75" customHeight="1">
      <c r="B205" s="2"/>
      <c r="C205" s="2"/>
      <c r="D205" s="2"/>
      <c r="E205" s="2"/>
      <c r="F205" s="2"/>
      <c r="G205" s="2"/>
      <c r="H205" s="2"/>
      <c r="I205" s="2"/>
    </row>
    <row r="206" spans="2:9" ht="15.75" customHeight="1">
      <c r="B206" s="2"/>
      <c r="C206" s="2"/>
      <c r="D206" s="2"/>
      <c r="E206" s="2"/>
      <c r="F206" s="2"/>
      <c r="G206" s="2"/>
      <c r="H206" s="2"/>
      <c r="I206" s="2"/>
    </row>
    <row r="207" spans="2:9" ht="15.75" customHeight="1">
      <c r="B207" s="2"/>
      <c r="C207" s="2"/>
      <c r="D207" s="2"/>
      <c r="E207" s="2"/>
      <c r="F207" s="2"/>
      <c r="G207" s="2"/>
      <c r="H207" s="2"/>
      <c r="I207" s="2"/>
    </row>
    <row r="208" spans="2:9" ht="15.75" customHeight="1">
      <c r="B208" s="2"/>
      <c r="C208" s="2"/>
      <c r="D208" s="2"/>
      <c r="E208" s="2"/>
      <c r="F208" s="2"/>
      <c r="G208" s="2"/>
      <c r="H208" s="2"/>
      <c r="I208" s="2"/>
    </row>
    <row r="209" spans="2:9" ht="15.75" customHeight="1">
      <c r="B209" s="2"/>
      <c r="C209" s="2"/>
      <c r="D209" s="2"/>
      <c r="E209" s="2"/>
      <c r="F209" s="2"/>
      <c r="G209" s="2"/>
      <c r="H209" s="2"/>
      <c r="I209" s="2"/>
    </row>
    <row r="210" spans="2:9" ht="15.75" customHeight="1">
      <c r="B210" s="2"/>
      <c r="C210" s="2"/>
      <c r="D210" s="2"/>
      <c r="E210" s="2"/>
      <c r="F210" s="2"/>
      <c r="G210" s="2"/>
      <c r="H210" s="2"/>
      <c r="I210" s="2"/>
    </row>
    <row r="211" spans="2:9" ht="15.75" customHeight="1">
      <c r="B211" s="2"/>
      <c r="C211" s="2"/>
      <c r="D211" s="2"/>
      <c r="E211" s="2"/>
      <c r="F211" s="2"/>
      <c r="G211" s="2"/>
      <c r="H211" s="2"/>
      <c r="I211" s="2"/>
    </row>
    <row r="212" spans="2:9" ht="15.75" customHeight="1">
      <c r="B212" s="2"/>
      <c r="C212" s="2"/>
      <c r="D212" s="2"/>
      <c r="E212" s="2"/>
      <c r="F212" s="2"/>
      <c r="G212" s="2"/>
      <c r="H212" s="2"/>
      <c r="I212" s="2"/>
    </row>
    <row r="213" spans="2:9" ht="15.75" customHeight="1">
      <c r="B213" s="2"/>
      <c r="C213" s="2"/>
      <c r="D213" s="2"/>
      <c r="E213" s="2"/>
      <c r="F213" s="2"/>
      <c r="G213" s="2"/>
      <c r="H213" s="2"/>
      <c r="I213" s="2"/>
    </row>
    <row r="214" spans="2:9" ht="15.75" customHeight="1">
      <c r="B214" s="2"/>
      <c r="C214" s="2"/>
      <c r="D214" s="2"/>
      <c r="E214" s="2"/>
      <c r="F214" s="2"/>
      <c r="G214" s="2"/>
      <c r="H214" s="2"/>
      <c r="I214" s="2"/>
    </row>
    <row r="215" spans="2:9" ht="15.75" customHeight="1">
      <c r="B215" s="2"/>
      <c r="C215" s="2"/>
      <c r="D215" s="2"/>
      <c r="E215" s="2"/>
      <c r="F215" s="2"/>
      <c r="G215" s="2"/>
      <c r="H215" s="2"/>
      <c r="I215" s="2"/>
    </row>
    <row r="216" spans="2:9" ht="15.75" customHeight="1">
      <c r="B216" s="2"/>
      <c r="C216" s="2"/>
      <c r="D216" s="2"/>
      <c r="E216" s="2"/>
      <c r="F216" s="2"/>
      <c r="G216" s="2"/>
      <c r="H216" s="2"/>
      <c r="I216" s="2"/>
    </row>
    <row r="217" spans="2:9" ht="15.75" customHeight="1">
      <c r="B217" s="2"/>
      <c r="C217" s="2"/>
      <c r="D217" s="2"/>
      <c r="E217" s="2"/>
      <c r="F217" s="2"/>
      <c r="G217" s="2"/>
      <c r="H217" s="2"/>
      <c r="I217" s="2"/>
    </row>
    <row r="218" spans="2:9" ht="15.75" customHeight="1">
      <c r="B218" s="2"/>
      <c r="C218" s="2"/>
      <c r="D218" s="2"/>
      <c r="E218" s="2"/>
      <c r="F218" s="2"/>
      <c r="G218" s="2"/>
      <c r="H218" s="2"/>
      <c r="I218" s="2"/>
    </row>
    <row r="219" spans="2:9" ht="15.75" customHeight="1">
      <c r="B219" s="2"/>
      <c r="C219" s="2"/>
      <c r="D219" s="2"/>
      <c r="E219" s="2"/>
      <c r="F219" s="2"/>
      <c r="G219" s="2"/>
      <c r="H219" s="2"/>
      <c r="I219" s="2"/>
    </row>
    <row r="220" spans="2:9" ht="15.75" customHeight="1">
      <c r="B220" s="2"/>
      <c r="C220" s="2"/>
      <c r="D220" s="2"/>
      <c r="E220" s="2"/>
      <c r="F220" s="2"/>
      <c r="G220" s="2"/>
      <c r="H220" s="2"/>
      <c r="I220" s="2"/>
    </row>
    <row r="221" spans="2:9" ht="15.75" customHeight="1">
      <c r="B221" s="2"/>
      <c r="C221" s="2"/>
      <c r="D221" s="2"/>
      <c r="E221" s="2"/>
      <c r="F221" s="2"/>
      <c r="G221" s="2"/>
      <c r="H221" s="2"/>
      <c r="I221" s="2"/>
    </row>
    <row r="222" spans="2:9" ht="15.75" customHeight="1">
      <c r="B222" s="2"/>
      <c r="C222" s="2"/>
      <c r="D222" s="2"/>
      <c r="E222" s="2"/>
      <c r="F222" s="2"/>
      <c r="G222" s="2"/>
      <c r="H222" s="2"/>
      <c r="I222" s="2"/>
    </row>
    <row r="223" spans="2:9" ht="15.75" customHeight="1">
      <c r="B223" s="2"/>
      <c r="C223" s="2"/>
      <c r="D223" s="2"/>
      <c r="E223" s="2"/>
      <c r="F223" s="2"/>
      <c r="G223" s="2"/>
      <c r="H223" s="2"/>
      <c r="I223" s="2"/>
    </row>
    <row r="224" spans="2:9" ht="15.75" customHeight="1">
      <c r="B224" s="2"/>
      <c r="C224" s="2"/>
      <c r="D224" s="2"/>
      <c r="E224" s="2"/>
      <c r="F224" s="2"/>
      <c r="G224" s="2"/>
      <c r="H224" s="2"/>
      <c r="I224" s="2"/>
    </row>
    <row r="225" spans="2:9" ht="15.75" customHeight="1">
      <c r="B225" s="2"/>
      <c r="C225" s="2"/>
      <c r="D225" s="2"/>
      <c r="E225" s="2"/>
      <c r="F225" s="2"/>
      <c r="G225" s="2"/>
      <c r="H225" s="2"/>
      <c r="I225" s="2"/>
    </row>
    <row r="226" spans="2:9" ht="15.75" customHeight="1">
      <c r="B226" s="2"/>
      <c r="C226" s="2"/>
      <c r="D226" s="2"/>
      <c r="E226" s="2"/>
      <c r="F226" s="2"/>
      <c r="G226" s="2"/>
      <c r="H226" s="2"/>
      <c r="I226" s="2"/>
    </row>
    <row r="227" spans="2:9" ht="15.75" customHeight="1">
      <c r="B227" s="2"/>
      <c r="C227" s="2"/>
      <c r="D227" s="2"/>
      <c r="E227" s="2"/>
      <c r="F227" s="2"/>
      <c r="G227" s="2"/>
      <c r="H227" s="2"/>
      <c r="I227" s="2"/>
    </row>
    <row r="228" spans="2:9" ht="15.75" customHeight="1">
      <c r="B228" s="2"/>
      <c r="C228" s="2"/>
      <c r="D228" s="2"/>
      <c r="E228" s="2"/>
      <c r="F228" s="2"/>
      <c r="G228" s="2"/>
      <c r="H228" s="2"/>
      <c r="I228" s="2"/>
    </row>
    <row r="229" spans="2:9" ht="15.75" customHeight="1">
      <c r="B229" s="2"/>
      <c r="C229" s="2"/>
      <c r="D229" s="2"/>
      <c r="E229" s="2"/>
      <c r="F229" s="2"/>
      <c r="G229" s="2"/>
      <c r="H229" s="2"/>
      <c r="I229" s="2"/>
    </row>
    <row r="230" spans="2:9" ht="15.75" customHeight="1">
      <c r="B230" s="2"/>
      <c r="C230" s="2"/>
      <c r="D230" s="2"/>
      <c r="E230" s="2"/>
      <c r="F230" s="2"/>
      <c r="G230" s="2"/>
      <c r="H230" s="2"/>
      <c r="I230" s="2"/>
    </row>
    <row r="231" spans="2:9" ht="15.75" customHeight="1">
      <c r="B231" s="2"/>
      <c r="C231" s="2"/>
      <c r="D231" s="2"/>
      <c r="E231" s="2"/>
      <c r="F231" s="2"/>
      <c r="G231" s="2"/>
      <c r="H231" s="2"/>
      <c r="I231" s="2"/>
    </row>
    <row r="232" spans="2:9" ht="15.75" customHeight="1">
      <c r="B232" s="2"/>
      <c r="C232" s="2"/>
      <c r="D232" s="2"/>
      <c r="E232" s="2"/>
      <c r="F232" s="2"/>
      <c r="G232" s="2"/>
      <c r="H232" s="2"/>
      <c r="I232" s="2"/>
    </row>
    <row r="233" spans="2:9" ht="15.75" customHeight="1">
      <c r="B233" s="2"/>
      <c r="C233" s="2"/>
      <c r="D233" s="2"/>
      <c r="E233" s="2"/>
      <c r="F233" s="2"/>
      <c r="G233" s="2"/>
      <c r="H233" s="2"/>
      <c r="I233" s="2"/>
    </row>
    <row r="234" spans="2:9" ht="15.75" customHeight="1">
      <c r="B234" s="2"/>
      <c r="C234" s="2"/>
      <c r="D234" s="2"/>
      <c r="E234" s="2"/>
      <c r="F234" s="2"/>
      <c r="G234" s="2"/>
      <c r="H234" s="2"/>
      <c r="I234" s="2"/>
    </row>
    <row r="235" spans="2:9" ht="15.75" customHeight="1">
      <c r="B235" s="2"/>
      <c r="C235" s="2"/>
      <c r="D235" s="2"/>
      <c r="E235" s="2"/>
      <c r="F235" s="2"/>
      <c r="G235" s="2"/>
      <c r="H235" s="2"/>
      <c r="I235" s="2"/>
    </row>
    <row r="236" spans="2:9" ht="15.75" customHeight="1">
      <c r="B236" s="2"/>
      <c r="C236" s="2"/>
      <c r="D236" s="2"/>
      <c r="E236" s="2"/>
      <c r="F236" s="2"/>
      <c r="G236" s="2"/>
      <c r="H236" s="2"/>
      <c r="I236" s="2"/>
    </row>
    <row r="237" spans="2:9" ht="15.75" customHeight="1">
      <c r="B237" s="2"/>
      <c r="C237" s="2"/>
      <c r="D237" s="2"/>
      <c r="E237" s="2"/>
      <c r="F237" s="2"/>
      <c r="G237" s="2"/>
      <c r="H237" s="2"/>
      <c r="I237" s="2"/>
    </row>
    <row r="238" spans="2:9" ht="15.75" customHeight="1">
      <c r="B238" s="2"/>
      <c r="C238" s="2"/>
      <c r="D238" s="2"/>
      <c r="E238" s="2"/>
      <c r="F238" s="2"/>
      <c r="G238" s="2"/>
      <c r="H238" s="2"/>
      <c r="I238" s="2"/>
    </row>
    <row r="239" spans="2:9" ht="15.75" customHeight="1">
      <c r="B239" s="2"/>
      <c r="C239" s="2"/>
      <c r="D239" s="2"/>
      <c r="E239" s="2"/>
      <c r="F239" s="2"/>
      <c r="G239" s="2"/>
      <c r="H239" s="2"/>
      <c r="I239" s="2"/>
    </row>
    <row r="240" spans="2:9" ht="15.75" customHeight="1">
      <c r="B240" s="2"/>
      <c r="C240" s="2"/>
      <c r="D240" s="2"/>
      <c r="E240" s="2"/>
      <c r="F240" s="2"/>
      <c r="G240" s="2"/>
      <c r="H240" s="2"/>
      <c r="I240" s="2"/>
    </row>
    <row r="241" spans="2:9" ht="15.75" customHeight="1">
      <c r="B241" s="2"/>
      <c r="C241" s="2"/>
      <c r="D241" s="2"/>
      <c r="E241" s="2"/>
      <c r="F241" s="2"/>
      <c r="G241" s="2"/>
      <c r="H241" s="2"/>
      <c r="I241" s="2"/>
    </row>
    <row r="242" spans="2:9" ht="15.75" customHeight="1">
      <c r="B242" s="2"/>
      <c r="C242" s="2"/>
      <c r="D242" s="2"/>
      <c r="E242" s="2"/>
      <c r="F242" s="2"/>
      <c r="G242" s="2"/>
      <c r="H242" s="2"/>
      <c r="I242" s="2"/>
    </row>
    <row r="243" spans="2:9" ht="15.75" customHeight="1">
      <c r="B243" s="2"/>
      <c r="C243" s="2"/>
      <c r="D243" s="2"/>
      <c r="E243" s="2"/>
      <c r="F243" s="2"/>
      <c r="G243" s="2"/>
      <c r="H243" s="2"/>
      <c r="I243" s="2"/>
    </row>
    <row r="244" spans="2:9" ht="15.75" customHeight="1">
      <c r="B244" s="2"/>
      <c r="C244" s="2"/>
      <c r="D244" s="2"/>
      <c r="E244" s="2"/>
      <c r="F244" s="2"/>
      <c r="G244" s="2"/>
      <c r="H244" s="2"/>
      <c r="I244" s="2"/>
    </row>
    <row r="245" spans="2:9" ht="15.75" customHeight="1">
      <c r="B245" s="2"/>
      <c r="C245" s="2"/>
      <c r="D245" s="2"/>
      <c r="E245" s="2"/>
      <c r="F245" s="2"/>
      <c r="G245" s="2"/>
      <c r="H245" s="2"/>
      <c r="I245" s="2"/>
    </row>
    <row r="246" spans="2:9" ht="15.75" customHeight="1">
      <c r="B246" s="2"/>
      <c r="C246" s="2"/>
      <c r="D246" s="2"/>
      <c r="E246" s="2"/>
      <c r="F246" s="2"/>
      <c r="G246" s="2"/>
      <c r="H246" s="2"/>
      <c r="I246" s="2"/>
    </row>
    <row r="247" spans="2:9" ht="15.75" customHeight="1">
      <c r="B247" s="2"/>
      <c r="C247" s="2"/>
      <c r="D247" s="2"/>
      <c r="E247" s="2"/>
      <c r="F247" s="2"/>
      <c r="G247" s="2"/>
      <c r="H247" s="2"/>
      <c r="I247" s="2"/>
    </row>
    <row r="248" spans="2:9" ht="15.75" customHeight="1">
      <c r="B248" s="2"/>
      <c r="C248" s="2"/>
      <c r="D248" s="2"/>
      <c r="E248" s="2"/>
      <c r="F248" s="2"/>
      <c r="G248" s="2"/>
      <c r="H248" s="2"/>
      <c r="I248" s="2"/>
    </row>
    <row r="249" spans="2:9" ht="15.75" customHeight="1">
      <c r="B249" s="2"/>
      <c r="C249" s="2"/>
      <c r="D249" s="2"/>
      <c r="E249" s="2"/>
      <c r="F249" s="2"/>
      <c r="G249" s="2"/>
      <c r="H249" s="2"/>
      <c r="I249" s="2"/>
    </row>
    <row r="250" spans="2:9" ht="15.75" customHeight="1">
      <c r="B250" s="2"/>
      <c r="C250" s="2"/>
      <c r="D250" s="2"/>
      <c r="E250" s="2"/>
      <c r="F250" s="2"/>
      <c r="G250" s="2"/>
      <c r="H250" s="2"/>
      <c r="I250" s="2"/>
    </row>
    <row r="251" spans="2:9" ht="15.75" customHeight="1">
      <c r="B251" s="2"/>
      <c r="C251" s="2"/>
      <c r="D251" s="2"/>
      <c r="E251" s="2"/>
      <c r="F251" s="2"/>
      <c r="G251" s="2"/>
      <c r="H251" s="2"/>
      <c r="I251" s="2"/>
    </row>
    <row r="252" spans="2:9" ht="15.75" customHeight="1">
      <c r="B252" s="2"/>
      <c r="C252" s="2"/>
      <c r="D252" s="2"/>
      <c r="E252" s="2"/>
      <c r="F252" s="2"/>
      <c r="G252" s="2"/>
      <c r="H252" s="2"/>
      <c r="I252" s="2"/>
    </row>
    <row r="253" spans="2:9" ht="15.75" customHeight="1">
      <c r="B253" s="2"/>
      <c r="C253" s="2"/>
      <c r="D253" s="2"/>
      <c r="E253" s="2"/>
      <c r="F253" s="2"/>
      <c r="G253" s="2"/>
      <c r="H253" s="2"/>
      <c r="I253" s="2"/>
    </row>
    <row r="254" spans="2:9" ht="15.75" customHeight="1">
      <c r="B254" s="2"/>
      <c r="C254" s="2"/>
      <c r="D254" s="2"/>
      <c r="E254" s="2"/>
      <c r="F254" s="2"/>
      <c r="G254" s="2"/>
      <c r="H254" s="2"/>
      <c r="I254" s="2"/>
    </row>
    <row r="255" spans="2:9" ht="15.75" customHeight="1">
      <c r="B255" s="2"/>
      <c r="C255" s="2"/>
      <c r="D255" s="2"/>
      <c r="E255" s="2"/>
      <c r="F255" s="2"/>
      <c r="G255" s="2"/>
      <c r="H255" s="2"/>
      <c r="I255" s="2"/>
    </row>
    <row r="256" spans="2:9" ht="15.75" customHeight="1">
      <c r="B256" s="2"/>
      <c r="C256" s="2"/>
      <c r="D256" s="2"/>
      <c r="E256" s="2"/>
      <c r="F256" s="2"/>
      <c r="G256" s="2"/>
      <c r="H256" s="2"/>
      <c r="I256" s="2"/>
    </row>
    <row r="257" spans="2:9" ht="15.75" customHeight="1">
      <c r="B257" s="2"/>
      <c r="C257" s="2"/>
      <c r="D257" s="2"/>
      <c r="E257" s="2"/>
      <c r="F257" s="2"/>
      <c r="G257" s="2"/>
      <c r="H257" s="2"/>
      <c r="I257" s="2"/>
    </row>
    <row r="258" spans="2:9" ht="15.75" customHeight="1">
      <c r="B258" s="2"/>
      <c r="C258" s="2"/>
      <c r="D258" s="2"/>
      <c r="E258" s="2"/>
      <c r="F258" s="2"/>
      <c r="G258" s="2"/>
      <c r="H258" s="2"/>
      <c r="I258" s="2"/>
    </row>
    <row r="259" spans="2:9" ht="15.75" customHeight="1">
      <c r="B259" s="2"/>
      <c r="C259" s="2"/>
      <c r="D259" s="2"/>
      <c r="E259" s="2"/>
      <c r="F259" s="2"/>
      <c r="G259" s="2"/>
      <c r="H259" s="2"/>
      <c r="I259" s="2"/>
    </row>
    <row r="260" spans="2:9" ht="15.75" customHeight="1">
      <c r="B260" s="2"/>
      <c r="C260" s="2"/>
      <c r="D260" s="2"/>
      <c r="E260" s="2"/>
      <c r="F260" s="2"/>
      <c r="G260" s="2"/>
      <c r="H260" s="2"/>
      <c r="I260" s="2"/>
    </row>
    <row r="261" spans="2:9" ht="15.75" customHeight="1">
      <c r="B261" s="2"/>
      <c r="C261" s="2"/>
      <c r="D261" s="2"/>
      <c r="E261" s="2"/>
      <c r="F261" s="2"/>
      <c r="G261" s="2"/>
      <c r="H261" s="2"/>
      <c r="I261" s="2"/>
    </row>
    <row r="262" spans="2:9" ht="15.75" customHeight="1">
      <c r="B262" s="2"/>
      <c r="C262" s="2"/>
      <c r="D262" s="2"/>
      <c r="E262" s="2"/>
      <c r="F262" s="2"/>
      <c r="G262" s="2"/>
      <c r="H262" s="2"/>
      <c r="I262" s="2"/>
    </row>
    <row r="263" spans="2:9" ht="15.75" customHeight="1">
      <c r="B263" s="2"/>
      <c r="C263" s="2"/>
      <c r="D263" s="2"/>
      <c r="E263" s="2"/>
      <c r="F263" s="2"/>
      <c r="G263" s="2"/>
      <c r="H263" s="2"/>
      <c r="I263" s="2"/>
    </row>
    <row r="264" spans="2:9" ht="15.75" customHeight="1">
      <c r="B264" s="2"/>
      <c r="C264" s="2"/>
      <c r="D264" s="2"/>
      <c r="E264" s="2"/>
      <c r="F264" s="2"/>
      <c r="G264" s="2"/>
      <c r="H264" s="2"/>
      <c r="I264" s="2"/>
    </row>
    <row r="265" spans="2:9" ht="15.75" customHeight="1">
      <c r="B265" s="2"/>
      <c r="C265" s="2"/>
      <c r="D265" s="2"/>
      <c r="E265" s="2"/>
      <c r="F265" s="2"/>
      <c r="G265" s="2"/>
      <c r="H265" s="2"/>
      <c r="I265" s="2"/>
    </row>
    <row r="266" spans="2:9" ht="15.75" customHeight="1">
      <c r="B266" s="2"/>
      <c r="C266" s="2"/>
      <c r="D266" s="2"/>
      <c r="E266" s="2"/>
      <c r="F266" s="2"/>
      <c r="G266" s="2"/>
      <c r="H266" s="2"/>
      <c r="I266" s="2"/>
    </row>
    <row r="267" spans="2:9" ht="15.75" customHeight="1">
      <c r="B267" s="2"/>
      <c r="C267" s="2"/>
      <c r="D267" s="2"/>
      <c r="E267" s="2"/>
      <c r="F267" s="2"/>
      <c r="G267" s="2"/>
      <c r="H267" s="2"/>
      <c r="I267" s="2"/>
    </row>
    <row r="268" spans="2:9" ht="15.75" customHeight="1">
      <c r="B268" s="2"/>
      <c r="C268" s="2"/>
      <c r="D268" s="2"/>
      <c r="E268" s="2"/>
      <c r="F268" s="2"/>
      <c r="G268" s="2"/>
      <c r="H268" s="2"/>
      <c r="I268" s="2"/>
    </row>
    <row r="269" spans="2:9" ht="15.75" customHeight="1">
      <c r="B269" s="2"/>
      <c r="C269" s="2"/>
      <c r="D269" s="2"/>
      <c r="E269" s="2"/>
      <c r="F269" s="2"/>
      <c r="G269" s="2"/>
      <c r="H269" s="2"/>
      <c r="I269" s="2"/>
    </row>
    <row r="270" spans="2:9" ht="15.75" customHeight="1">
      <c r="B270" s="2"/>
      <c r="C270" s="2"/>
      <c r="D270" s="2"/>
      <c r="E270" s="2"/>
      <c r="F270" s="2"/>
      <c r="G270" s="2"/>
      <c r="H270" s="2"/>
      <c r="I270" s="2"/>
    </row>
    <row r="271" spans="2:9" ht="15.75" customHeight="1">
      <c r="B271" s="2"/>
      <c r="C271" s="2"/>
      <c r="D271" s="2"/>
      <c r="E271" s="2"/>
      <c r="F271" s="2"/>
      <c r="G271" s="2"/>
      <c r="H271" s="2"/>
      <c r="I271" s="2"/>
    </row>
    <row r="272" spans="2:9" ht="15.75" customHeight="1">
      <c r="B272" s="2"/>
      <c r="C272" s="2"/>
      <c r="D272" s="2"/>
      <c r="E272" s="2"/>
      <c r="F272" s="2"/>
      <c r="G272" s="2"/>
      <c r="H272" s="2"/>
      <c r="I272" s="2"/>
    </row>
    <row r="273" spans="2:9" ht="15.75" customHeight="1">
      <c r="B273" s="2"/>
      <c r="C273" s="2"/>
      <c r="D273" s="2"/>
      <c r="E273" s="2"/>
      <c r="F273" s="2"/>
      <c r="G273" s="2"/>
      <c r="H273" s="2"/>
      <c r="I273" s="2"/>
    </row>
    <row r="274" spans="2:9" ht="15.75" customHeight="1">
      <c r="B274" s="2"/>
      <c r="C274" s="2"/>
      <c r="D274" s="2"/>
      <c r="E274" s="2"/>
      <c r="F274" s="2"/>
      <c r="G274" s="2"/>
      <c r="H274" s="2"/>
      <c r="I274" s="2"/>
    </row>
    <row r="275" spans="2:9" ht="15.75" customHeight="1">
      <c r="B275" s="2"/>
      <c r="C275" s="2"/>
      <c r="D275" s="2"/>
      <c r="E275" s="2"/>
      <c r="F275" s="2"/>
      <c r="G275" s="2"/>
      <c r="H275" s="2"/>
      <c r="I275" s="2"/>
    </row>
    <row r="276" spans="2:9" ht="15.75" customHeight="1">
      <c r="B276" s="2"/>
      <c r="C276" s="2"/>
      <c r="D276" s="2"/>
      <c r="E276" s="2"/>
      <c r="F276" s="2"/>
      <c r="G276" s="2"/>
      <c r="H276" s="2"/>
      <c r="I276" s="2"/>
    </row>
    <row r="277" spans="2:9" ht="15.75" customHeight="1">
      <c r="B277" s="2"/>
      <c r="C277" s="2"/>
      <c r="D277" s="2"/>
      <c r="E277" s="2"/>
      <c r="F277" s="2"/>
      <c r="G277" s="2"/>
      <c r="H277" s="2"/>
      <c r="I277" s="2"/>
    </row>
    <row r="278" spans="2:9" ht="15.75" customHeight="1">
      <c r="B278" s="2"/>
      <c r="C278" s="2"/>
      <c r="D278" s="2"/>
      <c r="E278" s="2"/>
      <c r="F278" s="2"/>
      <c r="G278" s="2"/>
      <c r="H278" s="2"/>
      <c r="I278" s="2"/>
    </row>
    <row r="279" spans="2:9" ht="15.75" customHeight="1">
      <c r="B279" s="2"/>
      <c r="C279" s="2"/>
      <c r="D279" s="2"/>
      <c r="E279" s="2"/>
      <c r="F279" s="2"/>
      <c r="G279" s="2"/>
      <c r="H279" s="2"/>
      <c r="I279" s="2"/>
    </row>
    <row r="280" spans="2:9" ht="15.75" customHeight="1">
      <c r="B280" s="2"/>
      <c r="C280" s="2"/>
      <c r="D280" s="2"/>
      <c r="E280" s="2"/>
      <c r="F280" s="2"/>
      <c r="G280" s="2"/>
      <c r="H280" s="2"/>
      <c r="I280" s="2"/>
    </row>
    <row r="281" spans="2:9" ht="15.75" customHeight="1">
      <c r="B281" s="2"/>
      <c r="C281" s="2"/>
      <c r="D281" s="2"/>
      <c r="E281" s="2"/>
      <c r="F281" s="2"/>
      <c r="G281" s="2"/>
      <c r="H281" s="2"/>
      <c r="I281" s="2"/>
    </row>
    <row r="282" spans="2:9" ht="15.75" customHeight="1">
      <c r="B282" s="2"/>
      <c r="C282" s="2"/>
      <c r="D282" s="2"/>
      <c r="E282" s="2"/>
      <c r="F282" s="2"/>
      <c r="G282" s="2"/>
      <c r="H282" s="2"/>
      <c r="I282" s="2"/>
    </row>
    <row r="283" spans="2:9" ht="15.75" customHeight="1">
      <c r="B283" s="2"/>
      <c r="C283" s="2"/>
      <c r="D283" s="2"/>
      <c r="E283" s="2"/>
      <c r="F283" s="2"/>
      <c r="G283" s="2"/>
      <c r="H283" s="2"/>
      <c r="I283" s="2"/>
    </row>
    <row r="284" spans="2:9" ht="15.75" customHeight="1">
      <c r="B284" s="2"/>
      <c r="C284" s="2"/>
      <c r="D284" s="2"/>
      <c r="E284" s="2"/>
      <c r="F284" s="2"/>
      <c r="G284" s="2"/>
      <c r="H284" s="2"/>
      <c r="I284" s="2"/>
    </row>
    <row r="285" spans="2:9" ht="15.75" customHeight="1">
      <c r="B285" s="2"/>
      <c r="C285" s="2"/>
      <c r="D285" s="2"/>
      <c r="E285" s="2"/>
      <c r="F285" s="2"/>
      <c r="G285" s="2"/>
      <c r="H285" s="2"/>
      <c r="I285" s="2"/>
    </row>
    <row r="286" spans="2:9" ht="15.75" customHeight="1">
      <c r="B286" s="2"/>
      <c r="C286" s="2"/>
      <c r="D286" s="2"/>
      <c r="E286" s="2"/>
      <c r="F286" s="2"/>
      <c r="G286" s="2"/>
      <c r="H286" s="2"/>
      <c r="I286" s="2"/>
    </row>
    <row r="287" spans="2:9" ht="15.75" customHeight="1">
      <c r="B287" s="2"/>
      <c r="C287" s="2"/>
      <c r="D287" s="2"/>
      <c r="E287" s="2"/>
      <c r="F287" s="2"/>
      <c r="G287" s="2"/>
      <c r="H287" s="2"/>
      <c r="I287" s="2"/>
    </row>
    <row r="288" spans="2:9" ht="15.75" customHeight="1">
      <c r="B288" s="2"/>
      <c r="C288" s="2"/>
      <c r="D288" s="2"/>
      <c r="E288" s="2"/>
      <c r="F288" s="2"/>
      <c r="G288" s="2"/>
      <c r="H288" s="2"/>
      <c r="I288" s="2"/>
    </row>
    <row r="289" spans="2:9" ht="15.75" customHeight="1">
      <c r="B289" s="2"/>
      <c r="C289" s="2"/>
      <c r="D289" s="2"/>
      <c r="E289" s="2"/>
      <c r="F289" s="2"/>
      <c r="G289" s="2"/>
      <c r="H289" s="2"/>
      <c r="I289" s="2"/>
    </row>
    <row r="290" spans="2:9" ht="15.75" customHeight="1">
      <c r="B290" s="2"/>
      <c r="C290" s="2"/>
      <c r="D290" s="2"/>
      <c r="E290" s="2"/>
      <c r="F290" s="2"/>
      <c r="G290" s="2"/>
      <c r="H290" s="2"/>
      <c r="I290" s="2"/>
    </row>
    <row r="291" spans="2:9" ht="15.75" customHeight="1">
      <c r="B291" s="2"/>
      <c r="C291" s="2"/>
      <c r="D291" s="2"/>
      <c r="E291" s="2"/>
      <c r="F291" s="2"/>
      <c r="G291" s="2"/>
      <c r="H291" s="2"/>
      <c r="I291" s="2"/>
    </row>
    <row r="292" spans="2:9" ht="15.75" customHeight="1">
      <c r="B292" s="2"/>
      <c r="C292" s="2"/>
      <c r="D292" s="2"/>
      <c r="E292" s="2"/>
      <c r="F292" s="2"/>
      <c r="G292" s="2"/>
      <c r="H292" s="2"/>
      <c r="I292" s="2"/>
    </row>
    <row r="293" spans="2:9" ht="15.75" customHeight="1">
      <c r="B293" s="2"/>
      <c r="C293" s="2"/>
      <c r="D293" s="2"/>
      <c r="E293" s="2"/>
      <c r="F293" s="2"/>
      <c r="G293" s="2"/>
      <c r="H293" s="2"/>
      <c r="I293" s="2"/>
    </row>
    <row r="294" spans="2:9" ht="15.75" customHeight="1">
      <c r="B294" s="2"/>
      <c r="C294" s="2"/>
      <c r="D294" s="2"/>
      <c r="E294" s="2"/>
      <c r="F294" s="2"/>
      <c r="G294" s="2"/>
      <c r="H294" s="2"/>
      <c r="I294" s="2"/>
    </row>
    <row r="295" spans="2:9" ht="15.75" customHeight="1">
      <c r="B295" s="2"/>
      <c r="C295" s="2"/>
      <c r="D295" s="2"/>
      <c r="E295" s="2"/>
      <c r="F295" s="2"/>
      <c r="G295" s="2"/>
      <c r="H295" s="2"/>
      <c r="I295" s="2"/>
    </row>
    <row r="296" spans="2:9" ht="15.75" customHeight="1">
      <c r="B296" s="2"/>
      <c r="C296" s="2"/>
      <c r="D296" s="2"/>
      <c r="E296" s="2"/>
      <c r="F296" s="2"/>
      <c r="G296" s="2"/>
      <c r="H296" s="2"/>
      <c r="I296" s="2"/>
    </row>
    <row r="297" spans="2:9" ht="15.75" customHeight="1">
      <c r="B297" s="2"/>
      <c r="C297" s="2"/>
      <c r="D297" s="2"/>
      <c r="E297" s="2"/>
      <c r="F297" s="2"/>
      <c r="G297" s="2"/>
      <c r="H297" s="2"/>
      <c r="I297" s="2"/>
    </row>
    <row r="298" spans="2:9" ht="15.75" customHeight="1">
      <c r="B298" s="2"/>
      <c r="C298" s="2"/>
      <c r="D298" s="2"/>
      <c r="E298" s="2"/>
      <c r="F298" s="2"/>
      <c r="G298" s="2"/>
      <c r="H298" s="2"/>
      <c r="I298" s="2"/>
    </row>
    <row r="299" spans="2:9" ht="15.75" customHeight="1">
      <c r="B299" s="2"/>
      <c r="C299" s="2"/>
      <c r="D299" s="2"/>
      <c r="E299" s="2"/>
      <c r="F299" s="2"/>
      <c r="G299" s="2"/>
      <c r="H299" s="2"/>
      <c r="I299" s="2"/>
    </row>
    <row r="300" spans="2:9" ht="15.75" customHeight="1">
      <c r="B300" s="2"/>
      <c r="C300" s="2"/>
      <c r="D300" s="2"/>
      <c r="E300" s="2"/>
      <c r="F300" s="2"/>
      <c r="G300" s="2"/>
      <c r="H300" s="2"/>
      <c r="I300" s="2"/>
    </row>
    <row r="301" spans="2:9" ht="15.75" customHeight="1">
      <c r="B301" s="2"/>
      <c r="C301" s="2"/>
      <c r="D301" s="2"/>
      <c r="E301" s="2"/>
      <c r="F301" s="2"/>
      <c r="G301" s="2"/>
      <c r="H301" s="2"/>
      <c r="I301" s="2"/>
    </row>
    <row r="302" spans="2:9" ht="15.75" customHeight="1">
      <c r="B302" s="2"/>
      <c r="C302" s="2"/>
      <c r="D302" s="2"/>
      <c r="E302" s="2"/>
      <c r="F302" s="2"/>
      <c r="G302" s="2"/>
      <c r="H302" s="2"/>
      <c r="I302" s="2"/>
    </row>
    <row r="303" spans="2:9" ht="15.75" customHeight="1">
      <c r="B303" s="2"/>
      <c r="C303" s="2"/>
      <c r="D303" s="2"/>
      <c r="E303" s="2"/>
      <c r="F303" s="2"/>
      <c r="G303" s="2"/>
      <c r="H303" s="2"/>
      <c r="I303" s="2"/>
    </row>
    <row r="304" spans="2:9" ht="15.75" customHeight="1">
      <c r="B304" s="2"/>
      <c r="C304" s="2"/>
      <c r="D304" s="2"/>
      <c r="E304" s="2"/>
      <c r="F304" s="2"/>
      <c r="G304" s="2"/>
      <c r="H304" s="2"/>
      <c r="I304" s="2"/>
    </row>
    <row r="305" spans="2:9" ht="15.75" customHeight="1">
      <c r="B305" s="2"/>
      <c r="C305" s="2"/>
      <c r="D305" s="2"/>
      <c r="E305" s="2"/>
      <c r="F305" s="2"/>
      <c r="G305" s="2"/>
      <c r="H305" s="2"/>
      <c r="I305" s="2"/>
    </row>
    <row r="306" spans="2:9" ht="15.75" customHeight="1">
      <c r="B306" s="2"/>
      <c r="C306" s="2"/>
      <c r="D306" s="2"/>
      <c r="E306" s="2"/>
      <c r="F306" s="2"/>
      <c r="G306" s="2"/>
      <c r="H306" s="2"/>
      <c r="I306" s="2"/>
    </row>
    <row r="307" spans="2:9" ht="15.75" customHeight="1">
      <c r="B307" s="2"/>
      <c r="C307" s="2"/>
      <c r="D307" s="2"/>
      <c r="E307" s="2"/>
      <c r="F307" s="2"/>
      <c r="G307" s="2"/>
      <c r="H307" s="2"/>
      <c r="I307" s="2"/>
    </row>
    <row r="308" spans="2:9" ht="15.75" customHeight="1">
      <c r="B308" s="2"/>
      <c r="C308" s="2"/>
      <c r="D308" s="2"/>
      <c r="E308" s="2"/>
      <c r="F308" s="2"/>
      <c r="G308" s="2"/>
      <c r="H308" s="2"/>
      <c r="I308" s="2"/>
    </row>
    <row r="309" spans="2:9" ht="15.75" customHeight="1">
      <c r="B309" s="2"/>
      <c r="C309" s="2"/>
      <c r="D309" s="2"/>
      <c r="E309" s="2"/>
      <c r="F309" s="2"/>
      <c r="G309" s="2"/>
      <c r="H309" s="2"/>
      <c r="I309" s="2"/>
    </row>
    <row r="310" spans="2:9" ht="15.75" customHeight="1">
      <c r="B310" s="2"/>
      <c r="C310" s="2"/>
      <c r="D310" s="2"/>
      <c r="E310" s="2"/>
      <c r="F310" s="2"/>
      <c r="G310" s="2"/>
      <c r="H310" s="2"/>
      <c r="I310" s="2"/>
    </row>
    <row r="311" spans="2:9" ht="15.75" customHeight="1">
      <c r="B311" s="2"/>
      <c r="C311" s="2"/>
      <c r="D311" s="2"/>
      <c r="E311" s="2"/>
      <c r="F311" s="2"/>
      <c r="G311" s="2"/>
      <c r="H311" s="2"/>
      <c r="I311" s="2"/>
    </row>
    <row r="312" spans="2:9" ht="15.75" customHeight="1">
      <c r="B312" s="2"/>
      <c r="C312" s="2"/>
      <c r="D312" s="2"/>
      <c r="E312" s="2"/>
      <c r="F312" s="2"/>
      <c r="G312" s="2"/>
      <c r="H312" s="2"/>
      <c r="I312" s="2"/>
    </row>
    <row r="313" spans="2:9" ht="15.75" customHeight="1">
      <c r="B313" s="2"/>
      <c r="C313" s="2"/>
      <c r="D313" s="2"/>
      <c r="E313" s="2"/>
      <c r="F313" s="2"/>
      <c r="G313" s="2"/>
      <c r="H313" s="2"/>
      <c r="I313" s="2"/>
    </row>
    <row r="314" spans="2:9" ht="15.75" customHeight="1">
      <c r="B314" s="2"/>
      <c r="C314" s="2"/>
      <c r="D314" s="2"/>
      <c r="E314" s="2"/>
      <c r="F314" s="2"/>
      <c r="G314" s="2"/>
      <c r="H314" s="2"/>
      <c r="I314" s="2"/>
    </row>
    <row r="315" spans="2:9" ht="15.75" customHeight="1">
      <c r="B315" s="2"/>
      <c r="C315" s="2"/>
      <c r="D315" s="2"/>
      <c r="E315" s="2"/>
      <c r="F315" s="2"/>
      <c r="G315" s="2"/>
      <c r="H315" s="2"/>
      <c r="I315" s="2"/>
    </row>
    <row r="316" spans="2:9" ht="15.75" customHeight="1">
      <c r="B316" s="2"/>
      <c r="C316" s="2"/>
      <c r="D316" s="2"/>
      <c r="E316" s="2"/>
      <c r="F316" s="2"/>
      <c r="G316" s="2"/>
      <c r="H316" s="2"/>
      <c r="I316" s="2"/>
    </row>
    <row r="317" spans="2:9" ht="15.75" customHeight="1">
      <c r="B317" s="2"/>
      <c r="C317" s="2"/>
      <c r="D317" s="2"/>
      <c r="E317" s="2"/>
      <c r="F317" s="2"/>
      <c r="G317" s="2"/>
      <c r="H317" s="2"/>
      <c r="I317" s="2"/>
    </row>
    <row r="318" spans="2:9" ht="15.75" customHeight="1">
      <c r="B318" s="2"/>
      <c r="C318" s="2"/>
      <c r="D318" s="2"/>
      <c r="E318" s="2"/>
      <c r="F318" s="2"/>
      <c r="G318" s="2"/>
      <c r="H318" s="2"/>
      <c r="I318" s="2"/>
    </row>
    <row r="319" spans="2:9" ht="15.75" customHeight="1">
      <c r="B319" s="2"/>
      <c r="C319" s="2"/>
      <c r="D319" s="2"/>
      <c r="E319" s="2"/>
      <c r="F319" s="2"/>
      <c r="G319" s="2"/>
      <c r="H319" s="2"/>
      <c r="I319" s="2"/>
    </row>
    <row r="320" spans="2:9" ht="15.75" customHeight="1">
      <c r="B320" s="2"/>
      <c r="C320" s="2"/>
      <c r="D320" s="2"/>
      <c r="E320" s="2"/>
      <c r="F320" s="2"/>
      <c r="G320" s="2"/>
      <c r="H320" s="2"/>
      <c r="I320" s="2"/>
    </row>
    <row r="321" spans="2:9" ht="15.75" customHeight="1">
      <c r="B321" s="2"/>
      <c r="C321" s="2"/>
      <c r="D321" s="2"/>
      <c r="E321" s="2"/>
      <c r="F321" s="2"/>
      <c r="G321" s="2"/>
      <c r="H321" s="2"/>
      <c r="I321" s="2"/>
    </row>
    <row r="322" spans="2:9" ht="15.75" customHeight="1">
      <c r="B322" s="2"/>
      <c r="C322" s="2"/>
      <c r="D322" s="2"/>
      <c r="E322" s="2"/>
      <c r="F322" s="2"/>
      <c r="G322" s="2"/>
      <c r="H322" s="2"/>
      <c r="I322" s="2"/>
    </row>
    <row r="323" spans="2:9" ht="15.75" customHeight="1">
      <c r="B323" s="2"/>
      <c r="C323" s="2"/>
      <c r="D323" s="2"/>
      <c r="E323" s="2"/>
      <c r="F323" s="2"/>
      <c r="G323" s="2"/>
      <c r="H323" s="2"/>
      <c r="I323" s="2"/>
    </row>
    <row r="324" spans="2:9" ht="15.75" customHeight="1">
      <c r="B324" s="2"/>
      <c r="C324" s="2"/>
      <c r="D324" s="2"/>
      <c r="E324" s="2"/>
      <c r="F324" s="2"/>
      <c r="G324" s="2"/>
      <c r="H324" s="2"/>
      <c r="I324" s="2"/>
    </row>
    <row r="325" spans="2:9" ht="15.75" customHeight="1">
      <c r="B325" s="2"/>
      <c r="C325" s="2"/>
      <c r="D325" s="2"/>
      <c r="E325" s="2"/>
      <c r="F325" s="2"/>
      <c r="G325" s="2"/>
      <c r="H325" s="2"/>
      <c r="I325" s="2"/>
    </row>
    <row r="326" spans="2:9" ht="15.75" customHeight="1">
      <c r="B326" s="2"/>
      <c r="C326" s="2"/>
      <c r="D326" s="2"/>
      <c r="E326" s="2"/>
      <c r="F326" s="2"/>
      <c r="G326" s="2"/>
      <c r="H326" s="2"/>
      <c r="I326" s="2"/>
    </row>
    <row r="327" spans="2:9" ht="15.75" customHeight="1">
      <c r="B327" s="2"/>
      <c r="C327" s="2"/>
      <c r="D327" s="2"/>
      <c r="E327" s="2"/>
      <c r="F327" s="2"/>
      <c r="G327" s="2"/>
      <c r="H327" s="2"/>
      <c r="I327" s="2"/>
    </row>
    <row r="328" spans="2:9" ht="15.75" customHeight="1">
      <c r="B328" s="2"/>
      <c r="C328" s="2"/>
      <c r="D328" s="2"/>
      <c r="E328" s="2"/>
      <c r="F328" s="2"/>
      <c r="G328" s="2"/>
      <c r="H328" s="2"/>
      <c r="I328" s="2"/>
    </row>
    <row r="329" spans="2:9" ht="15.75" customHeight="1">
      <c r="B329" s="2"/>
      <c r="C329" s="2"/>
      <c r="D329" s="2"/>
      <c r="E329" s="2"/>
      <c r="F329" s="2"/>
      <c r="G329" s="2"/>
      <c r="H329" s="2"/>
      <c r="I329" s="2"/>
    </row>
    <row r="330" spans="2:9" ht="15.75" customHeight="1">
      <c r="B330" s="2"/>
      <c r="C330" s="2"/>
      <c r="D330" s="2"/>
      <c r="E330" s="2"/>
      <c r="F330" s="2"/>
      <c r="G330" s="2"/>
      <c r="H330" s="2"/>
      <c r="I330" s="2"/>
    </row>
    <row r="331" spans="2:9" ht="15.75" customHeight="1">
      <c r="B331" s="2"/>
      <c r="C331" s="2"/>
      <c r="D331" s="2"/>
      <c r="E331" s="2"/>
      <c r="F331" s="2"/>
      <c r="G331" s="2"/>
      <c r="H331" s="2"/>
      <c r="I331" s="2"/>
    </row>
    <row r="332" spans="2:9" ht="15.75" customHeight="1">
      <c r="B332" s="2"/>
      <c r="C332" s="2"/>
      <c r="D332" s="2"/>
      <c r="E332" s="2"/>
      <c r="F332" s="2"/>
      <c r="G332" s="2"/>
      <c r="H332" s="2"/>
      <c r="I332" s="2"/>
    </row>
    <row r="333" spans="2:9" ht="15.75" customHeight="1">
      <c r="B333" s="2"/>
      <c r="C333" s="2"/>
      <c r="D333" s="2"/>
      <c r="E333" s="2"/>
      <c r="F333" s="2"/>
      <c r="G333" s="2"/>
      <c r="H333" s="2"/>
      <c r="I333" s="2"/>
    </row>
    <row r="334" spans="2:9" ht="15.75" customHeight="1">
      <c r="B334" s="2"/>
      <c r="C334" s="2"/>
      <c r="D334" s="2"/>
      <c r="E334" s="2"/>
      <c r="F334" s="2"/>
      <c r="G334" s="2"/>
      <c r="H334" s="2"/>
      <c r="I334" s="2"/>
    </row>
    <row r="335" spans="2:9" ht="15.75" customHeight="1">
      <c r="B335" s="2"/>
      <c r="C335" s="2"/>
      <c r="D335" s="2"/>
      <c r="E335" s="2"/>
      <c r="F335" s="2"/>
      <c r="G335" s="2"/>
      <c r="H335" s="2"/>
      <c r="I335" s="2"/>
    </row>
    <row r="336" spans="2:9" ht="15.75" customHeight="1">
      <c r="B336" s="2"/>
      <c r="C336" s="2"/>
      <c r="D336" s="2"/>
      <c r="E336" s="2"/>
      <c r="F336" s="2"/>
      <c r="G336" s="2"/>
      <c r="H336" s="2"/>
      <c r="I336" s="2"/>
    </row>
    <row r="337" spans="2:9" ht="15.75" customHeight="1">
      <c r="B337" s="2"/>
      <c r="C337" s="2"/>
      <c r="D337" s="2"/>
      <c r="E337" s="2"/>
      <c r="F337" s="2"/>
      <c r="G337" s="2"/>
      <c r="H337" s="2"/>
      <c r="I337" s="2"/>
    </row>
    <row r="338" spans="2:9" ht="15.75" customHeight="1">
      <c r="B338" s="2"/>
      <c r="C338" s="2"/>
      <c r="D338" s="2"/>
      <c r="E338" s="2"/>
      <c r="F338" s="2"/>
      <c r="G338" s="2"/>
      <c r="H338" s="2"/>
      <c r="I338" s="2"/>
    </row>
    <row r="339" spans="2:9" ht="15.75" customHeight="1">
      <c r="B339" s="2"/>
      <c r="C339" s="2"/>
      <c r="D339" s="2"/>
      <c r="E339" s="2"/>
      <c r="F339" s="2"/>
      <c r="G339" s="2"/>
      <c r="H339" s="2"/>
      <c r="I339" s="2"/>
    </row>
    <row r="340" spans="2:9" ht="15.75" customHeight="1">
      <c r="B340" s="2"/>
      <c r="C340" s="2"/>
      <c r="D340" s="2"/>
      <c r="E340" s="2"/>
      <c r="F340" s="2"/>
      <c r="G340" s="2"/>
      <c r="H340" s="2"/>
      <c r="I340" s="2"/>
    </row>
    <row r="341" spans="2:9" ht="15.75" customHeight="1">
      <c r="B341" s="2"/>
      <c r="C341" s="2"/>
      <c r="D341" s="2"/>
      <c r="E341" s="2"/>
      <c r="F341" s="2"/>
      <c r="G341" s="2"/>
      <c r="H341" s="2"/>
      <c r="I341" s="2"/>
    </row>
    <row r="342" spans="2:9" ht="15.75" customHeight="1">
      <c r="B342" s="2"/>
      <c r="C342" s="2"/>
      <c r="D342" s="2"/>
      <c r="E342" s="2"/>
      <c r="F342" s="2"/>
      <c r="G342" s="2"/>
      <c r="H342" s="2"/>
      <c r="I342" s="2"/>
    </row>
    <row r="343" spans="2:9" ht="15.75" customHeight="1">
      <c r="B343" s="2"/>
      <c r="C343" s="2"/>
      <c r="D343" s="2"/>
      <c r="E343" s="2"/>
      <c r="F343" s="2"/>
      <c r="G343" s="2"/>
      <c r="H343" s="2"/>
      <c r="I343" s="2"/>
    </row>
    <row r="344" spans="2:9" ht="15.75" customHeight="1">
      <c r="B344" s="2"/>
      <c r="C344" s="2"/>
      <c r="D344" s="2"/>
      <c r="E344" s="2"/>
      <c r="F344" s="2"/>
      <c r="G344" s="2"/>
      <c r="H344" s="2"/>
      <c r="I344" s="2"/>
    </row>
    <row r="345" spans="2:9" ht="15.75" customHeight="1">
      <c r="B345" s="2"/>
      <c r="C345" s="2"/>
      <c r="D345" s="2"/>
      <c r="E345" s="2"/>
      <c r="F345" s="2"/>
      <c r="G345" s="2"/>
      <c r="H345" s="2"/>
      <c r="I345" s="2"/>
    </row>
    <row r="346" spans="2:9" ht="15.75" customHeight="1">
      <c r="B346" s="2"/>
      <c r="C346" s="2"/>
      <c r="D346" s="2"/>
      <c r="E346" s="2"/>
      <c r="F346" s="2"/>
      <c r="G346" s="2"/>
      <c r="H346" s="2"/>
      <c r="I346" s="2"/>
    </row>
    <row r="347" spans="2:9" ht="15.75" customHeight="1">
      <c r="B347" s="2"/>
      <c r="C347" s="2"/>
      <c r="D347" s="2"/>
      <c r="E347" s="2"/>
      <c r="F347" s="2"/>
      <c r="G347" s="2"/>
      <c r="H347" s="2"/>
      <c r="I347" s="2"/>
    </row>
    <row r="348" spans="2:9" ht="15.75" customHeight="1">
      <c r="B348" s="2"/>
      <c r="C348" s="2"/>
      <c r="D348" s="2"/>
      <c r="E348" s="2"/>
      <c r="F348" s="2"/>
      <c r="G348" s="2"/>
      <c r="H348" s="2"/>
      <c r="I348" s="2"/>
    </row>
    <row r="349" spans="2:9" ht="15.75" customHeight="1">
      <c r="B349" s="2"/>
      <c r="C349" s="2"/>
      <c r="D349" s="2"/>
      <c r="E349" s="2"/>
      <c r="F349" s="2"/>
      <c r="G349" s="2"/>
      <c r="H349" s="2"/>
      <c r="I349" s="2"/>
    </row>
    <row r="350" spans="2:9" ht="15.75" customHeight="1">
      <c r="B350" s="2"/>
      <c r="C350" s="2"/>
      <c r="D350" s="2"/>
      <c r="E350" s="2"/>
      <c r="F350" s="2"/>
      <c r="G350" s="2"/>
      <c r="H350" s="2"/>
      <c r="I350" s="2"/>
    </row>
    <row r="351" spans="2:9" ht="15.75" customHeight="1">
      <c r="B351" s="2"/>
      <c r="C351" s="2"/>
      <c r="D351" s="2"/>
      <c r="E351" s="2"/>
      <c r="F351" s="2"/>
      <c r="G351" s="2"/>
      <c r="H351" s="2"/>
      <c r="I351" s="2"/>
    </row>
    <row r="352" spans="2:9" ht="15.75" customHeight="1">
      <c r="B352" s="2"/>
      <c r="C352" s="2"/>
      <c r="D352" s="2"/>
      <c r="E352" s="2"/>
      <c r="F352" s="2"/>
      <c r="G352" s="2"/>
      <c r="H352" s="2"/>
      <c r="I352" s="2"/>
    </row>
    <row r="353" spans="2:9" ht="15.75" customHeight="1">
      <c r="B353" s="2"/>
      <c r="C353" s="2"/>
      <c r="D353" s="2"/>
      <c r="E353" s="2"/>
      <c r="F353" s="2"/>
      <c r="G353" s="2"/>
      <c r="H353" s="2"/>
      <c r="I353" s="2"/>
    </row>
    <row r="354" spans="2:9" ht="15.75" customHeight="1">
      <c r="B354" s="2"/>
      <c r="C354" s="2"/>
      <c r="D354" s="2"/>
      <c r="E354" s="2"/>
      <c r="F354" s="2"/>
      <c r="G354" s="2"/>
      <c r="H354" s="2"/>
      <c r="I354" s="2"/>
    </row>
    <row r="355" spans="2:9" ht="15.75" customHeight="1">
      <c r="B355" s="2"/>
      <c r="C355" s="2"/>
      <c r="D355" s="2"/>
      <c r="E355" s="2"/>
      <c r="F355" s="2"/>
      <c r="G355" s="2"/>
      <c r="H355" s="2"/>
      <c r="I355" s="2"/>
    </row>
    <row r="356" spans="2:9" ht="15.75" customHeight="1">
      <c r="B356" s="2"/>
      <c r="C356" s="2"/>
      <c r="D356" s="2"/>
      <c r="E356" s="2"/>
      <c r="F356" s="2"/>
      <c r="G356" s="2"/>
      <c r="H356" s="2"/>
      <c r="I356" s="2"/>
    </row>
    <row r="357" spans="2:9" ht="15.75" customHeight="1">
      <c r="B357" s="2"/>
      <c r="C357" s="2"/>
      <c r="D357" s="2"/>
      <c r="E357" s="2"/>
      <c r="F357" s="2"/>
      <c r="G357" s="2"/>
      <c r="H357" s="2"/>
      <c r="I357" s="2"/>
    </row>
    <row r="358" spans="2:9" ht="15.75" customHeight="1">
      <c r="B358" s="2"/>
      <c r="C358" s="2"/>
      <c r="D358" s="2"/>
      <c r="E358" s="2"/>
      <c r="F358" s="2"/>
      <c r="G358" s="2"/>
      <c r="H358" s="2"/>
      <c r="I358" s="2"/>
    </row>
    <row r="359" spans="2:9" ht="15.75" customHeight="1">
      <c r="B359" s="2"/>
      <c r="C359" s="2"/>
      <c r="D359" s="2"/>
      <c r="E359" s="2"/>
      <c r="F359" s="2"/>
      <c r="G359" s="2"/>
      <c r="H359" s="2"/>
      <c r="I359" s="2"/>
    </row>
    <row r="360" spans="2:9" ht="15.75" customHeight="1">
      <c r="B360" s="2"/>
      <c r="C360" s="2"/>
      <c r="D360" s="2"/>
      <c r="E360" s="2"/>
      <c r="F360" s="2"/>
      <c r="G360" s="2"/>
      <c r="H360" s="2"/>
      <c r="I360" s="2"/>
    </row>
    <row r="361" spans="2:9" ht="15.75" customHeight="1">
      <c r="B361" s="2"/>
      <c r="C361" s="2"/>
      <c r="D361" s="2"/>
      <c r="E361" s="2"/>
      <c r="F361" s="2"/>
      <c r="G361" s="2"/>
      <c r="H361" s="2"/>
      <c r="I361" s="2"/>
    </row>
    <row r="362" spans="2:9" ht="15.75" customHeight="1">
      <c r="B362" s="2"/>
      <c r="C362" s="2"/>
      <c r="D362" s="2"/>
      <c r="E362" s="2"/>
      <c r="F362" s="2"/>
      <c r="G362" s="2"/>
      <c r="H362" s="2"/>
      <c r="I362" s="2"/>
    </row>
    <row r="363" spans="2:9" ht="15.75" customHeight="1">
      <c r="B363" s="2"/>
      <c r="C363" s="2"/>
      <c r="D363" s="2"/>
      <c r="E363" s="2"/>
      <c r="F363" s="2"/>
      <c r="G363" s="2"/>
      <c r="H363" s="2"/>
      <c r="I363" s="2"/>
    </row>
    <row r="364" spans="2:9" ht="15.75" customHeight="1">
      <c r="B364" s="2"/>
      <c r="C364" s="2"/>
      <c r="D364" s="2"/>
      <c r="E364" s="2"/>
      <c r="F364" s="2"/>
      <c r="G364" s="2"/>
      <c r="H364" s="2"/>
      <c r="I364" s="2"/>
    </row>
    <row r="365" spans="2:9" ht="15.75" customHeight="1">
      <c r="B365" s="2"/>
      <c r="C365" s="2"/>
      <c r="D365" s="2"/>
      <c r="E365" s="2"/>
      <c r="F365" s="2"/>
      <c r="G365" s="2"/>
      <c r="H365" s="2"/>
      <c r="I365" s="2"/>
    </row>
    <row r="366" spans="2:9" ht="15.75" customHeight="1">
      <c r="B366" s="2"/>
      <c r="C366" s="2"/>
      <c r="D366" s="2"/>
      <c r="E366" s="2"/>
      <c r="F366" s="2"/>
      <c r="G366" s="2"/>
      <c r="H366" s="2"/>
      <c r="I366" s="2"/>
    </row>
    <row r="367" spans="2:9" ht="15.75" customHeight="1">
      <c r="B367" s="2"/>
      <c r="C367" s="2"/>
      <c r="D367" s="2"/>
      <c r="E367" s="2"/>
      <c r="F367" s="2"/>
      <c r="G367" s="2"/>
      <c r="H367" s="2"/>
      <c r="I367" s="2"/>
    </row>
    <row r="368" spans="2:9" ht="15.75" customHeight="1">
      <c r="B368" s="2"/>
      <c r="C368" s="2"/>
      <c r="D368" s="2"/>
      <c r="E368" s="2"/>
      <c r="F368" s="2"/>
      <c r="G368" s="2"/>
      <c r="H368" s="2"/>
      <c r="I368" s="2"/>
    </row>
    <row r="369" spans="2:9" ht="15.75" customHeight="1">
      <c r="B369" s="2"/>
      <c r="C369" s="2"/>
      <c r="D369" s="2"/>
      <c r="E369" s="2"/>
      <c r="F369" s="2"/>
      <c r="G369" s="2"/>
      <c r="H369" s="2"/>
      <c r="I369" s="2"/>
    </row>
    <row r="370" spans="2:9" ht="15.75" customHeight="1">
      <c r="B370" s="2"/>
      <c r="C370" s="2"/>
      <c r="D370" s="2"/>
      <c r="E370" s="2"/>
      <c r="F370" s="2"/>
      <c r="G370" s="2"/>
      <c r="H370" s="2"/>
      <c r="I370" s="2"/>
    </row>
    <row r="371" spans="2:9" ht="15.75" customHeight="1">
      <c r="B371" s="2"/>
      <c r="C371" s="2"/>
      <c r="D371" s="2"/>
      <c r="E371" s="2"/>
      <c r="F371" s="2"/>
      <c r="G371" s="2"/>
      <c r="H371" s="2"/>
      <c r="I371" s="2"/>
    </row>
    <row r="372" spans="2:9" ht="15.75" customHeight="1">
      <c r="B372" s="2"/>
      <c r="C372" s="2"/>
      <c r="D372" s="2"/>
      <c r="E372" s="2"/>
      <c r="F372" s="2"/>
      <c r="G372" s="2"/>
      <c r="H372" s="2"/>
      <c r="I372" s="2"/>
    </row>
    <row r="373" spans="2:9" ht="15.75" customHeight="1">
      <c r="B373" s="2"/>
      <c r="C373" s="2"/>
      <c r="D373" s="2"/>
      <c r="E373" s="2"/>
      <c r="F373" s="2"/>
      <c r="G373" s="2"/>
      <c r="H373" s="2"/>
      <c r="I373" s="2"/>
    </row>
    <row r="374" spans="2:9" ht="15.75" customHeight="1">
      <c r="B374" s="2"/>
      <c r="C374" s="2"/>
      <c r="D374" s="2"/>
      <c r="E374" s="2"/>
      <c r="F374" s="2"/>
      <c r="G374" s="2"/>
      <c r="H374" s="2"/>
      <c r="I374" s="2"/>
    </row>
    <row r="375" spans="2:9" ht="15.75" customHeight="1">
      <c r="B375" s="2"/>
      <c r="C375" s="2"/>
      <c r="D375" s="2"/>
      <c r="E375" s="2"/>
      <c r="F375" s="2"/>
      <c r="G375" s="2"/>
      <c r="H375" s="2"/>
      <c r="I375" s="2"/>
    </row>
    <row r="376" spans="2:9" ht="15.75" customHeight="1">
      <c r="B376" s="2"/>
      <c r="C376" s="2"/>
      <c r="D376" s="2"/>
      <c r="E376" s="2"/>
      <c r="F376" s="2"/>
      <c r="G376" s="2"/>
      <c r="H376" s="2"/>
      <c r="I376" s="2"/>
    </row>
    <row r="377" spans="2:9" ht="15.75" customHeight="1">
      <c r="B377" s="2"/>
      <c r="C377" s="2"/>
      <c r="D377" s="2"/>
      <c r="E377" s="2"/>
      <c r="F377" s="2"/>
      <c r="G377" s="2"/>
      <c r="H377" s="2"/>
      <c r="I377" s="2"/>
    </row>
    <row r="378" spans="2:9" ht="15.75" customHeight="1">
      <c r="B378" s="2"/>
      <c r="C378" s="2"/>
      <c r="D378" s="2"/>
      <c r="E378" s="2"/>
      <c r="F378" s="2"/>
      <c r="G378" s="2"/>
      <c r="H378" s="2"/>
      <c r="I378" s="2"/>
    </row>
    <row r="379" spans="2:9" ht="15.75" customHeight="1">
      <c r="B379" s="2"/>
      <c r="C379" s="2"/>
      <c r="D379" s="2"/>
      <c r="E379" s="2"/>
      <c r="F379" s="2"/>
      <c r="G379" s="2"/>
      <c r="H379" s="2"/>
      <c r="I379" s="2"/>
    </row>
    <row r="380" spans="2:9" ht="15.75" customHeight="1">
      <c r="B380" s="2"/>
      <c r="C380" s="2"/>
      <c r="D380" s="2"/>
      <c r="E380" s="2"/>
      <c r="F380" s="2"/>
      <c r="G380" s="2"/>
      <c r="H380" s="2"/>
      <c r="I380" s="2"/>
    </row>
    <row r="381" spans="2:9" ht="15.75" customHeight="1">
      <c r="B381" s="2"/>
      <c r="C381" s="2"/>
      <c r="D381" s="2"/>
      <c r="E381" s="2"/>
      <c r="F381" s="2"/>
      <c r="G381" s="2"/>
      <c r="H381" s="2"/>
      <c r="I381" s="2"/>
    </row>
    <row r="382" spans="2:9" ht="15.75" customHeight="1">
      <c r="B382" s="2"/>
      <c r="C382" s="2"/>
      <c r="D382" s="2"/>
      <c r="E382" s="2"/>
      <c r="F382" s="2"/>
      <c r="G382" s="2"/>
      <c r="H382" s="2"/>
      <c r="I382" s="2"/>
    </row>
    <row r="383" spans="2:9" ht="15.75" customHeight="1">
      <c r="B383" s="2"/>
      <c r="C383" s="2"/>
      <c r="D383" s="2"/>
      <c r="E383" s="2"/>
      <c r="F383" s="2"/>
      <c r="G383" s="2"/>
      <c r="H383" s="2"/>
      <c r="I383" s="2"/>
    </row>
    <row r="384" spans="2:9" ht="15.75" customHeight="1">
      <c r="B384" s="2"/>
      <c r="C384" s="2"/>
      <c r="D384" s="2"/>
      <c r="E384" s="2"/>
      <c r="F384" s="2"/>
      <c r="G384" s="2"/>
      <c r="H384" s="2"/>
      <c r="I384" s="2"/>
    </row>
    <row r="385" spans="2:9" ht="15.75" customHeight="1">
      <c r="B385" s="2"/>
      <c r="C385" s="2"/>
      <c r="D385" s="2"/>
      <c r="E385" s="2"/>
      <c r="F385" s="2"/>
      <c r="G385" s="2"/>
      <c r="H385" s="2"/>
      <c r="I385" s="2"/>
    </row>
    <row r="386" spans="2:9" ht="15.75" customHeight="1">
      <c r="B386" s="2"/>
      <c r="C386" s="2"/>
      <c r="D386" s="2"/>
      <c r="E386" s="2"/>
      <c r="F386" s="2"/>
      <c r="G386" s="2"/>
      <c r="H386" s="2"/>
      <c r="I386" s="2"/>
    </row>
    <row r="387" spans="2:9" ht="15.75" customHeight="1">
      <c r="B387" s="2"/>
      <c r="C387" s="2"/>
      <c r="D387" s="2"/>
      <c r="E387" s="2"/>
      <c r="F387" s="2"/>
      <c r="G387" s="2"/>
      <c r="H387" s="2"/>
      <c r="I387" s="2"/>
    </row>
    <row r="388" spans="2:9" ht="15.75" customHeight="1">
      <c r="B388" s="2"/>
      <c r="C388" s="2"/>
      <c r="D388" s="2"/>
      <c r="E388" s="2"/>
      <c r="F388" s="2"/>
      <c r="G388" s="2"/>
      <c r="H388" s="2"/>
      <c r="I388" s="2"/>
    </row>
    <row r="389" spans="2:9" ht="15.75" customHeight="1">
      <c r="B389" s="2"/>
      <c r="C389" s="2"/>
      <c r="D389" s="2"/>
      <c r="E389" s="2"/>
      <c r="F389" s="2"/>
      <c r="G389" s="2"/>
      <c r="H389" s="2"/>
      <c r="I389" s="2"/>
    </row>
    <row r="390" spans="2:9" ht="15.75" customHeight="1">
      <c r="B390" s="2"/>
      <c r="C390" s="2"/>
      <c r="D390" s="2"/>
      <c r="E390" s="2"/>
      <c r="F390" s="2"/>
      <c r="G390" s="2"/>
      <c r="H390" s="2"/>
      <c r="I390" s="2"/>
    </row>
    <row r="391" spans="2:9" ht="15.75" customHeight="1">
      <c r="B391" s="2"/>
      <c r="C391" s="2"/>
      <c r="D391" s="2"/>
      <c r="E391" s="2"/>
      <c r="F391" s="2"/>
      <c r="G391" s="2"/>
      <c r="H391" s="2"/>
      <c r="I391" s="2"/>
    </row>
    <row r="392" spans="2:9" ht="15.75" customHeight="1">
      <c r="B392" s="2"/>
      <c r="C392" s="2"/>
      <c r="D392" s="2"/>
      <c r="E392" s="2"/>
      <c r="F392" s="2"/>
      <c r="G392" s="2"/>
      <c r="H392" s="2"/>
      <c r="I392" s="2"/>
    </row>
    <row r="393" spans="2:9" ht="15.75" customHeight="1">
      <c r="B393" s="2"/>
      <c r="C393" s="2"/>
      <c r="D393" s="2"/>
      <c r="E393" s="2"/>
      <c r="F393" s="2"/>
      <c r="G393" s="2"/>
      <c r="H393" s="2"/>
      <c r="I393" s="2"/>
    </row>
    <row r="394" spans="2:9" ht="15.75" customHeight="1">
      <c r="B394" s="2"/>
      <c r="C394" s="2"/>
      <c r="D394" s="2"/>
      <c r="E394" s="2"/>
      <c r="F394" s="2"/>
      <c r="G394" s="2"/>
      <c r="H394" s="2"/>
      <c r="I394" s="2"/>
    </row>
    <row r="395" spans="2:9" ht="15.75" customHeight="1">
      <c r="B395" s="2"/>
      <c r="C395" s="2"/>
      <c r="D395" s="2"/>
      <c r="E395" s="2"/>
      <c r="F395" s="2"/>
      <c r="G395" s="2"/>
      <c r="H395" s="2"/>
      <c r="I395" s="2"/>
    </row>
    <row r="396" spans="2:9" ht="15.75" customHeight="1">
      <c r="B396" s="2"/>
      <c r="C396" s="2"/>
      <c r="D396" s="2"/>
      <c r="E396" s="2"/>
      <c r="F396" s="2"/>
      <c r="G396" s="2"/>
      <c r="H396" s="2"/>
      <c r="I396" s="2"/>
    </row>
    <row r="397" spans="2:9" ht="15.75" customHeight="1">
      <c r="B397" s="2"/>
      <c r="C397" s="2"/>
      <c r="D397" s="2"/>
      <c r="E397" s="2"/>
      <c r="F397" s="2"/>
      <c r="G397" s="2"/>
      <c r="H397" s="2"/>
      <c r="I397" s="2"/>
    </row>
    <row r="398" spans="2:9" ht="15.75" customHeight="1">
      <c r="B398" s="2"/>
      <c r="C398" s="2"/>
      <c r="D398" s="2"/>
      <c r="E398" s="2"/>
      <c r="F398" s="2"/>
      <c r="G398" s="2"/>
      <c r="H398" s="2"/>
      <c r="I398" s="2"/>
    </row>
    <row r="399" spans="2:9" ht="15.75" customHeight="1">
      <c r="B399" s="2"/>
      <c r="C399" s="2"/>
      <c r="D399" s="2"/>
      <c r="E399" s="2"/>
      <c r="F399" s="2"/>
      <c r="G399" s="2"/>
      <c r="H399" s="2"/>
      <c r="I399" s="2"/>
    </row>
    <row r="400" spans="2:9" ht="15.75" customHeight="1">
      <c r="B400" s="2"/>
      <c r="C400" s="2"/>
      <c r="D400" s="2"/>
      <c r="E400" s="2"/>
      <c r="F400" s="2"/>
      <c r="G400" s="2"/>
      <c r="H400" s="2"/>
      <c r="I400" s="2"/>
    </row>
    <row r="401" spans="2:9" ht="15.75" customHeight="1">
      <c r="B401" s="2"/>
      <c r="C401" s="2"/>
      <c r="D401" s="2"/>
      <c r="E401" s="2"/>
      <c r="F401" s="2"/>
      <c r="G401" s="2"/>
      <c r="H401" s="2"/>
      <c r="I401" s="2"/>
    </row>
    <row r="402" spans="2:9" ht="15.75" customHeight="1">
      <c r="B402" s="2"/>
      <c r="C402" s="2"/>
      <c r="D402" s="2"/>
      <c r="E402" s="2"/>
      <c r="F402" s="2"/>
      <c r="G402" s="2"/>
      <c r="H402" s="2"/>
      <c r="I402" s="2"/>
    </row>
    <row r="403" spans="2:9" ht="15.75" customHeight="1">
      <c r="B403" s="2"/>
      <c r="C403" s="2"/>
      <c r="D403" s="2"/>
      <c r="E403" s="2"/>
      <c r="F403" s="2"/>
      <c r="G403" s="2"/>
      <c r="H403" s="2"/>
      <c r="I403" s="2"/>
    </row>
    <row r="404" spans="2:9" ht="15.75" customHeight="1">
      <c r="B404" s="2"/>
      <c r="C404" s="2"/>
      <c r="D404" s="2"/>
      <c r="E404" s="2"/>
      <c r="F404" s="2"/>
      <c r="G404" s="2"/>
      <c r="H404" s="2"/>
      <c r="I404" s="2"/>
    </row>
    <row r="405" spans="2:9" ht="15.75" customHeight="1">
      <c r="B405" s="2"/>
      <c r="C405" s="2"/>
      <c r="D405" s="2"/>
      <c r="E405" s="2"/>
      <c r="F405" s="2"/>
      <c r="G405" s="2"/>
      <c r="H405" s="2"/>
      <c r="I405" s="2"/>
    </row>
    <row r="406" spans="2:9" ht="15.75" customHeight="1">
      <c r="B406" s="2"/>
      <c r="C406" s="2"/>
      <c r="D406" s="2"/>
      <c r="E406" s="2"/>
      <c r="F406" s="2"/>
      <c r="G406" s="2"/>
      <c r="H406" s="2"/>
      <c r="I406" s="2"/>
    </row>
    <row r="407" spans="2:9" ht="15.75" customHeight="1">
      <c r="B407" s="2"/>
      <c r="C407" s="2"/>
      <c r="D407" s="2"/>
      <c r="E407" s="2"/>
      <c r="F407" s="2"/>
      <c r="G407" s="2"/>
      <c r="H407" s="2"/>
      <c r="I407" s="2"/>
    </row>
    <row r="408" spans="2:9" ht="15.75" customHeight="1">
      <c r="B408" s="2"/>
      <c r="C408" s="2"/>
      <c r="D408" s="2"/>
      <c r="E408" s="2"/>
      <c r="F408" s="2"/>
      <c r="G408" s="2"/>
      <c r="H408" s="2"/>
      <c r="I408" s="2"/>
    </row>
    <row r="409" spans="2:9" ht="15.75" customHeight="1">
      <c r="B409" s="2"/>
      <c r="C409" s="2"/>
      <c r="D409" s="2"/>
      <c r="E409" s="2"/>
      <c r="F409" s="2"/>
      <c r="G409" s="2"/>
      <c r="H409" s="2"/>
      <c r="I409" s="2"/>
    </row>
    <row r="410" spans="2:9" ht="15.75" customHeight="1">
      <c r="B410" s="2"/>
      <c r="C410" s="2"/>
      <c r="D410" s="2"/>
      <c r="E410" s="2"/>
      <c r="F410" s="2"/>
      <c r="G410" s="2"/>
      <c r="H410" s="2"/>
      <c r="I410" s="2"/>
    </row>
    <row r="411" spans="2:9" ht="15.75" customHeight="1">
      <c r="B411" s="2"/>
      <c r="C411" s="2"/>
      <c r="D411" s="2"/>
      <c r="E411" s="2"/>
      <c r="F411" s="2"/>
      <c r="G411" s="2"/>
      <c r="H411" s="2"/>
      <c r="I411" s="2"/>
    </row>
    <row r="412" spans="2:9" ht="15.75" customHeight="1">
      <c r="B412" s="2"/>
      <c r="C412" s="2"/>
      <c r="D412" s="2"/>
      <c r="E412" s="2"/>
      <c r="F412" s="2"/>
      <c r="G412" s="2"/>
      <c r="H412" s="2"/>
      <c r="I412" s="2"/>
    </row>
    <row r="413" spans="2:9" ht="15.75" customHeight="1">
      <c r="B413" s="2"/>
      <c r="C413" s="2"/>
      <c r="D413" s="2"/>
      <c r="E413" s="2"/>
      <c r="F413" s="2"/>
      <c r="G413" s="2"/>
      <c r="H413" s="2"/>
      <c r="I413" s="2"/>
    </row>
    <row r="414" spans="2:9" ht="15.75" customHeight="1">
      <c r="B414" s="2"/>
      <c r="C414" s="2"/>
      <c r="D414" s="2"/>
      <c r="E414" s="2"/>
      <c r="F414" s="2"/>
      <c r="G414" s="2"/>
      <c r="H414" s="2"/>
      <c r="I414" s="2"/>
    </row>
    <row r="415" spans="2:9" ht="15.75" customHeight="1">
      <c r="B415" s="2"/>
      <c r="C415" s="2"/>
      <c r="D415" s="2"/>
      <c r="E415" s="2"/>
      <c r="F415" s="2"/>
      <c r="G415" s="2"/>
      <c r="H415" s="2"/>
      <c r="I415" s="2"/>
    </row>
    <row r="416" spans="2:9" ht="15.75" customHeight="1">
      <c r="B416" s="2"/>
      <c r="C416" s="2"/>
      <c r="D416" s="2"/>
      <c r="E416" s="2"/>
      <c r="F416" s="2"/>
      <c r="G416" s="2"/>
      <c r="H416" s="2"/>
      <c r="I416" s="2"/>
    </row>
    <row r="417" spans="2:9" ht="15.75" customHeight="1">
      <c r="B417" s="2"/>
      <c r="C417" s="2"/>
      <c r="D417" s="2"/>
      <c r="E417" s="2"/>
      <c r="F417" s="2"/>
      <c r="G417" s="2"/>
      <c r="H417" s="2"/>
      <c r="I417" s="2"/>
    </row>
    <row r="418" spans="2:9" ht="15.75" customHeight="1">
      <c r="B418" s="2"/>
      <c r="C418" s="2"/>
      <c r="D418" s="2"/>
      <c r="E418" s="2"/>
      <c r="F418" s="2"/>
      <c r="G418" s="2"/>
      <c r="H418" s="2"/>
      <c r="I418" s="2"/>
    </row>
    <row r="419" spans="2:9" ht="15.75" customHeight="1">
      <c r="B419" s="2"/>
      <c r="C419" s="2"/>
      <c r="D419" s="2"/>
      <c r="E419" s="2"/>
      <c r="F419" s="2"/>
      <c r="G419" s="2"/>
      <c r="H419" s="2"/>
      <c r="I419" s="2"/>
    </row>
    <row r="420" spans="2:9" ht="15.75" customHeight="1">
      <c r="B420" s="2"/>
      <c r="C420" s="2"/>
      <c r="D420" s="2"/>
      <c r="E420" s="2"/>
      <c r="F420" s="2"/>
      <c r="G420" s="2"/>
      <c r="H420" s="2"/>
      <c r="I420" s="2"/>
    </row>
    <row r="421" spans="2:9" ht="15.75" customHeight="1">
      <c r="B421" s="2"/>
      <c r="C421" s="2"/>
      <c r="D421" s="2"/>
      <c r="E421" s="2"/>
      <c r="F421" s="2"/>
      <c r="G421" s="2"/>
      <c r="H421" s="2"/>
      <c r="I421" s="2"/>
    </row>
    <row r="422" spans="2:9" ht="15.75" customHeight="1">
      <c r="B422" s="2"/>
      <c r="C422" s="2"/>
      <c r="D422" s="2"/>
      <c r="E422" s="2"/>
      <c r="F422" s="2"/>
      <c r="G422" s="2"/>
      <c r="H422" s="2"/>
      <c r="I422" s="2"/>
    </row>
    <row r="423" spans="2:9" ht="15.75" customHeight="1">
      <c r="B423" s="2"/>
      <c r="C423" s="2"/>
      <c r="D423" s="2"/>
      <c r="E423" s="2"/>
      <c r="F423" s="2"/>
      <c r="G423" s="2"/>
      <c r="H423" s="2"/>
      <c r="I423" s="2"/>
    </row>
    <row r="424" spans="2:9" ht="15.75" customHeight="1">
      <c r="B424" s="2"/>
      <c r="C424" s="2"/>
      <c r="D424" s="2"/>
      <c r="E424" s="2"/>
      <c r="F424" s="2"/>
      <c r="G424" s="2"/>
      <c r="H424" s="2"/>
      <c r="I424" s="2"/>
    </row>
    <row r="425" spans="2:9" ht="15.75" customHeight="1">
      <c r="B425" s="2"/>
      <c r="C425" s="2"/>
      <c r="D425" s="2"/>
      <c r="E425" s="2"/>
      <c r="F425" s="2"/>
      <c r="G425" s="2"/>
      <c r="H425" s="2"/>
      <c r="I425" s="2"/>
    </row>
    <row r="426" spans="2:9" ht="15.75" customHeight="1">
      <c r="B426" s="2"/>
      <c r="C426" s="2"/>
      <c r="D426" s="2"/>
      <c r="E426" s="2"/>
      <c r="F426" s="2"/>
      <c r="G426" s="2"/>
      <c r="H426" s="2"/>
      <c r="I426" s="2"/>
    </row>
    <row r="427" spans="2:9" ht="15.75" customHeight="1">
      <c r="B427" s="2"/>
      <c r="C427" s="2"/>
      <c r="D427" s="2"/>
      <c r="E427" s="2"/>
      <c r="F427" s="2"/>
      <c r="G427" s="2"/>
      <c r="H427" s="2"/>
      <c r="I427" s="2"/>
    </row>
    <row r="428" spans="2:9" ht="15.75" customHeight="1">
      <c r="B428" s="2"/>
      <c r="C428" s="2"/>
      <c r="D428" s="2"/>
      <c r="E428" s="2"/>
      <c r="F428" s="2"/>
      <c r="G428" s="2"/>
      <c r="H428" s="2"/>
      <c r="I428" s="2"/>
    </row>
    <row r="429" spans="2:9" ht="15.75" customHeight="1">
      <c r="B429" s="2"/>
      <c r="C429" s="2"/>
      <c r="D429" s="2"/>
      <c r="E429" s="2"/>
      <c r="F429" s="2"/>
      <c r="G429" s="2"/>
      <c r="H429" s="2"/>
      <c r="I429" s="2"/>
    </row>
    <row r="430" spans="2:9" ht="15.75" customHeight="1">
      <c r="B430" s="2"/>
      <c r="C430" s="2"/>
      <c r="D430" s="2"/>
      <c r="E430" s="2"/>
      <c r="F430" s="2"/>
      <c r="G430" s="2"/>
      <c r="H430" s="2"/>
      <c r="I430" s="2"/>
    </row>
    <row r="431" spans="2:9" ht="15.75" customHeight="1">
      <c r="B431" s="2"/>
      <c r="C431" s="2"/>
      <c r="D431" s="2"/>
      <c r="E431" s="2"/>
      <c r="F431" s="2"/>
      <c r="G431" s="2"/>
      <c r="H431" s="2"/>
      <c r="I431" s="2"/>
    </row>
    <row r="432" spans="2:9" ht="15.75" customHeight="1">
      <c r="B432" s="2"/>
      <c r="C432" s="2"/>
      <c r="D432" s="2"/>
      <c r="E432" s="2"/>
      <c r="F432" s="2"/>
      <c r="G432" s="2"/>
      <c r="H432" s="2"/>
      <c r="I432" s="2"/>
    </row>
    <row r="433" spans="2:9" ht="15.75" customHeight="1">
      <c r="B433" s="2"/>
      <c r="C433" s="2"/>
      <c r="D433" s="2"/>
      <c r="E433" s="2"/>
      <c r="F433" s="2"/>
      <c r="G433" s="2"/>
      <c r="H433" s="2"/>
      <c r="I433" s="2"/>
    </row>
    <row r="434" spans="2:9" ht="15.75" customHeight="1">
      <c r="B434" s="2"/>
      <c r="C434" s="2"/>
      <c r="D434" s="2"/>
      <c r="E434" s="2"/>
      <c r="F434" s="2"/>
      <c r="G434" s="2"/>
      <c r="H434" s="2"/>
      <c r="I434" s="2"/>
    </row>
    <row r="435" spans="2:9" ht="15.75" customHeight="1">
      <c r="B435" s="2"/>
      <c r="C435" s="2"/>
      <c r="D435" s="2"/>
      <c r="E435" s="2"/>
      <c r="F435" s="2"/>
      <c r="G435" s="2"/>
      <c r="H435" s="2"/>
      <c r="I435" s="2"/>
    </row>
    <row r="436" spans="2:9" ht="15.75" customHeight="1">
      <c r="B436" s="2"/>
      <c r="C436" s="2"/>
      <c r="D436" s="2"/>
      <c r="E436" s="2"/>
      <c r="F436" s="2"/>
      <c r="G436" s="2"/>
      <c r="H436" s="2"/>
      <c r="I436" s="2"/>
    </row>
    <row r="437" spans="2:9" ht="15.75" customHeight="1">
      <c r="B437" s="2"/>
      <c r="C437" s="2"/>
      <c r="D437" s="2"/>
      <c r="E437" s="2"/>
      <c r="F437" s="2"/>
      <c r="G437" s="2"/>
      <c r="H437" s="2"/>
      <c r="I437" s="2"/>
    </row>
    <row r="438" spans="2:9" ht="15.75" customHeight="1">
      <c r="B438" s="2"/>
      <c r="C438" s="2"/>
      <c r="D438" s="2"/>
      <c r="E438" s="2"/>
      <c r="F438" s="2"/>
      <c r="G438" s="2"/>
      <c r="H438" s="2"/>
      <c r="I438" s="2"/>
    </row>
    <row r="439" spans="2:9" ht="15.75" customHeight="1">
      <c r="B439" s="2"/>
      <c r="C439" s="2"/>
      <c r="D439" s="2"/>
      <c r="E439" s="2"/>
      <c r="F439" s="2"/>
      <c r="G439" s="2"/>
      <c r="H439" s="2"/>
      <c r="I439" s="2"/>
    </row>
    <row r="440" spans="2:9" ht="15.75" customHeight="1">
      <c r="B440" s="2"/>
      <c r="C440" s="2"/>
      <c r="D440" s="2"/>
      <c r="E440" s="2"/>
      <c r="F440" s="2"/>
      <c r="G440" s="2"/>
      <c r="H440" s="2"/>
      <c r="I440" s="2"/>
    </row>
    <row r="441" spans="2:9" ht="15.75" customHeight="1">
      <c r="B441" s="2"/>
      <c r="C441" s="2"/>
      <c r="D441" s="2"/>
      <c r="E441" s="2"/>
      <c r="F441" s="2"/>
      <c r="G441" s="2"/>
      <c r="H441" s="2"/>
      <c r="I441" s="2"/>
    </row>
    <row r="442" spans="2:9" ht="15.75" customHeight="1">
      <c r="B442" s="2"/>
      <c r="C442" s="2"/>
      <c r="D442" s="2"/>
      <c r="E442" s="2"/>
      <c r="F442" s="2"/>
      <c r="G442" s="2"/>
      <c r="H442" s="2"/>
      <c r="I442" s="2"/>
    </row>
    <row r="443" spans="2:9" ht="15.75" customHeight="1">
      <c r="B443" s="2"/>
      <c r="C443" s="2"/>
      <c r="D443" s="2"/>
      <c r="E443" s="2"/>
      <c r="F443" s="2"/>
      <c r="G443" s="2"/>
      <c r="H443" s="2"/>
      <c r="I443" s="2"/>
    </row>
    <row r="444" spans="2:9" ht="15.75" customHeight="1">
      <c r="B444" s="2"/>
      <c r="C444" s="2"/>
      <c r="D444" s="2"/>
      <c r="E444" s="2"/>
      <c r="F444" s="2"/>
      <c r="G444" s="2"/>
      <c r="H444" s="2"/>
      <c r="I444" s="2"/>
    </row>
    <row r="445" spans="2:9" ht="15.75" customHeight="1">
      <c r="B445" s="2"/>
      <c r="C445" s="2"/>
      <c r="D445" s="2"/>
      <c r="E445" s="2"/>
      <c r="F445" s="2"/>
      <c r="G445" s="2"/>
      <c r="H445" s="2"/>
      <c r="I445" s="2"/>
    </row>
    <row r="446" spans="2:9" ht="15.75" customHeight="1">
      <c r="B446" s="2"/>
      <c r="C446" s="2"/>
      <c r="D446" s="2"/>
      <c r="E446" s="2"/>
      <c r="F446" s="2"/>
      <c r="G446" s="2"/>
      <c r="H446" s="2"/>
      <c r="I446" s="2"/>
    </row>
    <row r="447" spans="2:9" ht="15.75" customHeight="1">
      <c r="B447" s="2"/>
      <c r="C447" s="2"/>
      <c r="D447" s="2"/>
      <c r="E447" s="2"/>
      <c r="F447" s="2"/>
      <c r="G447" s="2"/>
      <c r="H447" s="2"/>
      <c r="I447" s="2"/>
    </row>
    <row r="448" spans="2:9" ht="15.75" customHeight="1">
      <c r="B448" s="2"/>
      <c r="C448" s="2"/>
      <c r="D448" s="2"/>
      <c r="E448" s="2"/>
      <c r="F448" s="2"/>
      <c r="G448" s="2"/>
      <c r="H448" s="2"/>
      <c r="I448" s="2"/>
    </row>
    <row r="449" spans="2:9" ht="15.75" customHeight="1">
      <c r="B449" s="2"/>
      <c r="C449" s="2"/>
      <c r="D449" s="2"/>
      <c r="E449" s="2"/>
      <c r="F449" s="2"/>
      <c r="G449" s="2"/>
      <c r="H449" s="2"/>
      <c r="I449" s="2"/>
    </row>
    <row r="450" spans="2:9" ht="15.75" customHeight="1">
      <c r="B450" s="2"/>
      <c r="C450" s="2"/>
      <c r="D450" s="2"/>
      <c r="E450" s="2"/>
      <c r="F450" s="2"/>
      <c r="G450" s="2"/>
      <c r="H450" s="2"/>
      <c r="I450" s="2"/>
    </row>
    <row r="451" spans="2:9" ht="15.75" customHeight="1">
      <c r="B451" s="2"/>
      <c r="C451" s="2"/>
      <c r="D451" s="2"/>
      <c r="E451" s="2"/>
      <c r="F451" s="2"/>
      <c r="G451" s="2"/>
      <c r="H451" s="2"/>
      <c r="I451" s="2"/>
    </row>
    <row r="452" spans="2:9" ht="15.75" customHeight="1">
      <c r="B452" s="2"/>
      <c r="C452" s="2"/>
      <c r="D452" s="2"/>
      <c r="E452" s="2"/>
      <c r="F452" s="2"/>
      <c r="G452" s="2"/>
      <c r="H452" s="2"/>
      <c r="I452" s="2"/>
    </row>
    <row r="453" spans="2:9" ht="15.75" customHeight="1">
      <c r="B453" s="2"/>
      <c r="C453" s="2"/>
      <c r="D453" s="2"/>
      <c r="E453" s="2"/>
      <c r="F453" s="2"/>
      <c r="G453" s="2"/>
      <c r="H453" s="2"/>
      <c r="I453" s="2"/>
    </row>
    <row r="454" spans="2:9" ht="15.75" customHeight="1">
      <c r="B454" s="2"/>
      <c r="C454" s="2"/>
      <c r="D454" s="2"/>
      <c r="E454" s="2"/>
      <c r="F454" s="2"/>
      <c r="G454" s="2"/>
      <c r="H454" s="2"/>
      <c r="I454" s="2"/>
    </row>
    <row r="455" spans="2:9" ht="15.75" customHeight="1">
      <c r="B455" s="2"/>
      <c r="C455" s="2"/>
      <c r="D455" s="2"/>
      <c r="E455" s="2"/>
      <c r="F455" s="2"/>
      <c r="G455" s="2"/>
      <c r="H455" s="2"/>
      <c r="I455" s="2"/>
    </row>
    <row r="456" spans="2:9" ht="15.75" customHeight="1">
      <c r="B456" s="2"/>
      <c r="C456" s="2"/>
      <c r="D456" s="2"/>
      <c r="E456" s="2"/>
      <c r="F456" s="2"/>
      <c r="G456" s="2"/>
      <c r="H456" s="2"/>
      <c r="I456" s="2"/>
    </row>
    <row r="457" spans="2:9" ht="15.75" customHeight="1">
      <c r="B457" s="2"/>
      <c r="C457" s="2"/>
      <c r="D457" s="2"/>
      <c r="E457" s="2"/>
      <c r="F457" s="2"/>
      <c r="G457" s="2"/>
      <c r="H457" s="2"/>
      <c r="I457" s="2"/>
    </row>
    <row r="458" spans="2:9" ht="15.75" customHeight="1">
      <c r="B458" s="2"/>
      <c r="C458" s="2"/>
      <c r="D458" s="2"/>
      <c r="E458" s="2"/>
      <c r="F458" s="2"/>
      <c r="G458" s="2"/>
      <c r="H458" s="2"/>
      <c r="I458" s="2"/>
    </row>
    <row r="459" spans="2:9" ht="15.75" customHeight="1">
      <c r="B459" s="2"/>
      <c r="C459" s="2"/>
      <c r="D459" s="2"/>
      <c r="E459" s="2"/>
      <c r="F459" s="2"/>
      <c r="G459" s="2"/>
      <c r="H459" s="2"/>
      <c r="I459" s="2"/>
    </row>
    <row r="460" spans="2:9" ht="15.75" customHeight="1">
      <c r="B460" s="2"/>
      <c r="C460" s="2"/>
      <c r="D460" s="2"/>
      <c r="E460" s="2"/>
      <c r="F460" s="2"/>
      <c r="G460" s="2"/>
      <c r="H460" s="2"/>
      <c r="I460" s="2"/>
    </row>
    <row r="461" spans="2:9" ht="15.75" customHeight="1">
      <c r="B461" s="2"/>
      <c r="C461" s="2"/>
      <c r="D461" s="2"/>
      <c r="E461" s="2"/>
      <c r="F461" s="2"/>
      <c r="G461" s="2"/>
      <c r="H461" s="2"/>
      <c r="I461" s="2"/>
    </row>
    <row r="462" spans="2:9" ht="15.75" customHeight="1">
      <c r="B462" s="2"/>
      <c r="C462" s="2"/>
      <c r="D462" s="2"/>
      <c r="E462" s="2"/>
      <c r="F462" s="2"/>
      <c r="G462" s="2"/>
      <c r="H462" s="2"/>
      <c r="I462" s="2"/>
    </row>
    <row r="463" spans="2:9" ht="15.75" customHeight="1">
      <c r="B463" s="2"/>
      <c r="C463" s="2"/>
      <c r="D463" s="2"/>
      <c r="E463" s="2"/>
      <c r="F463" s="2"/>
      <c r="G463" s="2"/>
      <c r="H463" s="2"/>
      <c r="I463" s="2"/>
    </row>
    <row r="464" spans="2:9" ht="15.75" customHeight="1">
      <c r="B464" s="2"/>
      <c r="C464" s="2"/>
      <c r="D464" s="2"/>
      <c r="E464" s="2"/>
      <c r="F464" s="2"/>
      <c r="G464" s="2"/>
      <c r="H464" s="2"/>
      <c r="I464" s="2"/>
    </row>
    <row r="465" spans="2:9" ht="15.75" customHeight="1">
      <c r="B465" s="2"/>
      <c r="C465" s="2"/>
      <c r="D465" s="2"/>
      <c r="E465" s="2"/>
      <c r="F465" s="2"/>
      <c r="G465" s="2"/>
      <c r="H465" s="2"/>
      <c r="I465" s="2"/>
    </row>
    <row r="466" spans="2:9" ht="15.75" customHeight="1">
      <c r="B466" s="2"/>
      <c r="C466" s="2"/>
      <c r="D466" s="2"/>
      <c r="E466" s="2"/>
      <c r="F466" s="2"/>
      <c r="G466" s="2"/>
      <c r="H466" s="2"/>
      <c r="I466" s="2"/>
    </row>
    <row r="467" spans="2:9" ht="15.75" customHeight="1">
      <c r="B467" s="2"/>
      <c r="C467" s="2"/>
      <c r="D467" s="2"/>
      <c r="E467" s="2"/>
      <c r="F467" s="2"/>
      <c r="G467" s="2"/>
      <c r="H467" s="2"/>
      <c r="I467" s="2"/>
    </row>
    <row r="468" spans="2:9" ht="15.75" customHeight="1">
      <c r="B468" s="2"/>
      <c r="C468" s="2"/>
      <c r="D468" s="2"/>
      <c r="E468" s="2"/>
      <c r="F468" s="2"/>
      <c r="G468" s="2"/>
      <c r="H468" s="2"/>
      <c r="I468" s="2"/>
    </row>
    <row r="469" spans="2:9" ht="15.75" customHeight="1">
      <c r="B469" s="2"/>
      <c r="C469" s="2"/>
      <c r="D469" s="2"/>
      <c r="E469" s="2"/>
      <c r="F469" s="2"/>
      <c r="G469" s="2"/>
      <c r="H469" s="2"/>
      <c r="I469" s="2"/>
    </row>
    <row r="470" spans="2:9" ht="15.75" customHeight="1">
      <c r="B470" s="2"/>
      <c r="C470" s="2"/>
      <c r="D470" s="2"/>
      <c r="E470" s="2"/>
      <c r="F470" s="2"/>
      <c r="G470" s="2"/>
      <c r="H470" s="2"/>
      <c r="I470" s="2"/>
    </row>
    <row r="471" spans="2:9" ht="15.75" customHeight="1">
      <c r="B471" s="2"/>
      <c r="C471" s="2"/>
      <c r="D471" s="2"/>
      <c r="E471" s="2"/>
      <c r="F471" s="2"/>
      <c r="G471" s="2"/>
      <c r="H471" s="2"/>
      <c r="I471" s="2"/>
    </row>
    <row r="472" spans="2:9" ht="15.75" customHeight="1">
      <c r="B472" s="2"/>
      <c r="C472" s="2"/>
      <c r="D472" s="2"/>
      <c r="E472" s="2"/>
      <c r="F472" s="2"/>
      <c r="G472" s="2"/>
      <c r="H472" s="2"/>
      <c r="I472" s="2"/>
    </row>
    <row r="473" spans="2:9" ht="15.75" customHeight="1">
      <c r="B473" s="2"/>
      <c r="C473" s="2"/>
      <c r="D473" s="2"/>
      <c r="E473" s="2"/>
      <c r="F473" s="2"/>
      <c r="G473" s="2"/>
      <c r="H473" s="2"/>
      <c r="I473" s="2"/>
    </row>
    <row r="474" spans="2:9" ht="15.75" customHeight="1">
      <c r="B474" s="2"/>
      <c r="C474" s="2"/>
      <c r="D474" s="2"/>
      <c r="E474" s="2"/>
      <c r="F474" s="2"/>
      <c r="G474" s="2"/>
      <c r="H474" s="2"/>
      <c r="I474" s="2"/>
    </row>
    <row r="475" spans="2:9" ht="15.75" customHeight="1">
      <c r="B475" s="2"/>
      <c r="C475" s="2"/>
      <c r="D475" s="2"/>
      <c r="E475" s="2"/>
      <c r="F475" s="2"/>
      <c r="G475" s="2"/>
      <c r="H475" s="2"/>
      <c r="I475" s="2"/>
    </row>
    <row r="476" spans="2:9" ht="15.75" customHeight="1">
      <c r="B476" s="2"/>
      <c r="C476" s="2"/>
      <c r="D476" s="2"/>
      <c r="E476" s="2"/>
      <c r="F476" s="2"/>
      <c r="G476" s="2"/>
      <c r="H476" s="2"/>
      <c r="I476" s="2"/>
    </row>
    <row r="477" spans="2:9" ht="15.75" customHeight="1">
      <c r="B477" s="2"/>
      <c r="C477" s="2"/>
      <c r="D477" s="2"/>
      <c r="E477" s="2"/>
      <c r="F477" s="2"/>
      <c r="G477" s="2"/>
      <c r="H477" s="2"/>
      <c r="I477" s="2"/>
    </row>
    <row r="478" spans="2:9" ht="15.75" customHeight="1">
      <c r="B478" s="2"/>
      <c r="C478" s="2"/>
      <c r="D478" s="2"/>
      <c r="E478" s="2"/>
      <c r="F478" s="2"/>
      <c r="G478" s="2"/>
      <c r="H478" s="2"/>
      <c r="I478" s="2"/>
    </row>
    <row r="479" spans="2:9" ht="15.75" customHeight="1">
      <c r="B479" s="2"/>
      <c r="C479" s="2"/>
      <c r="D479" s="2"/>
      <c r="E479" s="2"/>
      <c r="F479" s="2"/>
      <c r="G479" s="2"/>
      <c r="H479" s="2"/>
      <c r="I479" s="2"/>
    </row>
    <row r="480" spans="2:9" ht="15.75" customHeight="1">
      <c r="B480" s="2"/>
      <c r="C480" s="2"/>
      <c r="D480" s="2"/>
      <c r="E480" s="2"/>
      <c r="F480" s="2"/>
      <c r="G480" s="2"/>
      <c r="H480" s="2"/>
      <c r="I480" s="2"/>
    </row>
    <row r="481" spans="2:9" ht="15.75" customHeight="1">
      <c r="B481" s="2"/>
      <c r="C481" s="2"/>
      <c r="D481" s="2"/>
      <c r="E481" s="2"/>
      <c r="F481" s="2"/>
      <c r="G481" s="2"/>
      <c r="H481" s="2"/>
      <c r="I481" s="2"/>
    </row>
    <row r="482" spans="2:9" ht="15.75" customHeight="1">
      <c r="B482" s="2"/>
      <c r="C482" s="2"/>
      <c r="D482" s="2"/>
      <c r="E482" s="2"/>
      <c r="F482" s="2"/>
      <c r="G482" s="2"/>
      <c r="H482" s="2"/>
      <c r="I482" s="2"/>
    </row>
    <row r="483" spans="2:9" ht="15.75" customHeight="1">
      <c r="B483" s="2"/>
      <c r="C483" s="2"/>
      <c r="D483" s="2"/>
      <c r="E483" s="2"/>
      <c r="F483" s="2"/>
      <c r="G483" s="2"/>
      <c r="H483" s="2"/>
      <c r="I483" s="2"/>
    </row>
    <row r="484" spans="2:9" ht="15.75" customHeight="1">
      <c r="B484" s="2"/>
      <c r="C484" s="2"/>
      <c r="D484" s="2"/>
      <c r="E484" s="2"/>
      <c r="F484" s="2"/>
      <c r="G484" s="2"/>
      <c r="H484" s="2"/>
      <c r="I484" s="2"/>
    </row>
    <row r="485" spans="2:9" ht="15.75" customHeight="1">
      <c r="B485" s="2"/>
      <c r="C485" s="2"/>
      <c r="D485" s="2"/>
      <c r="E485" s="2"/>
      <c r="F485" s="2"/>
      <c r="G485" s="2"/>
      <c r="H485" s="2"/>
      <c r="I485" s="2"/>
    </row>
    <row r="486" spans="2:9" ht="15.75" customHeight="1">
      <c r="B486" s="2"/>
      <c r="C486" s="2"/>
      <c r="D486" s="2"/>
      <c r="E486" s="2"/>
      <c r="F486" s="2"/>
      <c r="G486" s="2"/>
      <c r="H486" s="2"/>
      <c r="I486" s="2"/>
    </row>
    <row r="487" spans="2:9" ht="15.75" customHeight="1">
      <c r="B487" s="2"/>
      <c r="C487" s="2"/>
      <c r="D487" s="2"/>
      <c r="E487" s="2"/>
      <c r="F487" s="2"/>
      <c r="G487" s="2"/>
      <c r="H487" s="2"/>
      <c r="I487" s="2"/>
    </row>
    <row r="488" spans="2:9" ht="15.75" customHeight="1">
      <c r="B488" s="2"/>
      <c r="C488" s="2"/>
      <c r="D488" s="2"/>
      <c r="E488" s="2"/>
      <c r="F488" s="2"/>
      <c r="G488" s="2"/>
      <c r="H488" s="2"/>
      <c r="I488" s="2"/>
    </row>
    <row r="489" spans="2:9" ht="15.75" customHeight="1">
      <c r="B489" s="2"/>
      <c r="C489" s="2"/>
      <c r="D489" s="2"/>
      <c r="E489" s="2"/>
      <c r="F489" s="2"/>
      <c r="G489" s="2"/>
      <c r="H489" s="2"/>
      <c r="I489" s="2"/>
    </row>
    <row r="490" spans="2:9" ht="15.75" customHeight="1">
      <c r="B490" s="2"/>
      <c r="C490" s="2"/>
      <c r="D490" s="2"/>
      <c r="E490" s="2"/>
      <c r="F490" s="2"/>
      <c r="G490" s="2"/>
      <c r="H490" s="2"/>
      <c r="I490" s="2"/>
    </row>
    <row r="491" spans="2:9" ht="15.75" customHeight="1">
      <c r="B491" s="2"/>
      <c r="C491" s="2"/>
      <c r="D491" s="2"/>
      <c r="E491" s="2"/>
      <c r="F491" s="2"/>
      <c r="G491" s="2"/>
      <c r="H491" s="2"/>
      <c r="I491" s="2"/>
    </row>
    <row r="492" spans="2:9" ht="15.75" customHeight="1">
      <c r="B492" s="2"/>
      <c r="C492" s="2"/>
      <c r="D492" s="2"/>
      <c r="E492" s="2"/>
      <c r="F492" s="2"/>
      <c r="G492" s="2"/>
      <c r="H492" s="2"/>
      <c r="I492" s="2"/>
    </row>
    <row r="493" spans="2:9" ht="15.75" customHeight="1">
      <c r="B493" s="2"/>
      <c r="C493" s="2"/>
      <c r="D493" s="2"/>
      <c r="E493" s="2"/>
      <c r="F493" s="2"/>
      <c r="G493" s="2"/>
      <c r="H493" s="2"/>
      <c r="I493" s="2"/>
    </row>
    <row r="494" spans="2:9" ht="15.75" customHeight="1">
      <c r="B494" s="2"/>
      <c r="C494" s="2"/>
      <c r="D494" s="2"/>
      <c r="E494" s="2"/>
      <c r="F494" s="2"/>
      <c r="G494" s="2"/>
      <c r="H494" s="2"/>
      <c r="I494" s="2"/>
    </row>
    <row r="495" spans="2:9" ht="15.75" customHeight="1">
      <c r="B495" s="2"/>
      <c r="C495" s="2"/>
      <c r="D495" s="2"/>
      <c r="E495" s="2"/>
      <c r="F495" s="2"/>
      <c r="G495" s="2"/>
      <c r="H495" s="2"/>
      <c r="I495" s="2"/>
    </row>
    <row r="496" spans="2:9" ht="15.75" customHeight="1">
      <c r="B496" s="2"/>
      <c r="C496" s="2"/>
      <c r="D496" s="2"/>
      <c r="E496" s="2"/>
      <c r="F496" s="2"/>
      <c r="G496" s="2"/>
      <c r="H496" s="2"/>
      <c r="I496" s="2"/>
    </row>
    <row r="497" spans="2:9" ht="15.75" customHeight="1">
      <c r="B497" s="2"/>
      <c r="C497" s="2"/>
      <c r="D497" s="2"/>
      <c r="E497" s="2"/>
      <c r="F497" s="2"/>
      <c r="G497" s="2"/>
      <c r="H497" s="2"/>
      <c r="I497" s="2"/>
    </row>
    <row r="498" spans="2:9" ht="15.75" customHeight="1">
      <c r="B498" s="2"/>
      <c r="C498" s="2"/>
      <c r="D498" s="2"/>
      <c r="E498" s="2"/>
      <c r="F498" s="2"/>
      <c r="G498" s="2"/>
      <c r="H498" s="2"/>
      <c r="I498" s="2"/>
    </row>
    <row r="499" spans="2:9" ht="15.75" customHeight="1">
      <c r="B499" s="2"/>
      <c r="C499" s="2"/>
      <c r="D499" s="2"/>
      <c r="E499" s="2"/>
      <c r="F499" s="2"/>
      <c r="G499" s="2"/>
      <c r="H499" s="2"/>
      <c r="I499" s="2"/>
    </row>
    <row r="500" spans="2:9" ht="15.75" customHeight="1">
      <c r="B500" s="2"/>
      <c r="C500" s="2"/>
      <c r="D500" s="2"/>
      <c r="E500" s="2"/>
      <c r="F500" s="2"/>
      <c r="G500" s="2"/>
      <c r="H500" s="2"/>
      <c r="I500" s="2"/>
    </row>
    <row r="501" spans="2:9" ht="15.75" customHeight="1">
      <c r="B501" s="2"/>
      <c r="C501" s="2"/>
      <c r="D501" s="2"/>
      <c r="E501" s="2"/>
      <c r="F501" s="2"/>
      <c r="G501" s="2"/>
      <c r="H501" s="2"/>
      <c r="I501" s="2"/>
    </row>
    <row r="502" spans="2:9" ht="15.75" customHeight="1">
      <c r="B502" s="2"/>
      <c r="C502" s="2"/>
      <c r="D502" s="2"/>
      <c r="E502" s="2"/>
      <c r="F502" s="2"/>
      <c r="G502" s="2"/>
      <c r="H502" s="2"/>
      <c r="I502" s="2"/>
    </row>
    <row r="503" spans="2:9" ht="15.75" customHeight="1">
      <c r="B503" s="2"/>
      <c r="C503" s="2"/>
      <c r="D503" s="2"/>
      <c r="E503" s="2"/>
      <c r="F503" s="2"/>
      <c r="G503" s="2"/>
      <c r="H503" s="2"/>
      <c r="I503" s="2"/>
    </row>
    <row r="504" spans="2:9" ht="15.75" customHeight="1">
      <c r="B504" s="2"/>
      <c r="C504" s="2"/>
      <c r="D504" s="2"/>
      <c r="E504" s="2"/>
      <c r="F504" s="2"/>
      <c r="G504" s="2"/>
      <c r="H504" s="2"/>
      <c r="I504" s="2"/>
    </row>
    <row r="505" spans="2:9" ht="15.75" customHeight="1">
      <c r="B505" s="2"/>
      <c r="C505" s="2"/>
      <c r="D505" s="2"/>
      <c r="E505" s="2"/>
      <c r="F505" s="2"/>
      <c r="G505" s="2"/>
      <c r="H505" s="2"/>
      <c r="I505" s="2"/>
    </row>
    <row r="506" spans="2:9" ht="15.75" customHeight="1">
      <c r="B506" s="2"/>
      <c r="C506" s="2"/>
      <c r="D506" s="2"/>
      <c r="E506" s="2"/>
      <c r="F506" s="2"/>
      <c r="G506" s="2"/>
      <c r="H506" s="2"/>
      <c r="I506" s="2"/>
    </row>
    <row r="507" spans="2:9" ht="15.75" customHeight="1">
      <c r="B507" s="2"/>
      <c r="C507" s="2"/>
      <c r="D507" s="2"/>
      <c r="E507" s="2"/>
      <c r="F507" s="2"/>
      <c r="G507" s="2"/>
      <c r="H507" s="2"/>
      <c r="I507" s="2"/>
    </row>
    <row r="508" spans="2:9" ht="15.75" customHeight="1">
      <c r="B508" s="2"/>
      <c r="C508" s="2"/>
      <c r="D508" s="2"/>
      <c r="E508" s="2"/>
      <c r="F508" s="2"/>
      <c r="G508" s="2"/>
      <c r="H508" s="2"/>
      <c r="I508" s="2"/>
    </row>
    <row r="509" spans="2:9" ht="15.75" customHeight="1">
      <c r="B509" s="2"/>
      <c r="C509" s="2"/>
      <c r="D509" s="2"/>
      <c r="E509" s="2"/>
      <c r="F509" s="2"/>
      <c r="G509" s="2"/>
      <c r="H509" s="2"/>
      <c r="I509" s="2"/>
    </row>
    <row r="510" spans="2:9" ht="15.75" customHeight="1">
      <c r="B510" s="2"/>
      <c r="C510" s="2"/>
      <c r="D510" s="2"/>
      <c r="E510" s="2"/>
      <c r="F510" s="2"/>
      <c r="G510" s="2"/>
      <c r="H510" s="2"/>
      <c r="I510" s="2"/>
    </row>
    <row r="511" spans="2:9" ht="15.75" customHeight="1">
      <c r="B511" s="2"/>
      <c r="C511" s="2"/>
      <c r="D511" s="2"/>
      <c r="E511" s="2"/>
      <c r="F511" s="2"/>
      <c r="G511" s="2"/>
      <c r="H511" s="2"/>
      <c r="I511" s="2"/>
    </row>
    <row r="512" spans="2:9" ht="15.75" customHeight="1">
      <c r="B512" s="2"/>
      <c r="C512" s="2"/>
      <c r="D512" s="2"/>
      <c r="E512" s="2"/>
      <c r="F512" s="2"/>
      <c r="G512" s="2"/>
      <c r="H512" s="2"/>
      <c r="I512" s="2"/>
    </row>
    <row r="513" spans="2:9" ht="15.75" customHeight="1">
      <c r="B513" s="2"/>
      <c r="C513" s="2"/>
      <c r="D513" s="2"/>
      <c r="E513" s="2"/>
      <c r="F513" s="2"/>
      <c r="G513" s="2"/>
      <c r="H513" s="2"/>
      <c r="I513" s="2"/>
    </row>
    <row r="514" spans="2:9" ht="15.75" customHeight="1">
      <c r="B514" s="2"/>
      <c r="C514" s="2"/>
      <c r="D514" s="2"/>
      <c r="E514" s="2"/>
      <c r="F514" s="2"/>
      <c r="G514" s="2"/>
      <c r="H514" s="2"/>
      <c r="I514" s="2"/>
    </row>
    <row r="515" spans="2:9" ht="15.75" customHeight="1">
      <c r="B515" s="2"/>
      <c r="C515" s="2"/>
      <c r="D515" s="2"/>
      <c r="E515" s="2"/>
      <c r="F515" s="2"/>
      <c r="G515" s="2"/>
      <c r="H515" s="2"/>
      <c r="I515" s="2"/>
    </row>
    <row r="516" spans="2:9" ht="15.75" customHeight="1">
      <c r="B516" s="2"/>
      <c r="C516" s="2"/>
      <c r="D516" s="2"/>
      <c r="E516" s="2"/>
      <c r="F516" s="2"/>
      <c r="G516" s="2"/>
      <c r="H516" s="2"/>
      <c r="I516" s="2"/>
    </row>
    <row r="517" spans="2:9" ht="15.75" customHeight="1">
      <c r="B517" s="2"/>
      <c r="C517" s="2"/>
      <c r="D517" s="2"/>
      <c r="E517" s="2"/>
      <c r="F517" s="2"/>
      <c r="G517" s="2"/>
      <c r="H517" s="2"/>
      <c r="I517" s="2"/>
    </row>
    <row r="518" spans="2:9" ht="15.75" customHeight="1">
      <c r="B518" s="2"/>
      <c r="C518" s="2"/>
      <c r="D518" s="2"/>
      <c r="E518" s="2"/>
      <c r="F518" s="2"/>
      <c r="G518" s="2"/>
      <c r="H518" s="2"/>
      <c r="I518" s="2"/>
    </row>
    <row r="519" spans="2:9" ht="15.75" customHeight="1">
      <c r="B519" s="2"/>
      <c r="C519" s="2"/>
      <c r="D519" s="2"/>
      <c r="E519" s="2"/>
      <c r="F519" s="2"/>
      <c r="G519" s="2"/>
      <c r="H519" s="2"/>
      <c r="I519" s="2"/>
    </row>
    <row r="520" spans="2:9" ht="15.75" customHeight="1">
      <c r="B520" s="2"/>
      <c r="C520" s="2"/>
      <c r="D520" s="2"/>
      <c r="E520" s="2"/>
      <c r="F520" s="2"/>
      <c r="G520" s="2"/>
      <c r="H520" s="2"/>
      <c r="I520" s="2"/>
    </row>
    <row r="521" spans="2:9" ht="15.75" customHeight="1">
      <c r="B521" s="2"/>
      <c r="C521" s="2"/>
      <c r="D521" s="2"/>
      <c r="E521" s="2"/>
      <c r="F521" s="2"/>
      <c r="G521" s="2"/>
      <c r="H521" s="2"/>
      <c r="I521" s="2"/>
    </row>
    <row r="522" spans="2:9" ht="15.75" customHeight="1">
      <c r="B522" s="2"/>
      <c r="C522" s="2"/>
      <c r="D522" s="2"/>
      <c r="E522" s="2"/>
      <c r="F522" s="2"/>
      <c r="G522" s="2"/>
      <c r="H522" s="2"/>
      <c r="I522" s="2"/>
    </row>
    <row r="523" spans="2:9" ht="15.75" customHeight="1">
      <c r="B523" s="2"/>
      <c r="C523" s="2"/>
      <c r="D523" s="2"/>
      <c r="E523" s="2"/>
      <c r="F523" s="2"/>
      <c r="G523" s="2"/>
      <c r="H523" s="2"/>
      <c r="I523" s="2"/>
    </row>
    <row r="524" spans="2:9" ht="15.75" customHeight="1">
      <c r="B524" s="2"/>
      <c r="C524" s="2"/>
      <c r="D524" s="2"/>
      <c r="E524" s="2"/>
      <c r="F524" s="2"/>
      <c r="G524" s="2"/>
      <c r="H524" s="2"/>
      <c r="I524" s="2"/>
    </row>
    <row r="525" spans="2:9" ht="15.75" customHeight="1">
      <c r="B525" s="2"/>
      <c r="C525" s="2"/>
      <c r="D525" s="2"/>
      <c r="E525" s="2"/>
      <c r="F525" s="2"/>
      <c r="G525" s="2"/>
      <c r="H525" s="2"/>
      <c r="I525" s="2"/>
    </row>
    <row r="526" spans="2:9" ht="15.75" customHeight="1">
      <c r="B526" s="2"/>
      <c r="C526" s="2"/>
      <c r="D526" s="2"/>
      <c r="E526" s="2"/>
      <c r="F526" s="2"/>
      <c r="G526" s="2"/>
      <c r="H526" s="2"/>
      <c r="I526" s="2"/>
    </row>
    <row r="527" spans="2:9" ht="15.75" customHeight="1">
      <c r="B527" s="2"/>
      <c r="C527" s="2"/>
      <c r="D527" s="2"/>
      <c r="E527" s="2"/>
      <c r="F527" s="2"/>
      <c r="G527" s="2"/>
      <c r="H527" s="2"/>
      <c r="I527" s="2"/>
    </row>
    <row r="528" spans="2:9" ht="15.75" customHeight="1">
      <c r="B528" s="2"/>
      <c r="C528" s="2"/>
      <c r="D528" s="2"/>
      <c r="E528" s="2"/>
      <c r="F528" s="2"/>
      <c r="G528" s="2"/>
      <c r="H528" s="2"/>
      <c r="I528" s="2"/>
    </row>
    <row r="529" spans="2:9" ht="15.75" customHeight="1">
      <c r="B529" s="2"/>
      <c r="C529" s="2"/>
      <c r="D529" s="2"/>
      <c r="E529" s="2"/>
      <c r="F529" s="2"/>
      <c r="G529" s="2"/>
      <c r="H529" s="2"/>
      <c r="I529" s="2"/>
    </row>
    <row r="530" spans="2:9" ht="15.75" customHeight="1">
      <c r="B530" s="2"/>
      <c r="C530" s="2"/>
      <c r="D530" s="2"/>
      <c r="E530" s="2"/>
      <c r="F530" s="2"/>
      <c r="G530" s="2"/>
      <c r="H530" s="2"/>
      <c r="I530" s="2"/>
    </row>
    <row r="531" spans="2:9" ht="15.75" customHeight="1">
      <c r="B531" s="2"/>
      <c r="C531" s="2"/>
      <c r="D531" s="2"/>
      <c r="E531" s="2"/>
      <c r="F531" s="2"/>
      <c r="G531" s="2"/>
      <c r="H531" s="2"/>
      <c r="I531" s="2"/>
    </row>
    <row r="532" spans="2:9" ht="15.75" customHeight="1">
      <c r="B532" s="2"/>
      <c r="C532" s="2"/>
      <c r="D532" s="2"/>
      <c r="E532" s="2"/>
      <c r="F532" s="2"/>
      <c r="G532" s="2"/>
      <c r="H532" s="2"/>
      <c r="I532" s="2"/>
    </row>
    <row r="533" spans="2:9" ht="15.75" customHeight="1">
      <c r="B533" s="2"/>
      <c r="C533" s="2"/>
      <c r="D533" s="2"/>
      <c r="E533" s="2"/>
      <c r="F533" s="2"/>
      <c r="G533" s="2"/>
      <c r="H533" s="2"/>
      <c r="I533" s="2"/>
    </row>
    <row r="534" spans="2:9" ht="15.75" customHeight="1">
      <c r="B534" s="2"/>
      <c r="C534" s="2"/>
      <c r="D534" s="2"/>
      <c r="E534" s="2"/>
      <c r="F534" s="2"/>
      <c r="G534" s="2"/>
      <c r="H534" s="2"/>
      <c r="I534" s="2"/>
    </row>
    <row r="535" spans="2:9" ht="15.75" customHeight="1">
      <c r="B535" s="2"/>
      <c r="C535" s="2"/>
      <c r="D535" s="2"/>
      <c r="E535" s="2"/>
      <c r="F535" s="2"/>
      <c r="G535" s="2"/>
      <c r="H535" s="2"/>
      <c r="I535" s="2"/>
    </row>
    <row r="536" spans="2:9" ht="15.75" customHeight="1">
      <c r="B536" s="2"/>
      <c r="C536" s="2"/>
      <c r="D536" s="2"/>
      <c r="E536" s="2"/>
      <c r="F536" s="2"/>
      <c r="G536" s="2"/>
      <c r="H536" s="2"/>
      <c r="I536" s="2"/>
    </row>
    <row r="537" spans="2:9" ht="15.75" customHeight="1">
      <c r="B537" s="2"/>
      <c r="C537" s="2"/>
      <c r="D537" s="2"/>
      <c r="E537" s="2"/>
      <c r="F537" s="2"/>
      <c r="G537" s="2"/>
      <c r="H537" s="2"/>
      <c r="I537" s="2"/>
    </row>
    <row r="538" spans="2:9" ht="15.75" customHeight="1">
      <c r="B538" s="2"/>
      <c r="C538" s="2"/>
      <c r="D538" s="2"/>
      <c r="E538" s="2"/>
      <c r="F538" s="2"/>
      <c r="G538" s="2"/>
      <c r="H538" s="2"/>
      <c r="I538" s="2"/>
    </row>
    <row r="539" spans="2:9" ht="15.75" customHeight="1">
      <c r="B539" s="2"/>
      <c r="C539" s="2"/>
      <c r="D539" s="2"/>
      <c r="E539" s="2"/>
      <c r="F539" s="2"/>
      <c r="G539" s="2"/>
      <c r="H539" s="2"/>
      <c r="I539" s="2"/>
    </row>
    <row r="540" spans="2:9" ht="15.75" customHeight="1">
      <c r="B540" s="2"/>
      <c r="C540" s="2"/>
      <c r="D540" s="2"/>
      <c r="E540" s="2"/>
      <c r="F540" s="2"/>
      <c r="G540" s="2"/>
      <c r="H540" s="2"/>
      <c r="I540" s="2"/>
    </row>
    <row r="541" spans="2:9" ht="15.75" customHeight="1">
      <c r="B541" s="2"/>
      <c r="C541" s="2"/>
      <c r="D541" s="2"/>
      <c r="E541" s="2"/>
      <c r="F541" s="2"/>
      <c r="G541" s="2"/>
      <c r="H541" s="2"/>
      <c r="I541" s="2"/>
    </row>
    <row r="542" spans="2:9" ht="15.75" customHeight="1">
      <c r="B542" s="2"/>
      <c r="C542" s="2"/>
      <c r="D542" s="2"/>
      <c r="E542" s="2"/>
      <c r="F542" s="2"/>
      <c r="G542" s="2"/>
      <c r="H542" s="2"/>
      <c r="I542" s="2"/>
    </row>
    <row r="543" spans="2:9" ht="15.75" customHeight="1">
      <c r="B543" s="2"/>
      <c r="C543" s="2"/>
      <c r="D543" s="2"/>
      <c r="E543" s="2"/>
      <c r="F543" s="2"/>
      <c r="G543" s="2"/>
      <c r="H543" s="2"/>
      <c r="I543" s="2"/>
    </row>
    <row r="544" spans="2:9" ht="15.75" customHeight="1">
      <c r="B544" s="2"/>
      <c r="C544" s="2"/>
      <c r="D544" s="2"/>
      <c r="E544" s="2"/>
      <c r="F544" s="2"/>
      <c r="G544" s="2"/>
      <c r="H544" s="2"/>
      <c r="I544" s="2"/>
    </row>
    <row r="545" spans="2:9" ht="15.75" customHeight="1">
      <c r="B545" s="2"/>
      <c r="C545" s="2"/>
      <c r="D545" s="2"/>
      <c r="E545" s="2"/>
      <c r="F545" s="2"/>
      <c r="G545" s="2"/>
      <c r="H545" s="2"/>
      <c r="I545" s="2"/>
    </row>
    <row r="546" spans="2:9" ht="15.75" customHeight="1">
      <c r="B546" s="2"/>
      <c r="C546" s="2"/>
      <c r="D546" s="2"/>
      <c r="E546" s="2"/>
      <c r="F546" s="2"/>
      <c r="G546" s="2"/>
      <c r="H546" s="2"/>
      <c r="I546" s="2"/>
    </row>
    <row r="547" spans="2:9" ht="15.75" customHeight="1">
      <c r="B547" s="2"/>
      <c r="C547" s="2"/>
      <c r="D547" s="2"/>
      <c r="E547" s="2"/>
      <c r="F547" s="2"/>
      <c r="G547" s="2"/>
      <c r="H547" s="2"/>
      <c r="I547" s="2"/>
    </row>
    <row r="548" spans="2:9" ht="15.75" customHeight="1">
      <c r="B548" s="2"/>
      <c r="C548" s="2"/>
      <c r="D548" s="2"/>
      <c r="E548" s="2"/>
      <c r="F548" s="2"/>
      <c r="G548" s="2"/>
      <c r="H548" s="2"/>
      <c r="I548" s="2"/>
    </row>
    <row r="549" spans="2:9" ht="15.75" customHeight="1">
      <c r="B549" s="2"/>
      <c r="C549" s="2"/>
      <c r="D549" s="2"/>
      <c r="E549" s="2"/>
      <c r="F549" s="2"/>
      <c r="G549" s="2"/>
      <c r="H549" s="2"/>
      <c r="I549" s="2"/>
    </row>
    <row r="550" spans="2:9" ht="15.75" customHeight="1">
      <c r="B550" s="2"/>
      <c r="C550" s="2"/>
      <c r="D550" s="2"/>
      <c r="E550" s="2"/>
      <c r="F550" s="2"/>
      <c r="G550" s="2"/>
      <c r="H550" s="2"/>
      <c r="I550" s="2"/>
    </row>
    <row r="551" spans="2:9" ht="15.75" customHeight="1">
      <c r="B551" s="2"/>
      <c r="C551" s="2"/>
      <c r="D551" s="2"/>
      <c r="E551" s="2"/>
      <c r="F551" s="2"/>
      <c r="G551" s="2"/>
      <c r="H551" s="2"/>
      <c r="I551" s="2"/>
    </row>
    <row r="552" spans="2:9" ht="15.75" customHeight="1">
      <c r="B552" s="2"/>
      <c r="C552" s="2"/>
      <c r="D552" s="2"/>
      <c r="E552" s="2"/>
      <c r="F552" s="2"/>
      <c r="G552" s="2"/>
      <c r="H552" s="2"/>
      <c r="I552" s="2"/>
    </row>
    <row r="553" spans="2:9" ht="15.75" customHeight="1">
      <c r="B553" s="2"/>
      <c r="C553" s="2"/>
      <c r="D553" s="2"/>
      <c r="E553" s="2"/>
      <c r="F553" s="2"/>
      <c r="G553" s="2"/>
      <c r="H553" s="2"/>
      <c r="I553" s="2"/>
    </row>
    <row r="554" spans="2:9" ht="15.75" customHeight="1">
      <c r="B554" s="2"/>
      <c r="C554" s="2"/>
      <c r="D554" s="2"/>
      <c r="E554" s="2"/>
      <c r="F554" s="2"/>
      <c r="G554" s="2"/>
      <c r="H554" s="2"/>
      <c r="I554" s="2"/>
    </row>
    <row r="555" spans="2:9" ht="15.75" customHeight="1">
      <c r="B555" s="2"/>
      <c r="C555" s="2"/>
      <c r="D555" s="2"/>
      <c r="E555" s="2"/>
      <c r="F555" s="2"/>
      <c r="G555" s="2"/>
      <c r="H555" s="2"/>
      <c r="I555" s="2"/>
    </row>
    <row r="556" spans="2:9" ht="15.75" customHeight="1">
      <c r="B556" s="2"/>
      <c r="C556" s="2"/>
      <c r="D556" s="2"/>
      <c r="E556" s="2"/>
      <c r="F556" s="2"/>
      <c r="G556" s="2"/>
      <c r="H556" s="2"/>
      <c r="I556" s="2"/>
    </row>
    <row r="557" spans="2:9" ht="15.75" customHeight="1">
      <c r="B557" s="2"/>
      <c r="C557" s="2"/>
      <c r="D557" s="2"/>
      <c r="E557" s="2"/>
      <c r="F557" s="2"/>
      <c r="G557" s="2"/>
      <c r="H557" s="2"/>
      <c r="I557" s="2"/>
    </row>
    <row r="558" spans="2:9" ht="15.75" customHeight="1">
      <c r="B558" s="2"/>
      <c r="C558" s="2"/>
      <c r="D558" s="2"/>
      <c r="E558" s="2"/>
      <c r="F558" s="2"/>
      <c r="G558" s="2"/>
      <c r="H558" s="2"/>
      <c r="I558" s="2"/>
    </row>
    <row r="559" spans="2:9" ht="15.75" customHeight="1">
      <c r="B559" s="2"/>
      <c r="C559" s="2"/>
      <c r="D559" s="2"/>
      <c r="E559" s="2"/>
      <c r="F559" s="2"/>
      <c r="G559" s="2"/>
      <c r="H559" s="2"/>
      <c r="I559" s="2"/>
    </row>
    <row r="560" spans="2:9" ht="15.75" customHeight="1">
      <c r="B560" s="2"/>
      <c r="C560" s="2"/>
      <c r="D560" s="2"/>
      <c r="E560" s="2"/>
      <c r="F560" s="2"/>
      <c r="G560" s="2"/>
      <c r="H560" s="2"/>
      <c r="I560" s="2"/>
    </row>
    <row r="561" spans="2:9" ht="15.75" customHeight="1">
      <c r="B561" s="2"/>
      <c r="C561" s="2"/>
      <c r="D561" s="2"/>
      <c r="E561" s="2"/>
      <c r="F561" s="2"/>
      <c r="G561" s="2"/>
      <c r="H561" s="2"/>
      <c r="I561" s="2"/>
    </row>
    <row r="562" spans="2:9" ht="15.75" customHeight="1">
      <c r="B562" s="2"/>
      <c r="C562" s="2"/>
      <c r="D562" s="2"/>
      <c r="E562" s="2"/>
      <c r="F562" s="2"/>
      <c r="G562" s="2"/>
      <c r="H562" s="2"/>
      <c r="I562" s="2"/>
    </row>
    <row r="563" spans="2:9" ht="15.75" customHeight="1">
      <c r="B563" s="2"/>
      <c r="C563" s="2"/>
      <c r="D563" s="2"/>
      <c r="E563" s="2"/>
      <c r="F563" s="2"/>
      <c r="G563" s="2"/>
      <c r="H563" s="2"/>
      <c r="I563" s="2"/>
    </row>
    <row r="564" spans="2:9" ht="15.75" customHeight="1">
      <c r="B564" s="2"/>
      <c r="C564" s="2"/>
      <c r="D564" s="2"/>
      <c r="E564" s="2"/>
      <c r="F564" s="2"/>
      <c r="G564" s="2"/>
      <c r="H564" s="2"/>
      <c r="I564" s="2"/>
    </row>
    <row r="565" spans="2:9" ht="15.75" customHeight="1">
      <c r="B565" s="2"/>
      <c r="C565" s="2"/>
      <c r="D565" s="2"/>
      <c r="E565" s="2"/>
      <c r="F565" s="2"/>
      <c r="G565" s="2"/>
      <c r="H565" s="2"/>
      <c r="I565" s="2"/>
    </row>
    <row r="566" spans="2:9" ht="15.75" customHeight="1">
      <c r="B566" s="2"/>
      <c r="C566" s="2"/>
      <c r="D566" s="2"/>
      <c r="E566" s="2"/>
      <c r="F566" s="2"/>
      <c r="G566" s="2"/>
      <c r="H566" s="2"/>
      <c r="I566" s="2"/>
    </row>
    <row r="567" spans="2:9" ht="15.75" customHeight="1">
      <c r="B567" s="2"/>
      <c r="C567" s="2"/>
      <c r="D567" s="2"/>
      <c r="E567" s="2"/>
      <c r="F567" s="2"/>
      <c r="G567" s="2"/>
      <c r="H567" s="2"/>
      <c r="I567" s="2"/>
    </row>
    <row r="568" spans="2:9" ht="15.75" customHeight="1">
      <c r="B568" s="2"/>
      <c r="C568" s="2"/>
      <c r="D568" s="2"/>
      <c r="E568" s="2"/>
      <c r="F568" s="2"/>
      <c r="G568" s="2"/>
      <c r="H568" s="2"/>
      <c r="I568" s="2"/>
    </row>
    <row r="569" spans="2:9" ht="15.75" customHeight="1">
      <c r="B569" s="2"/>
      <c r="C569" s="2"/>
      <c r="D569" s="2"/>
      <c r="E569" s="2"/>
      <c r="F569" s="2"/>
      <c r="G569" s="2"/>
      <c r="H569" s="2"/>
      <c r="I569" s="2"/>
    </row>
    <row r="570" spans="2:9" ht="15.75" customHeight="1">
      <c r="B570" s="2"/>
      <c r="C570" s="2"/>
      <c r="D570" s="2"/>
      <c r="E570" s="2"/>
      <c r="F570" s="2"/>
      <c r="G570" s="2"/>
      <c r="H570" s="2"/>
      <c r="I570" s="2"/>
    </row>
    <row r="571" spans="2:9" ht="15.75" customHeight="1">
      <c r="B571" s="2"/>
      <c r="C571" s="2"/>
      <c r="D571" s="2"/>
      <c r="E571" s="2"/>
      <c r="F571" s="2"/>
      <c r="G571" s="2"/>
      <c r="H571" s="2"/>
      <c r="I571" s="2"/>
    </row>
    <row r="572" spans="2:9" ht="15.75" customHeight="1">
      <c r="B572" s="2"/>
      <c r="C572" s="2"/>
      <c r="D572" s="2"/>
      <c r="E572" s="2"/>
      <c r="F572" s="2"/>
      <c r="G572" s="2"/>
      <c r="H572" s="2"/>
      <c r="I572" s="2"/>
    </row>
    <row r="573" spans="2:9" ht="15.75" customHeight="1">
      <c r="B573" s="2"/>
      <c r="C573" s="2"/>
      <c r="D573" s="2"/>
      <c r="E573" s="2"/>
      <c r="F573" s="2"/>
      <c r="G573" s="2"/>
      <c r="H573" s="2"/>
      <c r="I573" s="2"/>
    </row>
    <row r="574" spans="2:9" ht="15.75" customHeight="1">
      <c r="B574" s="2"/>
      <c r="C574" s="2"/>
      <c r="D574" s="2"/>
      <c r="E574" s="2"/>
      <c r="F574" s="2"/>
      <c r="G574" s="2"/>
      <c r="H574" s="2"/>
      <c r="I574" s="2"/>
    </row>
    <row r="575" spans="2:9" ht="15.75" customHeight="1">
      <c r="B575" s="2"/>
      <c r="C575" s="2"/>
      <c r="D575" s="2"/>
      <c r="E575" s="2"/>
      <c r="F575" s="2"/>
      <c r="G575" s="2"/>
      <c r="H575" s="2"/>
      <c r="I575" s="2"/>
    </row>
    <row r="576" spans="2:9" ht="15.75" customHeight="1">
      <c r="B576" s="2"/>
      <c r="C576" s="2"/>
      <c r="D576" s="2"/>
      <c r="E576" s="2"/>
      <c r="F576" s="2"/>
      <c r="G576" s="2"/>
      <c r="H576" s="2"/>
      <c r="I576" s="2"/>
    </row>
    <row r="577" spans="2:9" ht="15.75" customHeight="1">
      <c r="B577" s="2"/>
      <c r="C577" s="2"/>
      <c r="D577" s="2"/>
      <c r="E577" s="2"/>
      <c r="F577" s="2"/>
      <c r="G577" s="2"/>
      <c r="H577" s="2"/>
      <c r="I577" s="2"/>
    </row>
    <row r="578" spans="2:9" ht="15.75" customHeight="1">
      <c r="B578" s="2"/>
      <c r="C578" s="2"/>
      <c r="D578" s="2"/>
      <c r="E578" s="2"/>
      <c r="F578" s="2"/>
      <c r="G578" s="2"/>
      <c r="H578" s="2"/>
      <c r="I578" s="2"/>
    </row>
    <row r="579" spans="2:9" ht="15.75" customHeight="1">
      <c r="B579" s="2"/>
      <c r="C579" s="2"/>
      <c r="D579" s="2"/>
      <c r="E579" s="2"/>
      <c r="F579" s="2"/>
      <c r="G579" s="2"/>
      <c r="H579" s="2"/>
      <c r="I579" s="2"/>
    </row>
    <row r="580" spans="2:9" ht="15.75" customHeight="1">
      <c r="B580" s="2"/>
      <c r="C580" s="2"/>
      <c r="D580" s="2"/>
      <c r="E580" s="2"/>
      <c r="F580" s="2"/>
      <c r="G580" s="2"/>
      <c r="H580" s="2"/>
      <c r="I580" s="2"/>
    </row>
    <row r="581" spans="2:9" ht="15.75" customHeight="1">
      <c r="B581" s="2"/>
      <c r="C581" s="2"/>
      <c r="D581" s="2"/>
      <c r="E581" s="2"/>
      <c r="F581" s="2"/>
      <c r="G581" s="2"/>
      <c r="H581" s="2"/>
      <c r="I581" s="2"/>
    </row>
    <row r="582" spans="2:9" ht="15.75" customHeight="1">
      <c r="B582" s="2"/>
      <c r="C582" s="2"/>
      <c r="D582" s="2"/>
      <c r="E582" s="2"/>
      <c r="F582" s="2"/>
      <c r="G582" s="2"/>
      <c r="H582" s="2"/>
      <c r="I582" s="2"/>
    </row>
    <row r="583" spans="2:9" ht="15.75" customHeight="1">
      <c r="B583" s="2"/>
      <c r="C583" s="2"/>
      <c r="D583" s="2"/>
      <c r="E583" s="2"/>
      <c r="F583" s="2"/>
      <c r="G583" s="2"/>
      <c r="H583" s="2"/>
      <c r="I583" s="2"/>
    </row>
    <row r="584" spans="2:9" ht="15.75" customHeight="1">
      <c r="B584" s="2"/>
      <c r="C584" s="2"/>
      <c r="D584" s="2"/>
      <c r="E584" s="2"/>
      <c r="F584" s="2"/>
      <c r="G584" s="2"/>
      <c r="H584" s="2"/>
      <c r="I584" s="2"/>
    </row>
    <row r="585" spans="2:9" ht="15.75" customHeight="1">
      <c r="B585" s="2"/>
      <c r="C585" s="2"/>
      <c r="D585" s="2"/>
      <c r="E585" s="2"/>
      <c r="F585" s="2"/>
      <c r="G585" s="2"/>
      <c r="H585" s="2"/>
      <c r="I585" s="2"/>
    </row>
    <row r="586" spans="2:9" ht="15.75" customHeight="1">
      <c r="B586" s="2"/>
      <c r="C586" s="2"/>
      <c r="D586" s="2"/>
      <c r="E586" s="2"/>
      <c r="F586" s="2"/>
      <c r="G586" s="2"/>
      <c r="H586" s="2"/>
      <c r="I586" s="2"/>
    </row>
    <row r="587" spans="2:9" ht="15.75" customHeight="1">
      <c r="B587" s="2"/>
      <c r="C587" s="2"/>
      <c r="D587" s="2"/>
      <c r="E587" s="2"/>
      <c r="F587" s="2"/>
      <c r="G587" s="2"/>
      <c r="H587" s="2"/>
      <c r="I587" s="2"/>
    </row>
    <row r="588" spans="2:9" ht="15.75" customHeight="1">
      <c r="B588" s="2"/>
      <c r="C588" s="2"/>
      <c r="D588" s="2"/>
      <c r="E588" s="2"/>
      <c r="F588" s="2"/>
      <c r="G588" s="2"/>
      <c r="H588" s="2"/>
      <c r="I588" s="2"/>
    </row>
    <row r="589" spans="2:9" ht="15.75" customHeight="1">
      <c r="B589" s="2"/>
      <c r="C589" s="2"/>
      <c r="D589" s="2"/>
      <c r="E589" s="2"/>
      <c r="F589" s="2"/>
      <c r="G589" s="2"/>
      <c r="H589" s="2"/>
      <c r="I589" s="2"/>
    </row>
    <row r="590" spans="2:9" ht="15.75" customHeight="1">
      <c r="B590" s="2"/>
      <c r="C590" s="2"/>
      <c r="D590" s="2"/>
      <c r="E590" s="2"/>
      <c r="F590" s="2"/>
      <c r="G590" s="2"/>
      <c r="H590" s="2"/>
      <c r="I590" s="2"/>
    </row>
    <row r="591" spans="2:9" ht="15.75" customHeight="1">
      <c r="B591" s="2"/>
      <c r="C591" s="2"/>
      <c r="D591" s="2"/>
      <c r="E591" s="2"/>
      <c r="F591" s="2"/>
      <c r="G591" s="2"/>
      <c r="H591" s="2"/>
      <c r="I591" s="2"/>
    </row>
    <row r="592" spans="2:9" ht="15.75" customHeight="1">
      <c r="B592" s="2"/>
      <c r="C592" s="2"/>
      <c r="D592" s="2"/>
      <c r="E592" s="2"/>
      <c r="F592" s="2"/>
      <c r="G592" s="2"/>
      <c r="H592" s="2"/>
      <c r="I592" s="2"/>
    </row>
    <row r="593" spans="2:9" ht="15.75" customHeight="1">
      <c r="B593" s="2"/>
      <c r="C593" s="2"/>
      <c r="D593" s="2"/>
      <c r="E593" s="2"/>
      <c r="F593" s="2"/>
      <c r="G593" s="2"/>
      <c r="H593" s="2"/>
      <c r="I593" s="2"/>
    </row>
    <row r="594" spans="2:9" ht="15.75" customHeight="1">
      <c r="B594" s="2"/>
      <c r="C594" s="2"/>
      <c r="D594" s="2"/>
      <c r="E594" s="2"/>
      <c r="F594" s="2"/>
      <c r="G594" s="2"/>
      <c r="H594" s="2"/>
      <c r="I594" s="2"/>
    </row>
    <row r="595" spans="2:9" ht="15.75" customHeight="1">
      <c r="B595" s="2"/>
      <c r="C595" s="2"/>
      <c r="D595" s="2"/>
      <c r="E595" s="2"/>
      <c r="F595" s="2"/>
      <c r="G595" s="2"/>
      <c r="H595" s="2"/>
      <c r="I595" s="2"/>
    </row>
    <row r="596" spans="2:9" ht="15.75" customHeight="1">
      <c r="B596" s="2"/>
      <c r="C596" s="2"/>
      <c r="D596" s="2"/>
      <c r="E596" s="2"/>
      <c r="F596" s="2"/>
      <c r="G596" s="2"/>
      <c r="H596" s="2"/>
      <c r="I596" s="2"/>
    </row>
    <row r="597" spans="2:9" ht="15.75" customHeight="1">
      <c r="B597" s="2"/>
      <c r="C597" s="2"/>
      <c r="D597" s="2"/>
      <c r="E597" s="2"/>
      <c r="F597" s="2"/>
      <c r="G597" s="2"/>
      <c r="H597" s="2"/>
      <c r="I597" s="2"/>
    </row>
    <row r="598" spans="2:9" ht="15.75" customHeight="1">
      <c r="B598" s="2"/>
      <c r="C598" s="2"/>
      <c r="D598" s="2"/>
      <c r="E598" s="2"/>
      <c r="F598" s="2"/>
      <c r="G598" s="2"/>
      <c r="H598" s="2"/>
      <c r="I598" s="2"/>
    </row>
    <row r="599" spans="2:9" ht="15.75" customHeight="1">
      <c r="B599" s="2"/>
      <c r="C599" s="2"/>
      <c r="D599" s="2"/>
      <c r="E599" s="2"/>
      <c r="F599" s="2"/>
      <c r="G599" s="2"/>
      <c r="H599" s="2"/>
      <c r="I599" s="2"/>
    </row>
    <row r="600" spans="2:9" ht="15.75" customHeight="1">
      <c r="B600" s="2"/>
      <c r="C600" s="2"/>
      <c r="D600" s="2"/>
      <c r="E600" s="2"/>
      <c r="F600" s="2"/>
      <c r="G600" s="2"/>
      <c r="H600" s="2"/>
      <c r="I600" s="2"/>
    </row>
    <row r="601" spans="2:9" ht="15.75" customHeight="1">
      <c r="B601" s="2"/>
      <c r="C601" s="2"/>
      <c r="D601" s="2"/>
      <c r="E601" s="2"/>
      <c r="F601" s="2"/>
      <c r="G601" s="2"/>
      <c r="H601" s="2"/>
      <c r="I601" s="2"/>
    </row>
    <row r="602" spans="2:9" ht="15.75" customHeight="1">
      <c r="B602" s="2"/>
      <c r="C602" s="2"/>
      <c r="D602" s="2"/>
      <c r="E602" s="2"/>
      <c r="F602" s="2"/>
      <c r="G602" s="2"/>
      <c r="H602" s="2"/>
      <c r="I602" s="2"/>
    </row>
    <row r="603" spans="2:9" ht="15.75" customHeight="1">
      <c r="B603" s="2"/>
      <c r="C603" s="2"/>
      <c r="D603" s="2"/>
      <c r="E603" s="2"/>
      <c r="F603" s="2"/>
      <c r="G603" s="2"/>
      <c r="H603" s="2"/>
      <c r="I603" s="2"/>
    </row>
    <row r="604" spans="2:9" ht="15.75" customHeight="1">
      <c r="B604" s="2"/>
      <c r="C604" s="2"/>
      <c r="D604" s="2"/>
      <c r="E604" s="2"/>
      <c r="F604" s="2"/>
      <c r="G604" s="2"/>
      <c r="H604" s="2"/>
      <c r="I604" s="2"/>
    </row>
    <row r="605" spans="2:9" ht="15.75" customHeight="1">
      <c r="B605" s="2"/>
      <c r="C605" s="2"/>
      <c r="D605" s="2"/>
      <c r="E605" s="2"/>
      <c r="F605" s="2"/>
      <c r="G605" s="2"/>
      <c r="H605" s="2"/>
      <c r="I605" s="2"/>
    </row>
    <row r="606" spans="2:9" ht="15.75" customHeight="1">
      <c r="B606" s="2"/>
      <c r="C606" s="2"/>
      <c r="D606" s="2"/>
      <c r="E606" s="2"/>
      <c r="F606" s="2"/>
      <c r="G606" s="2"/>
      <c r="H606" s="2"/>
      <c r="I606" s="2"/>
    </row>
    <row r="607" spans="2:9" ht="15.75" customHeight="1">
      <c r="B607" s="2"/>
      <c r="C607" s="2"/>
      <c r="D607" s="2"/>
      <c r="E607" s="2"/>
      <c r="F607" s="2"/>
      <c r="G607" s="2"/>
      <c r="H607" s="2"/>
      <c r="I607" s="2"/>
    </row>
    <row r="608" spans="2:9" ht="15.75" customHeight="1">
      <c r="B608" s="2"/>
      <c r="C608" s="2"/>
      <c r="D608" s="2"/>
      <c r="E608" s="2"/>
      <c r="F608" s="2"/>
      <c r="G608" s="2"/>
      <c r="H608" s="2"/>
      <c r="I608" s="2"/>
    </row>
    <row r="609" spans="2:9" ht="15.75" customHeight="1">
      <c r="B609" s="2"/>
      <c r="C609" s="2"/>
      <c r="D609" s="2"/>
      <c r="E609" s="2"/>
      <c r="F609" s="2"/>
      <c r="G609" s="2"/>
      <c r="H609" s="2"/>
      <c r="I609" s="2"/>
    </row>
    <row r="610" spans="2:9" ht="15.75" customHeight="1">
      <c r="B610" s="2"/>
      <c r="C610" s="2"/>
      <c r="D610" s="2"/>
      <c r="E610" s="2"/>
      <c r="F610" s="2"/>
      <c r="G610" s="2"/>
      <c r="H610" s="2"/>
      <c r="I610" s="2"/>
    </row>
    <row r="611" spans="2:9" ht="15.75" customHeight="1">
      <c r="B611" s="2"/>
      <c r="C611" s="2"/>
      <c r="D611" s="2"/>
      <c r="E611" s="2"/>
      <c r="F611" s="2"/>
      <c r="G611" s="2"/>
      <c r="H611" s="2"/>
      <c r="I611" s="2"/>
    </row>
    <row r="612" spans="2:9" ht="15.75" customHeight="1">
      <c r="B612" s="2"/>
      <c r="C612" s="2"/>
      <c r="D612" s="2"/>
      <c r="E612" s="2"/>
      <c r="F612" s="2"/>
      <c r="G612" s="2"/>
      <c r="H612" s="2"/>
      <c r="I612" s="2"/>
    </row>
    <row r="613" spans="2:9" ht="15.75" customHeight="1">
      <c r="B613" s="2"/>
      <c r="C613" s="2"/>
      <c r="D613" s="2"/>
      <c r="E613" s="2"/>
      <c r="F613" s="2"/>
      <c r="G613" s="2"/>
      <c r="H613" s="2"/>
      <c r="I613" s="2"/>
    </row>
    <row r="614" spans="2:9" ht="15.75" customHeight="1">
      <c r="B614" s="2"/>
      <c r="C614" s="2"/>
      <c r="D614" s="2"/>
      <c r="E614" s="2"/>
      <c r="F614" s="2"/>
      <c r="G614" s="2"/>
      <c r="H614" s="2"/>
      <c r="I614" s="2"/>
    </row>
    <row r="615" spans="2:9" ht="15.75" customHeight="1">
      <c r="B615" s="2"/>
      <c r="C615" s="2"/>
      <c r="D615" s="2"/>
      <c r="E615" s="2"/>
      <c r="F615" s="2"/>
      <c r="G615" s="2"/>
      <c r="H615" s="2"/>
      <c r="I615" s="2"/>
    </row>
    <row r="616" spans="2:9" ht="15.75" customHeight="1">
      <c r="B616" s="2"/>
      <c r="C616" s="2"/>
      <c r="D616" s="2"/>
      <c r="E616" s="2"/>
      <c r="F616" s="2"/>
      <c r="G616" s="2"/>
      <c r="H616" s="2"/>
      <c r="I616" s="2"/>
    </row>
    <row r="617" spans="2:9" ht="15.75" customHeight="1">
      <c r="B617" s="2"/>
      <c r="C617" s="2"/>
      <c r="D617" s="2"/>
      <c r="E617" s="2"/>
      <c r="F617" s="2"/>
      <c r="G617" s="2"/>
      <c r="H617" s="2"/>
      <c r="I617" s="2"/>
    </row>
    <row r="618" spans="2:9" ht="15.75" customHeight="1">
      <c r="B618" s="2"/>
      <c r="C618" s="2"/>
      <c r="D618" s="2"/>
      <c r="E618" s="2"/>
      <c r="F618" s="2"/>
      <c r="G618" s="2"/>
      <c r="H618" s="2"/>
      <c r="I618" s="2"/>
    </row>
    <row r="619" spans="2:9" ht="15.75" customHeight="1">
      <c r="B619" s="2"/>
      <c r="C619" s="2"/>
      <c r="D619" s="2"/>
      <c r="E619" s="2"/>
      <c r="F619" s="2"/>
      <c r="G619" s="2"/>
      <c r="H619" s="2"/>
      <c r="I619" s="2"/>
    </row>
    <row r="620" spans="2:9" ht="15.75" customHeight="1">
      <c r="B620" s="2"/>
      <c r="C620" s="2"/>
      <c r="D620" s="2"/>
      <c r="E620" s="2"/>
      <c r="F620" s="2"/>
      <c r="G620" s="2"/>
      <c r="H620" s="2"/>
      <c r="I620" s="2"/>
    </row>
    <row r="621" spans="2:9" ht="15.75" customHeight="1">
      <c r="B621" s="2"/>
      <c r="C621" s="2"/>
      <c r="D621" s="2"/>
      <c r="E621" s="2"/>
      <c r="F621" s="2"/>
      <c r="G621" s="2"/>
      <c r="H621" s="2"/>
      <c r="I621" s="2"/>
    </row>
    <row r="622" spans="2:9" ht="15.75" customHeight="1">
      <c r="B622" s="2"/>
      <c r="C622" s="2"/>
      <c r="D622" s="2"/>
      <c r="E622" s="2"/>
      <c r="F622" s="2"/>
      <c r="G622" s="2"/>
      <c r="H622" s="2"/>
      <c r="I622" s="2"/>
    </row>
    <row r="623" spans="2:9" ht="15.75" customHeight="1">
      <c r="B623" s="2"/>
      <c r="C623" s="2"/>
      <c r="D623" s="2"/>
      <c r="E623" s="2"/>
      <c r="F623" s="2"/>
      <c r="G623" s="2"/>
      <c r="H623" s="2"/>
      <c r="I623" s="2"/>
    </row>
    <row r="624" spans="2:9" ht="15.75" customHeight="1">
      <c r="B624" s="2"/>
      <c r="C624" s="2"/>
      <c r="D624" s="2"/>
      <c r="E624" s="2"/>
      <c r="F624" s="2"/>
      <c r="G624" s="2"/>
      <c r="H624" s="2"/>
      <c r="I624" s="2"/>
    </row>
    <row r="625" spans="2:9" ht="15.75" customHeight="1">
      <c r="B625" s="2"/>
      <c r="C625" s="2"/>
      <c r="D625" s="2"/>
      <c r="E625" s="2"/>
      <c r="F625" s="2"/>
      <c r="G625" s="2"/>
      <c r="H625" s="2"/>
      <c r="I625" s="2"/>
    </row>
    <row r="626" spans="2:9" ht="15.75" customHeight="1">
      <c r="B626" s="2"/>
      <c r="C626" s="2"/>
      <c r="D626" s="2"/>
      <c r="E626" s="2"/>
      <c r="F626" s="2"/>
      <c r="G626" s="2"/>
      <c r="H626" s="2"/>
      <c r="I626" s="2"/>
    </row>
    <row r="627" spans="2:9" ht="15.75" customHeight="1">
      <c r="B627" s="2"/>
      <c r="C627" s="2"/>
      <c r="D627" s="2"/>
      <c r="E627" s="2"/>
      <c r="F627" s="2"/>
      <c r="G627" s="2"/>
      <c r="H627" s="2"/>
      <c r="I627" s="2"/>
    </row>
    <row r="628" spans="2:9" ht="15.75" customHeight="1">
      <c r="B628" s="2"/>
      <c r="C628" s="2"/>
      <c r="D628" s="2"/>
      <c r="E628" s="2"/>
      <c r="F628" s="2"/>
      <c r="G628" s="2"/>
      <c r="H628" s="2"/>
      <c r="I628" s="2"/>
    </row>
    <row r="629" spans="2:9" ht="15.75" customHeight="1">
      <c r="B629" s="2"/>
      <c r="C629" s="2"/>
      <c r="D629" s="2"/>
      <c r="E629" s="2"/>
      <c r="F629" s="2"/>
      <c r="G629" s="2"/>
      <c r="H629" s="2"/>
      <c r="I629" s="2"/>
    </row>
    <row r="630" spans="2:9" ht="15.75" customHeight="1">
      <c r="B630" s="2"/>
      <c r="C630" s="2"/>
      <c r="D630" s="2"/>
      <c r="E630" s="2"/>
      <c r="F630" s="2"/>
      <c r="G630" s="2"/>
      <c r="H630" s="2"/>
      <c r="I630" s="2"/>
    </row>
    <row r="631" spans="2:9" ht="15.75" customHeight="1">
      <c r="B631" s="2"/>
      <c r="C631" s="2"/>
      <c r="D631" s="2"/>
      <c r="E631" s="2"/>
      <c r="F631" s="2"/>
      <c r="G631" s="2"/>
      <c r="H631" s="2"/>
      <c r="I631" s="2"/>
    </row>
    <row r="632" spans="2:9" ht="15.75" customHeight="1">
      <c r="B632" s="2"/>
      <c r="C632" s="2"/>
      <c r="D632" s="2"/>
      <c r="E632" s="2"/>
      <c r="F632" s="2"/>
      <c r="G632" s="2"/>
      <c r="H632" s="2"/>
      <c r="I632" s="2"/>
    </row>
    <row r="633" spans="2:9" ht="15.75" customHeight="1">
      <c r="B633" s="2"/>
      <c r="C633" s="2"/>
      <c r="D633" s="2"/>
      <c r="E633" s="2"/>
      <c r="F633" s="2"/>
      <c r="G633" s="2"/>
      <c r="H633" s="2"/>
      <c r="I633" s="2"/>
    </row>
    <row r="634" spans="2:9" ht="15.75" customHeight="1">
      <c r="B634" s="2"/>
      <c r="C634" s="2"/>
      <c r="D634" s="2"/>
      <c r="E634" s="2"/>
      <c r="F634" s="2"/>
      <c r="G634" s="2"/>
      <c r="H634" s="2"/>
      <c r="I634" s="2"/>
    </row>
    <row r="635" spans="2:9" ht="15.75" customHeight="1">
      <c r="B635" s="2"/>
      <c r="C635" s="2"/>
      <c r="D635" s="2"/>
      <c r="E635" s="2"/>
      <c r="F635" s="2"/>
      <c r="G635" s="2"/>
      <c r="H635" s="2"/>
      <c r="I635" s="2"/>
    </row>
    <row r="636" spans="2:9" ht="15.75" customHeight="1">
      <c r="B636" s="2"/>
      <c r="C636" s="2"/>
      <c r="D636" s="2"/>
      <c r="E636" s="2"/>
      <c r="F636" s="2"/>
      <c r="G636" s="2"/>
      <c r="H636" s="2"/>
      <c r="I636" s="2"/>
    </row>
    <row r="637" spans="2:9" ht="15.75" customHeight="1">
      <c r="B637" s="2"/>
      <c r="C637" s="2"/>
      <c r="D637" s="2"/>
      <c r="E637" s="2"/>
      <c r="F637" s="2"/>
      <c r="G637" s="2"/>
      <c r="H637" s="2"/>
      <c r="I637" s="2"/>
    </row>
    <row r="638" spans="2:9" ht="15.75" customHeight="1">
      <c r="B638" s="2"/>
      <c r="C638" s="2"/>
      <c r="D638" s="2"/>
      <c r="E638" s="2"/>
      <c r="F638" s="2"/>
      <c r="G638" s="2"/>
      <c r="H638" s="2"/>
      <c r="I638" s="2"/>
    </row>
    <row r="639" spans="2:9" ht="15.75" customHeight="1">
      <c r="B639" s="2"/>
      <c r="C639" s="2"/>
      <c r="D639" s="2"/>
      <c r="E639" s="2"/>
      <c r="F639" s="2"/>
      <c r="G639" s="2"/>
      <c r="H639" s="2"/>
      <c r="I639" s="2"/>
    </row>
    <row r="640" spans="2:9" ht="15.75" customHeight="1">
      <c r="B640" s="2"/>
      <c r="C640" s="2"/>
      <c r="D640" s="2"/>
      <c r="E640" s="2"/>
      <c r="F640" s="2"/>
      <c r="G640" s="2"/>
      <c r="H640" s="2"/>
      <c r="I640" s="2"/>
    </row>
    <row r="641" spans="2:9" ht="15.75" customHeight="1">
      <c r="B641" s="2"/>
      <c r="C641" s="2"/>
      <c r="D641" s="2"/>
      <c r="E641" s="2"/>
      <c r="F641" s="2"/>
      <c r="G641" s="2"/>
      <c r="H641" s="2"/>
      <c r="I641" s="2"/>
    </row>
    <row r="642" spans="2:9" ht="15.75" customHeight="1">
      <c r="B642" s="2"/>
      <c r="C642" s="2"/>
      <c r="D642" s="2"/>
      <c r="E642" s="2"/>
      <c r="F642" s="2"/>
      <c r="G642" s="2"/>
      <c r="H642" s="2"/>
      <c r="I642" s="2"/>
    </row>
    <row r="643" spans="2:9" ht="15.75" customHeight="1">
      <c r="B643" s="2"/>
      <c r="C643" s="2"/>
      <c r="D643" s="2"/>
      <c r="E643" s="2"/>
      <c r="F643" s="2"/>
      <c r="G643" s="2"/>
      <c r="H643" s="2"/>
      <c r="I643" s="2"/>
    </row>
    <row r="644" spans="2:9" ht="15.75" customHeight="1">
      <c r="B644" s="2"/>
      <c r="C644" s="2"/>
      <c r="D644" s="2"/>
      <c r="E644" s="2"/>
      <c r="F644" s="2"/>
      <c r="G644" s="2"/>
      <c r="H644" s="2"/>
      <c r="I644" s="2"/>
    </row>
    <row r="645" spans="2:9" ht="15.75" customHeight="1">
      <c r="B645" s="2"/>
      <c r="C645" s="2"/>
      <c r="D645" s="2"/>
      <c r="E645" s="2"/>
      <c r="F645" s="2"/>
      <c r="G645" s="2"/>
      <c r="H645" s="2"/>
      <c r="I645" s="2"/>
    </row>
    <row r="646" spans="2:9" ht="15.75" customHeight="1">
      <c r="B646" s="2"/>
      <c r="C646" s="2"/>
      <c r="D646" s="2"/>
      <c r="E646" s="2"/>
      <c r="F646" s="2"/>
      <c r="G646" s="2"/>
      <c r="H646" s="2"/>
      <c r="I646" s="2"/>
    </row>
    <row r="647" spans="2:9" ht="15.75" customHeight="1">
      <c r="B647" s="2"/>
      <c r="C647" s="2"/>
      <c r="D647" s="2"/>
      <c r="E647" s="2"/>
      <c r="F647" s="2"/>
      <c r="G647" s="2"/>
      <c r="H647" s="2"/>
      <c r="I647" s="2"/>
    </row>
    <row r="648" spans="2:9" ht="15.75" customHeight="1">
      <c r="B648" s="2"/>
      <c r="C648" s="2"/>
      <c r="D648" s="2"/>
      <c r="E648" s="2"/>
      <c r="F648" s="2"/>
      <c r="G648" s="2"/>
      <c r="H648" s="2"/>
      <c r="I648" s="2"/>
    </row>
    <row r="649" spans="2:9" ht="15.75" customHeight="1">
      <c r="B649" s="2"/>
      <c r="C649" s="2"/>
      <c r="D649" s="2"/>
      <c r="E649" s="2"/>
      <c r="F649" s="2"/>
      <c r="G649" s="2"/>
      <c r="H649" s="2"/>
      <c r="I649" s="2"/>
    </row>
    <row r="650" spans="2:9" ht="15.75" customHeight="1">
      <c r="B650" s="2"/>
      <c r="C650" s="2"/>
      <c r="D650" s="2"/>
      <c r="E650" s="2"/>
      <c r="F650" s="2"/>
      <c r="G650" s="2"/>
      <c r="H650" s="2"/>
      <c r="I650" s="2"/>
    </row>
    <row r="651" spans="2:9" ht="15.75" customHeight="1">
      <c r="B651" s="2"/>
      <c r="C651" s="2"/>
      <c r="D651" s="2"/>
      <c r="E651" s="2"/>
      <c r="F651" s="2"/>
      <c r="G651" s="2"/>
      <c r="H651" s="2"/>
      <c r="I651" s="2"/>
    </row>
    <row r="652" spans="2:9" ht="15.75" customHeight="1">
      <c r="B652" s="2"/>
      <c r="C652" s="2"/>
      <c r="D652" s="2"/>
      <c r="E652" s="2"/>
      <c r="F652" s="2"/>
      <c r="G652" s="2"/>
      <c r="H652" s="2"/>
      <c r="I652" s="2"/>
    </row>
    <row r="653" spans="2:9" ht="15.75" customHeight="1">
      <c r="B653" s="2"/>
      <c r="C653" s="2"/>
      <c r="D653" s="2"/>
      <c r="E653" s="2"/>
      <c r="F653" s="2"/>
      <c r="G653" s="2"/>
      <c r="H653" s="2"/>
      <c r="I653" s="2"/>
    </row>
    <row r="654" spans="2:9" ht="15.75" customHeight="1">
      <c r="B654" s="2"/>
      <c r="C654" s="2"/>
      <c r="D654" s="2"/>
      <c r="E654" s="2"/>
      <c r="F654" s="2"/>
      <c r="G654" s="2"/>
      <c r="H654" s="2"/>
      <c r="I654" s="2"/>
    </row>
    <row r="655" spans="2:9" ht="15.75" customHeight="1">
      <c r="B655" s="2"/>
      <c r="C655" s="2"/>
      <c r="D655" s="2"/>
      <c r="E655" s="2"/>
      <c r="F655" s="2"/>
      <c r="G655" s="2"/>
      <c r="H655" s="2"/>
      <c r="I655" s="2"/>
    </row>
    <row r="656" spans="2:9" ht="15.75" customHeight="1">
      <c r="B656" s="2"/>
      <c r="C656" s="2"/>
      <c r="D656" s="2"/>
      <c r="E656" s="2"/>
      <c r="F656" s="2"/>
      <c r="G656" s="2"/>
      <c r="H656" s="2"/>
      <c r="I656" s="2"/>
    </row>
    <row r="657" spans="2:9" ht="15.75" customHeight="1">
      <c r="B657" s="2"/>
      <c r="C657" s="2"/>
      <c r="D657" s="2"/>
      <c r="E657" s="2"/>
      <c r="F657" s="2"/>
      <c r="G657" s="2"/>
      <c r="H657" s="2"/>
      <c r="I657" s="2"/>
    </row>
    <row r="658" spans="2:9" ht="15.75" customHeight="1">
      <c r="B658" s="2"/>
      <c r="C658" s="2"/>
      <c r="D658" s="2"/>
      <c r="E658" s="2"/>
      <c r="F658" s="2"/>
      <c r="G658" s="2"/>
      <c r="H658" s="2"/>
      <c r="I658" s="2"/>
    </row>
    <row r="659" spans="2:9" ht="15.75" customHeight="1">
      <c r="B659" s="2"/>
      <c r="C659" s="2"/>
      <c r="D659" s="2"/>
      <c r="E659" s="2"/>
      <c r="F659" s="2"/>
      <c r="G659" s="2"/>
      <c r="H659" s="2"/>
      <c r="I659" s="2"/>
    </row>
    <row r="660" spans="2:9" ht="15.75" customHeight="1">
      <c r="B660" s="2"/>
      <c r="C660" s="2"/>
      <c r="D660" s="2"/>
      <c r="E660" s="2"/>
      <c r="F660" s="2"/>
      <c r="G660" s="2"/>
      <c r="H660" s="2"/>
      <c r="I660" s="2"/>
    </row>
    <row r="661" spans="2:9" ht="15.75" customHeight="1">
      <c r="B661" s="2"/>
      <c r="C661" s="2"/>
      <c r="D661" s="2"/>
      <c r="E661" s="2"/>
      <c r="F661" s="2"/>
      <c r="G661" s="2"/>
      <c r="H661" s="2"/>
      <c r="I661" s="2"/>
    </row>
    <row r="662" spans="2:9" ht="15.75" customHeight="1">
      <c r="B662" s="2"/>
      <c r="C662" s="2"/>
      <c r="D662" s="2"/>
      <c r="E662" s="2"/>
      <c r="F662" s="2"/>
      <c r="G662" s="2"/>
      <c r="H662" s="2"/>
      <c r="I662" s="2"/>
    </row>
    <row r="663" spans="2:9" ht="15.75" customHeight="1">
      <c r="B663" s="2"/>
      <c r="C663" s="2"/>
      <c r="D663" s="2"/>
      <c r="E663" s="2"/>
      <c r="F663" s="2"/>
      <c r="G663" s="2"/>
      <c r="H663" s="2"/>
      <c r="I663" s="2"/>
    </row>
    <row r="664" spans="2:9" ht="15.75" customHeight="1">
      <c r="B664" s="2"/>
      <c r="C664" s="2"/>
      <c r="D664" s="2"/>
      <c r="E664" s="2"/>
      <c r="F664" s="2"/>
      <c r="G664" s="2"/>
      <c r="H664" s="2"/>
      <c r="I664" s="2"/>
    </row>
    <row r="665" spans="2:9" ht="15.75" customHeight="1">
      <c r="B665" s="2"/>
      <c r="C665" s="2"/>
      <c r="D665" s="2"/>
      <c r="E665" s="2"/>
      <c r="F665" s="2"/>
      <c r="G665" s="2"/>
      <c r="H665" s="2"/>
      <c r="I665" s="2"/>
    </row>
    <row r="666" spans="2:9" ht="15.75" customHeight="1">
      <c r="B666" s="2"/>
      <c r="C666" s="2"/>
      <c r="D666" s="2"/>
      <c r="E666" s="2"/>
      <c r="F666" s="2"/>
      <c r="G666" s="2"/>
      <c r="H666" s="2"/>
      <c r="I666" s="2"/>
    </row>
    <row r="667" spans="2:9" ht="15.75" customHeight="1">
      <c r="B667" s="2"/>
      <c r="C667" s="2"/>
      <c r="D667" s="2"/>
      <c r="E667" s="2"/>
      <c r="F667" s="2"/>
      <c r="G667" s="2"/>
      <c r="H667" s="2"/>
      <c r="I667" s="2"/>
    </row>
    <row r="668" spans="2:9" ht="15.75" customHeight="1">
      <c r="B668" s="2"/>
      <c r="C668" s="2"/>
      <c r="D668" s="2"/>
      <c r="E668" s="2"/>
      <c r="F668" s="2"/>
      <c r="G668" s="2"/>
      <c r="H668" s="2"/>
      <c r="I668" s="2"/>
    </row>
    <row r="669" spans="2:9" ht="15.75" customHeight="1">
      <c r="B669" s="2"/>
      <c r="C669" s="2"/>
      <c r="D669" s="2"/>
      <c r="E669" s="2"/>
      <c r="F669" s="2"/>
      <c r="G669" s="2"/>
      <c r="H669" s="2"/>
      <c r="I669" s="2"/>
    </row>
    <row r="670" spans="2:9" ht="15.75" customHeight="1">
      <c r="B670" s="2"/>
      <c r="C670" s="2"/>
      <c r="D670" s="2"/>
      <c r="E670" s="2"/>
      <c r="F670" s="2"/>
      <c r="G670" s="2"/>
      <c r="H670" s="2"/>
      <c r="I670" s="2"/>
    </row>
    <row r="671" spans="2:9" ht="15.75" customHeight="1">
      <c r="B671" s="2"/>
      <c r="C671" s="2"/>
      <c r="D671" s="2"/>
      <c r="E671" s="2"/>
      <c r="F671" s="2"/>
      <c r="G671" s="2"/>
      <c r="H671" s="2"/>
      <c r="I671" s="2"/>
    </row>
    <row r="672" spans="2:9" ht="15.75" customHeight="1">
      <c r="B672" s="2"/>
      <c r="C672" s="2"/>
      <c r="D672" s="2"/>
      <c r="E672" s="2"/>
      <c r="F672" s="2"/>
      <c r="G672" s="2"/>
      <c r="H672" s="2"/>
      <c r="I672" s="2"/>
    </row>
    <row r="673" spans="2:9" ht="15.75" customHeight="1">
      <c r="B673" s="2"/>
      <c r="C673" s="2"/>
      <c r="D673" s="2"/>
      <c r="E673" s="2"/>
      <c r="F673" s="2"/>
      <c r="G673" s="2"/>
      <c r="H673" s="2"/>
      <c r="I673" s="2"/>
    </row>
    <row r="674" spans="2:9" ht="15.75" customHeight="1">
      <c r="B674" s="2"/>
      <c r="C674" s="2"/>
      <c r="D674" s="2"/>
      <c r="E674" s="2"/>
      <c r="F674" s="2"/>
      <c r="G674" s="2"/>
      <c r="H674" s="2"/>
      <c r="I674" s="2"/>
    </row>
    <row r="675" spans="2:9" ht="15.75" customHeight="1">
      <c r="B675" s="2"/>
      <c r="C675" s="2"/>
      <c r="D675" s="2"/>
      <c r="E675" s="2"/>
      <c r="F675" s="2"/>
      <c r="G675" s="2"/>
      <c r="H675" s="2"/>
      <c r="I675" s="2"/>
    </row>
    <row r="676" spans="2:9" ht="15.75" customHeight="1">
      <c r="B676" s="2"/>
      <c r="C676" s="2"/>
      <c r="D676" s="2"/>
      <c r="E676" s="2"/>
      <c r="F676" s="2"/>
      <c r="G676" s="2"/>
      <c r="H676" s="2"/>
      <c r="I676" s="2"/>
    </row>
    <row r="677" spans="2:9" ht="15.75" customHeight="1">
      <c r="B677" s="2"/>
      <c r="C677" s="2"/>
      <c r="D677" s="2"/>
      <c r="E677" s="2"/>
      <c r="F677" s="2"/>
      <c r="G677" s="2"/>
      <c r="H677" s="2"/>
      <c r="I677" s="2"/>
    </row>
    <row r="678" spans="2:9" ht="15.75" customHeight="1">
      <c r="B678" s="2"/>
      <c r="C678" s="2"/>
      <c r="D678" s="2"/>
      <c r="E678" s="2"/>
      <c r="F678" s="2"/>
      <c r="G678" s="2"/>
      <c r="H678" s="2"/>
      <c r="I678" s="2"/>
    </row>
    <row r="679" spans="2:9" ht="15.75" customHeight="1">
      <c r="B679" s="2"/>
      <c r="C679" s="2"/>
      <c r="D679" s="2"/>
      <c r="E679" s="2"/>
      <c r="F679" s="2"/>
      <c r="G679" s="2"/>
      <c r="H679" s="2"/>
      <c r="I679" s="2"/>
    </row>
    <row r="680" spans="2:9" ht="15.75" customHeight="1">
      <c r="B680" s="2"/>
      <c r="C680" s="2"/>
      <c r="D680" s="2"/>
      <c r="E680" s="2"/>
      <c r="F680" s="2"/>
      <c r="G680" s="2"/>
      <c r="H680" s="2"/>
      <c r="I680" s="2"/>
    </row>
    <row r="681" spans="2:9" ht="15.75" customHeight="1">
      <c r="B681" s="2"/>
      <c r="C681" s="2"/>
      <c r="D681" s="2"/>
      <c r="E681" s="2"/>
      <c r="F681" s="2"/>
      <c r="G681" s="2"/>
      <c r="H681" s="2"/>
      <c r="I681" s="2"/>
    </row>
    <row r="682" spans="2:9" ht="15.75" customHeight="1">
      <c r="B682" s="2"/>
      <c r="C682" s="2"/>
      <c r="D682" s="2"/>
      <c r="E682" s="2"/>
      <c r="F682" s="2"/>
      <c r="G682" s="2"/>
      <c r="H682" s="2"/>
      <c r="I682" s="2"/>
    </row>
    <row r="683" spans="2:9" ht="15.75" customHeight="1">
      <c r="B683" s="2"/>
      <c r="C683" s="2"/>
      <c r="D683" s="2"/>
      <c r="E683" s="2"/>
      <c r="F683" s="2"/>
      <c r="G683" s="2"/>
      <c r="H683" s="2"/>
      <c r="I683" s="2"/>
    </row>
    <row r="684" spans="2:9" ht="15.75" customHeight="1">
      <c r="B684" s="2"/>
      <c r="C684" s="2"/>
      <c r="D684" s="2"/>
      <c r="E684" s="2"/>
      <c r="F684" s="2"/>
      <c r="G684" s="2"/>
      <c r="H684" s="2"/>
      <c r="I684" s="2"/>
    </row>
    <row r="685" spans="2:9" ht="15.75" customHeight="1">
      <c r="B685" s="2"/>
      <c r="C685" s="2"/>
      <c r="D685" s="2"/>
      <c r="E685" s="2"/>
      <c r="F685" s="2"/>
      <c r="G685" s="2"/>
      <c r="H685" s="2"/>
      <c r="I685" s="2"/>
    </row>
    <row r="686" spans="2:9" ht="15.75" customHeight="1">
      <c r="B686" s="2"/>
      <c r="C686" s="2"/>
      <c r="D686" s="2"/>
      <c r="E686" s="2"/>
      <c r="F686" s="2"/>
      <c r="G686" s="2"/>
      <c r="H686" s="2"/>
      <c r="I686" s="2"/>
    </row>
    <row r="687" spans="2:9" ht="15.75" customHeight="1">
      <c r="B687" s="2"/>
      <c r="C687" s="2"/>
      <c r="D687" s="2"/>
      <c r="E687" s="2"/>
      <c r="F687" s="2"/>
      <c r="G687" s="2"/>
      <c r="H687" s="2"/>
      <c r="I687" s="2"/>
    </row>
    <row r="688" spans="2:9" ht="15.75" customHeight="1">
      <c r="B688" s="2"/>
      <c r="C688" s="2"/>
      <c r="D688" s="2"/>
      <c r="E688" s="2"/>
      <c r="F688" s="2"/>
      <c r="G688" s="2"/>
      <c r="H688" s="2"/>
      <c r="I688" s="2"/>
    </row>
    <row r="689" spans="2:9" ht="15.75" customHeight="1">
      <c r="B689" s="2"/>
      <c r="C689" s="2"/>
      <c r="D689" s="2"/>
      <c r="E689" s="2"/>
      <c r="F689" s="2"/>
      <c r="G689" s="2"/>
      <c r="H689" s="2"/>
      <c r="I689" s="2"/>
    </row>
    <row r="690" spans="2:9" ht="15.75" customHeight="1">
      <c r="B690" s="2"/>
      <c r="C690" s="2"/>
      <c r="D690" s="2"/>
      <c r="E690" s="2"/>
      <c r="F690" s="2"/>
      <c r="G690" s="2"/>
      <c r="H690" s="2"/>
      <c r="I690" s="2"/>
    </row>
    <row r="691" spans="2:9" ht="15.75" customHeight="1">
      <c r="B691" s="2"/>
      <c r="C691" s="2"/>
      <c r="D691" s="2"/>
      <c r="E691" s="2"/>
      <c r="F691" s="2"/>
      <c r="G691" s="2"/>
      <c r="H691" s="2"/>
      <c r="I691" s="2"/>
    </row>
    <row r="692" spans="2:9" ht="15.75" customHeight="1">
      <c r="B692" s="2"/>
      <c r="C692" s="2"/>
      <c r="D692" s="2"/>
      <c r="E692" s="2"/>
      <c r="F692" s="2"/>
      <c r="G692" s="2"/>
      <c r="H692" s="2"/>
      <c r="I692" s="2"/>
    </row>
    <row r="693" spans="2:9" ht="15.75" customHeight="1">
      <c r="B693" s="2"/>
      <c r="C693" s="2"/>
      <c r="D693" s="2"/>
      <c r="E693" s="2"/>
      <c r="F693" s="2"/>
      <c r="G693" s="2"/>
      <c r="H693" s="2"/>
      <c r="I693" s="2"/>
    </row>
    <row r="694" spans="2:9" ht="15.75" customHeight="1">
      <c r="B694" s="2"/>
      <c r="C694" s="2"/>
      <c r="D694" s="2"/>
      <c r="E694" s="2"/>
      <c r="F694" s="2"/>
      <c r="G694" s="2"/>
      <c r="H694" s="2"/>
      <c r="I694" s="2"/>
    </row>
    <row r="695" spans="2:9" ht="15.75" customHeight="1">
      <c r="B695" s="2"/>
      <c r="C695" s="2"/>
      <c r="D695" s="2"/>
      <c r="E695" s="2"/>
      <c r="F695" s="2"/>
      <c r="G695" s="2"/>
      <c r="H695" s="2"/>
      <c r="I695" s="2"/>
    </row>
    <row r="696" spans="2:9" ht="15.75" customHeight="1">
      <c r="B696" s="2"/>
      <c r="C696" s="2"/>
      <c r="D696" s="2"/>
      <c r="E696" s="2"/>
      <c r="F696" s="2"/>
      <c r="G696" s="2"/>
      <c r="H696" s="2"/>
      <c r="I696" s="2"/>
    </row>
    <row r="697" spans="2:9" ht="15.75" customHeight="1">
      <c r="B697" s="2"/>
      <c r="C697" s="2"/>
      <c r="D697" s="2"/>
      <c r="E697" s="2"/>
      <c r="F697" s="2"/>
      <c r="G697" s="2"/>
      <c r="H697" s="2"/>
      <c r="I697" s="2"/>
    </row>
    <row r="698" spans="2:9" ht="15.75" customHeight="1">
      <c r="B698" s="2"/>
      <c r="C698" s="2"/>
      <c r="D698" s="2"/>
      <c r="E698" s="2"/>
      <c r="F698" s="2"/>
      <c r="G698" s="2"/>
      <c r="H698" s="2"/>
      <c r="I698" s="2"/>
    </row>
    <row r="699" spans="2:9" ht="15.75" customHeight="1">
      <c r="B699" s="2"/>
      <c r="C699" s="2"/>
      <c r="D699" s="2"/>
      <c r="E699" s="2"/>
      <c r="F699" s="2"/>
      <c r="G699" s="2"/>
      <c r="H699" s="2"/>
      <c r="I699" s="2"/>
    </row>
    <row r="700" spans="2:9" ht="15.75" customHeight="1">
      <c r="B700" s="2"/>
      <c r="C700" s="2"/>
      <c r="D700" s="2"/>
      <c r="E700" s="2"/>
      <c r="F700" s="2"/>
      <c r="G700" s="2"/>
      <c r="H700" s="2"/>
      <c r="I700" s="2"/>
    </row>
    <row r="701" spans="2:9" ht="15.75" customHeight="1">
      <c r="B701" s="2"/>
      <c r="C701" s="2"/>
      <c r="D701" s="2"/>
      <c r="E701" s="2"/>
      <c r="F701" s="2"/>
      <c r="G701" s="2"/>
      <c r="H701" s="2"/>
      <c r="I701" s="2"/>
    </row>
    <row r="702" spans="2:9" ht="15.75" customHeight="1">
      <c r="B702" s="2"/>
      <c r="C702" s="2"/>
      <c r="D702" s="2"/>
      <c r="E702" s="2"/>
      <c r="F702" s="2"/>
      <c r="G702" s="2"/>
      <c r="H702" s="2"/>
      <c r="I702" s="2"/>
    </row>
    <row r="703" spans="2:9" ht="15.75" customHeight="1">
      <c r="B703" s="2"/>
      <c r="C703" s="2"/>
      <c r="D703" s="2"/>
      <c r="E703" s="2"/>
      <c r="F703" s="2"/>
      <c r="G703" s="2"/>
      <c r="H703" s="2"/>
      <c r="I703" s="2"/>
    </row>
    <row r="704" spans="2:9" ht="15.75" customHeight="1">
      <c r="B704" s="2"/>
      <c r="C704" s="2"/>
      <c r="D704" s="2"/>
      <c r="E704" s="2"/>
      <c r="F704" s="2"/>
      <c r="G704" s="2"/>
      <c r="H704" s="2"/>
      <c r="I704" s="2"/>
    </row>
    <row r="705" spans="2:9" ht="15.75" customHeight="1">
      <c r="B705" s="2"/>
      <c r="C705" s="2"/>
      <c r="D705" s="2"/>
      <c r="E705" s="2"/>
      <c r="F705" s="2"/>
      <c r="G705" s="2"/>
      <c r="H705" s="2"/>
      <c r="I705" s="2"/>
    </row>
    <row r="706" spans="2:9" ht="15.75" customHeight="1">
      <c r="B706" s="2"/>
      <c r="C706" s="2"/>
      <c r="D706" s="2"/>
      <c r="E706" s="2"/>
      <c r="F706" s="2"/>
      <c r="G706" s="2"/>
      <c r="H706" s="2"/>
      <c r="I706" s="2"/>
    </row>
    <row r="707" spans="2:9" ht="15.75" customHeight="1">
      <c r="B707" s="2"/>
      <c r="C707" s="2"/>
      <c r="D707" s="2"/>
      <c r="E707" s="2"/>
      <c r="F707" s="2"/>
      <c r="G707" s="2"/>
      <c r="H707" s="2"/>
      <c r="I707" s="2"/>
    </row>
    <row r="708" spans="2:9" ht="15.75" customHeight="1">
      <c r="B708" s="2"/>
      <c r="C708" s="2"/>
      <c r="D708" s="2"/>
      <c r="E708" s="2"/>
      <c r="F708" s="2"/>
      <c r="G708" s="2"/>
      <c r="H708" s="2"/>
      <c r="I708" s="2"/>
    </row>
    <row r="709" spans="2:9" ht="15.75" customHeight="1">
      <c r="B709" s="2"/>
      <c r="C709" s="2"/>
      <c r="D709" s="2"/>
      <c r="E709" s="2"/>
      <c r="F709" s="2"/>
      <c r="G709" s="2"/>
      <c r="H709" s="2"/>
      <c r="I709" s="2"/>
    </row>
    <row r="710" spans="2:9" ht="15.75" customHeight="1">
      <c r="B710" s="2"/>
      <c r="C710" s="2"/>
      <c r="D710" s="2"/>
      <c r="E710" s="2"/>
      <c r="F710" s="2"/>
      <c r="G710" s="2"/>
      <c r="H710" s="2"/>
      <c r="I710" s="2"/>
    </row>
    <row r="711" spans="2:9" ht="15.75" customHeight="1">
      <c r="B711" s="2"/>
      <c r="C711" s="2"/>
      <c r="D711" s="2"/>
      <c r="E711" s="2"/>
      <c r="F711" s="2"/>
      <c r="G711" s="2"/>
      <c r="H711" s="2"/>
      <c r="I711" s="2"/>
    </row>
    <row r="712" spans="2:9" ht="15.75" customHeight="1">
      <c r="B712" s="2"/>
      <c r="C712" s="2"/>
      <c r="D712" s="2"/>
      <c r="E712" s="2"/>
      <c r="F712" s="2"/>
      <c r="G712" s="2"/>
      <c r="H712" s="2"/>
      <c r="I712" s="2"/>
    </row>
    <row r="713" spans="2:9" ht="15.75" customHeight="1">
      <c r="B713" s="2"/>
      <c r="C713" s="2"/>
      <c r="D713" s="2"/>
      <c r="E713" s="2"/>
      <c r="F713" s="2"/>
      <c r="G713" s="2"/>
      <c r="H713" s="2"/>
      <c r="I713" s="2"/>
    </row>
    <row r="714" spans="2:9" ht="15.75" customHeight="1">
      <c r="B714" s="2"/>
      <c r="C714" s="2"/>
      <c r="D714" s="2"/>
      <c r="E714" s="2"/>
      <c r="F714" s="2"/>
      <c r="G714" s="2"/>
      <c r="H714" s="2"/>
      <c r="I714" s="2"/>
    </row>
    <row r="715" spans="2:9" ht="15.75" customHeight="1">
      <c r="B715" s="2"/>
      <c r="C715" s="2"/>
      <c r="D715" s="2"/>
      <c r="E715" s="2"/>
      <c r="F715" s="2"/>
      <c r="G715" s="2"/>
      <c r="H715" s="2"/>
      <c r="I715" s="2"/>
    </row>
    <row r="716" spans="2:9" ht="15.75" customHeight="1">
      <c r="B716" s="2"/>
      <c r="C716" s="2"/>
      <c r="D716" s="2"/>
      <c r="E716" s="2"/>
      <c r="F716" s="2"/>
      <c r="G716" s="2"/>
      <c r="H716" s="2"/>
      <c r="I716" s="2"/>
    </row>
    <row r="717" spans="2:9" ht="15.75" customHeight="1">
      <c r="B717" s="2"/>
      <c r="C717" s="2"/>
      <c r="D717" s="2"/>
      <c r="E717" s="2"/>
      <c r="F717" s="2"/>
      <c r="G717" s="2"/>
      <c r="H717" s="2"/>
      <c r="I717" s="2"/>
    </row>
    <row r="718" spans="2:9" ht="15.75" customHeight="1">
      <c r="B718" s="2"/>
      <c r="C718" s="2"/>
      <c r="D718" s="2"/>
      <c r="E718" s="2"/>
      <c r="F718" s="2"/>
      <c r="G718" s="2"/>
      <c r="H718" s="2"/>
      <c r="I718" s="2"/>
    </row>
    <row r="719" spans="2:9" ht="15.75" customHeight="1">
      <c r="B719" s="2"/>
      <c r="C719" s="2"/>
      <c r="D719" s="2"/>
      <c r="E719" s="2"/>
      <c r="F719" s="2"/>
      <c r="G719" s="2"/>
      <c r="H719" s="2"/>
      <c r="I719" s="2"/>
    </row>
    <row r="720" spans="2:9" ht="15.75" customHeight="1">
      <c r="B720" s="2"/>
      <c r="C720" s="2"/>
      <c r="D720" s="2"/>
      <c r="E720" s="2"/>
      <c r="F720" s="2"/>
      <c r="G720" s="2"/>
      <c r="H720" s="2"/>
      <c r="I720" s="2"/>
    </row>
    <row r="721" spans="2:9" ht="15.75" customHeight="1">
      <c r="B721" s="2"/>
      <c r="C721" s="2"/>
      <c r="D721" s="2"/>
      <c r="E721" s="2"/>
      <c r="F721" s="2"/>
      <c r="G721" s="2"/>
      <c r="H721" s="2"/>
      <c r="I721" s="2"/>
    </row>
    <row r="722" spans="2:9" ht="15.75" customHeight="1">
      <c r="B722" s="2"/>
      <c r="C722" s="2"/>
      <c r="D722" s="2"/>
      <c r="E722" s="2"/>
      <c r="F722" s="2"/>
      <c r="G722" s="2"/>
      <c r="H722" s="2"/>
      <c r="I722" s="2"/>
    </row>
    <row r="723" spans="2:9" ht="15.75" customHeight="1">
      <c r="B723" s="2"/>
      <c r="C723" s="2"/>
      <c r="D723" s="2"/>
      <c r="E723" s="2"/>
      <c r="F723" s="2"/>
      <c r="G723" s="2"/>
      <c r="H723" s="2"/>
      <c r="I723" s="2"/>
    </row>
    <row r="724" spans="2:9" ht="15.75" customHeight="1">
      <c r="B724" s="2"/>
      <c r="C724" s="2"/>
      <c r="D724" s="2"/>
      <c r="E724" s="2"/>
      <c r="F724" s="2"/>
      <c r="G724" s="2"/>
      <c r="H724" s="2"/>
      <c r="I724" s="2"/>
    </row>
    <row r="725" spans="2:9" ht="15.75" customHeight="1">
      <c r="B725" s="2"/>
      <c r="C725" s="2"/>
      <c r="D725" s="2"/>
      <c r="E725" s="2"/>
      <c r="F725" s="2"/>
      <c r="G725" s="2"/>
      <c r="H725" s="2"/>
      <c r="I725" s="2"/>
    </row>
    <row r="726" spans="2:9" ht="15.75" customHeight="1">
      <c r="B726" s="2"/>
      <c r="C726" s="2"/>
      <c r="D726" s="2"/>
      <c r="E726" s="2"/>
      <c r="F726" s="2"/>
      <c r="G726" s="2"/>
      <c r="H726" s="2"/>
      <c r="I726" s="2"/>
    </row>
    <row r="727" spans="2:9" ht="15.75" customHeight="1">
      <c r="B727" s="2"/>
      <c r="C727" s="2"/>
      <c r="D727" s="2"/>
      <c r="E727" s="2"/>
      <c r="F727" s="2"/>
      <c r="G727" s="2"/>
      <c r="H727" s="2"/>
      <c r="I727" s="2"/>
    </row>
    <row r="728" spans="2:9" ht="15.75" customHeight="1">
      <c r="B728" s="2"/>
      <c r="C728" s="2"/>
      <c r="D728" s="2"/>
      <c r="E728" s="2"/>
      <c r="F728" s="2"/>
      <c r="G728" s="2"/>
      <c r="H728" s="2"/>
      <c r="I728" s="2"/>
    </row>
    <row r="729" spans="2:9" ht="15.75" customHeight="1">
      <c r="B729" s="2"/>
      <c r="C729" s="2"/>
      <c r="D729" s="2"/>
      <c r="E729" s="2"/>
      <c r="F729" s="2"/>
      <c r="G729" s="2"/>
      <c r="H729" s="2"/>
      <c r="I729" s="2"/>
    </row>
    <row r="730" spans="2:9" ht="15.75" customHeight="1">
      <c r="B730" s="2"/>
      <c r="C730" s="2"/>
      <c r="D730" s="2"/>
      <c r="E730" s="2"/>
      <c r="F730" s="2"/>
      <c r="G730" s="2"/>
      <c r="H730" s="2"/>
      <c r="I730" s="2"/>
    </row>
    <row r="731" spans="2:9" ht="15.75" customHeight="1">
      <c r="B731" s="2"/>
      <c r="C731" s="2"/>
      <c r="D731" s="2"/>
      <c r="E731" s="2"/>
      <c r="F731" s="2"/>
      <c r="G731" s="2"/>
      <c r="H731" s="2"/>
      <c r="I731" s="2"/>
    </row>
    <row r="732" spans="2:9" ht="15.75" customHeight="1">
      <c r="B732" s="2"/>
      <c r="C732" s="2"/>
      <c r="D732" s="2"/>
      <c r="E732" s="2"/>
      <c r="F732" s="2"/>
      <c r="G732" s="2"/>
      <c r="H732" s="2"/>
      <c r="I732" s="2"/>
    </row>
    <row r="733" spans="2:9" ht="15.75" customHeight="1">
      <c r="B733" s="2"/>
      <c r="C733" s="2"/>
      <c r="D733" s="2"/>
      <c r="E733" s="2"/>
      <c r="F733" s="2"/>
      <c r="G733" s="2"/>
      <c r="H733" s="2"/>
      <c r="I733" s="2"/>
    </row>
    <row r="734" spans="2:9" ht="15.75" customHeight="1">
      <c r="B734" s="2"/>
      <c r="C734" s="2"/>
      <c r="D734" s="2"/>
      <c r="E734" s="2"/>
      <c r="F734" s="2"/>
      <c r="G734" s="2"/>
      <c r="H734" s="2"/>
      <c r="I734" s="2"/>
    </row>
    <row r="735" spans="2:9" ht="15.75" customHeight="1">
      <c r="B735" s="2"/>
      <c r="C735" s="2"/>
      <c r="D735" s="2"/>
      <c r="E735" s="2"/>
      <c r="F735" s="2"/>
      <c r="G735" s="2"/>
      <c r="H735" s="2"/>
      <c r="I735" s="2"/>
    </row>
    <row r="736" spans="2:9" ht="15.75" customHeight="1">
      <c r="B736" s="2"/>
      <c r="C736" s="2"/>
      <c r="D736" s="2"/>
      <c r="E736" s="2"/>
      <c r="F736" s="2"/>
      <c r="G736" s="2"/>
      <c r="H736" s="2"/>
      <c r="I736" s="2"/>
    </row>
    <row r="737" spans="2:9" ht="15.75" customHeight="1">
      <c r="B737" s="2"/>
      <c r="C737" s="2"/>
      <c r="D737" s="2"/>
      <c r="E737" s="2"/>
      <c r="F737" s="2"/>
      <c r="G737" s="2"/>
      <c r="H737" s="2"/>
      <c r="I737" s="2"/>
    </row>
    <row r="738" spans="2:9" ht="15.75" customHeight="1">
      <c r="B738" s="2"/>
      <c r="C738" s="2"/>
      <c r="D738" s="2"/>
      <c r="E738" s="2"/>
      <c r="F738" s="2"/>
      <c r="G738" s="2"/>
      <c r="H738" s="2"/>
      <c r="I738" s="2"/>
    </row>
    <row r="739" spans="2:9" ht="15.75" customHeight="1">
      <c r="B739" s="2"/>
      <c r="C739" s="2"/>
      <c r="D739" s="2"/>
      <c r="E739" s="2"/>
      <c r="F739" s="2"/>
      <c r="G739" s="2"/>
      <c r="H739" s="2"/>
      <c r="I739" s="2"/>
    </row>
    <row r="740" spans="2:9" ht="15.75" customHeight="1">
      <c r="B740" s="2"/>
      <c r="C740" s="2"/>
      <c r="D740" s="2"/>
      <c r="E740" s="2"/>
      <c r="F740" s="2"/>
      <c r="G740" s="2"/>
      <c r="H740" s="2"/>
      <c r="I740" s="2"/>
    </row>
    <row r="741" spans="2:9" ht="15.75" customHeight="1">
      <c r="B741" s="2"/>
      <c r="C741" s="2"/>
      <c r="D741" s="2"/>
      <c r="E741" s="2"/>
      <c r="F741" s="2"/>
      <c r="G741" s="2"/>
      <c r="H741" s="2"/>
      <c r="I741" s="2"/>
    </row>
    <row r="742" spans="2:9" ht="15.75" customHeight="1">
      <c r="B742" s="2"/>
      <c r="C742" s="2"/>
      <c r="D742" s="2"/>
      <c r="E742" s="2"/>
      <c r="F742" s="2"/>
      <c r="G742" s="2"/>
      <c r="H742" s="2"/>
      <c r="I742" s="2"/>
    </row>
    <row r="743" spans="2:9" ht="15.75" customHeight="1">
      <c r="B743" s="2"/>
      <c r="C743" s="2"/>
      <c r="D743" s="2"/>
      <c r="E743" s="2"/>
      <c r="F743" s="2"/>
      <c r="G743" s="2"/>
      <c r="H743" s="2"/>
      <c r="I743" s="2"/>
    </row>
    <row r="744" spans="2:9" ht="15.75" customHeight="1">
      <c r="B744" s="2"/>
      <c r="C744" s="2"/>
      <c r="D744" s="2"/>
      <c r="E744" s="2"/>
      <c r="F744" s="2"/>
      <c r="G744" s="2"/>
      <c r="H744" s="2"/>
      <c r="I744" s="2"/>
    </row>
    <row r="745" spans="2:9" ht="15.75" customHeight="1">
      <c r="B745" s="2"/>
      <c r="C745" s="2"/>
      <c r="D745" s="2"/>
      <c r="E745" s="2"/>
      <c r="F745" s="2"/>
      <c r="G745" s="2"/>
      <c r="H745" s="2"/>
      <c r="I745" s="2"/>
    </row>
    <row r="746" spans="2:9" ht="15.75" customHeight="1">
      <c r="B746" s="2"/>
      <c r="C746" s="2"/>
      <c r="D746" s="2"/>
      <c r="E746" s="2"/>
      <c r="F746" s="2"/>
      <c r="G746" s="2"/>
      <c r="H746" s="2"/>
      <c r="I746" s="2"/>
    </row>
    <row r="747" spans="2:9" ht="15.75" customHeight="1">
      <c r="B747" s="2"/>
      <c r="C747" s="2"/>
      <c r="D747" s="2"/>
      <c r="E747" s="2"/>
      <c r="F747" s="2"/>
      <c r="G747" s="2"/>
      <c r="H747" s="2"/>
      <c r="I747" s="2"/>
    </row>
    <row r="748" spans="2:9" ht="15.75" customHeight="1">
      <c r="B748" s="2"/>
      <c r="C748" s="2"/>
      <c r="D748" s="2"/>
      <c r="E748" s="2"/>
      <c r="F748" s="2"/>
      <c r="G748" s="2"/>
      <c r="H748" s="2"/>
      <c r="I748" s="2"/>
    </row>
    <row r="749" spans="2:9" ht="15.75" customHeight="1">
      <c r="B749" s="2"/>
      <c r="C749" s="2"/>
      <c r="D749" s="2"/>
      <c r="E749" s="2"/>
      <c r="F749" s="2"/>
      <c r="G749" s="2"/>
      <c r="H749" s="2"/>
      <c r="I749" s="2"/>
    </row>
    <row r="750" spans="2:9" ht="15.75" customHeight="1">
      <c r="B750" s="2"/>
      <c r="C750" s="2"/>
      <c r="D750" s="2"/>
      <c r="E750" s="2"/>
      <c r="F750" s="2"/>
      <c r="G750" s="2"/>
      <c r="H750" s="2"/>
      <c r="I750" s="2"/>
    </row>
    <row r="751" spans="2:9" ht="15.75" customHeight="1">
      <c r="B751" s="2"/>
      <c r="C751" s="2"/>
      <c r="D751" s="2"/>
      <c r="E751" s="2"/>
      <c r="F751" s="2"/>
      <c r="G751" s="2"/>
      <c r="H751" s="2"/>
      <c r="I751" s="2"/>
    </row>
    <row r="752" spans="2:9" ht="15.75" customHeight="1">
      <c r="B752" s="2"/>
      <c r="C752" s="2"/>
      <c r="D752" s="2"/>
      <c r="E752" s="2"/>
      <c r="F752" s="2"/>
      <c r="G752" s="2"/>
      <c r="H752" s="2"/>
      <c r="I752" s="2"/>
    </row>
    <row r="753" spans="2:9" ht="15.75" customHeight="1">
      <c r="B753" s="2"/>
      <c r="C753" s="2"/>
      <c r="D753" s="2"/>
      <c r="E753" s="2"/>
      <c r="F753" s="2"/>
      <c r="G753" s="2"/>
      <c r="H753" s="2"/>
      <c r="I753" s="2"/>
    </row>
    <row r="754" spans="2:9" ht="15.75" customHeight="1">
      <c r="B754" s="2"/>
      <c r="C754" s="2"/>
      <c r="D754" s="2"/>
      <c r="E754" s="2"/>
      <c r="F754" s="2"/>
      <c r="G754" s="2"/>
      <c r="H754" s="2"/>
      <c r="I754" s="2"/>
    </row>
    <row r="755" spans="2:9" ht="15.75" customHeight="1">
      <c r="B755" s="2"/>
      <c r="C755" s="2"/>
      <c r="D755" s="2"/>
      <c r="E755" s="2"/>
      <c r="F755" s="2"/>
      <c r="G755" s="2"/>
      <c r="H755" s="2"/>
      <c r="I755" s="2"/>
    </row>
    <row r="756" spans="2:9" ht="15.75" customHeight="1">
      <c r="B756" s="2"/>
      <c r="C756" s="2"/>
      <c r="D756" s="2"/>
      <c r="E756" s="2"/>
      <c r="F756" s="2"/>
      <c r="G756" s="2"/>
      <c r="H756" s="2"/>
      <c r="I756" s="2"/>
    </row>
    <row r="757" spans="2:9" ht="15.75" customHeight="1">
      <c r="B757" s="2"/>
      <c r="C757" s="2"/>
      <c r="D757" s="2"/>
      <c r="E757" s="2"/>
      <c r="F757" s="2"/>
      <c r="G757" s="2"/>
      <c r="H757" s="2"/>
      <c r="I757" s="2"/>
    </row>
    <row r="758" spans="2:9" ht="15.75" customHeight="1">
      <c r="B758" s="2"/>
      <c r="C758" s="2"/>
      <c r="D758" s="2"/>
      <c r="E758" s="2"/>
      <c r="F758" s="2"/>
      <c r="G758" s="2"/>
      <c r="H758" s="2"/>
      <c r="I758" s="2"/>
    </row>
    <row r="759" spans="2:9" ht="15.75" customHeight="1">
      <c r="B759" s="2"/>
      <c r="C759" s="2"/>
      <c r="D759" s="2"/>
      <c r="E759" s="2"/>
      <c r="F759" s="2"/>
      <c r="G759" s="2"/>
      <c r="H759" s="2"/>
      <c r="I759" s="2"/>
    </row>
    <row r="760" spans="2:9" ht="15.75" customHeight="1">
      <c r="B760" s="2"/>
      <c r="C760" s="2"/>
      <c r="D760" s="2"/>
      <c r="E760" s="2"/>
      <c r="F760" s="2"/>
      <c r="G760" s="2"/>
      <c r="H760" s="2"/>
      <c r="I760" s="2"/>
    </row>
    <row r="761" spans="2:9" ht="15.75" customHeight="1">
      <c r="B761" s="2"/>
      <c r="C761" s="2"/>
      <c r="D761" s="2"/>
      <c r="E761" s="2"/>
      <c r="F761" s="2"/>
      <c r="G761" s="2"/>
      <c r="H761" s="2"/>
      <c r="I761" s="2"/>
    </row>
    <row r="762" spans="2:9" ht="15.75" customHeight="1">
      <c r="B762" s="2"/>
      <c r="C762" s="2"/>
      <c r="D762" s="2"/>
      <c r="E762" s="2"/>
      <c r="F762" s="2"/>
      <c r="G762" s="2"/>
      <c r="H762" s="2"/>
      <c r="I762" s="2"/>
    </row>
    <row r="763" spans="2:9" ht="15.75" customHeight="1">
      <c r="B763" s="2"/>
      <c r="C763" s="2"/>
      <c r="D763" s="2"/>
      <c r="E763" s="2"/>
      <c r="F763" s="2"/>
      <c r="G763" s="2"/>
      <c r="H763" s="2"/>
      <c r="I763" s="2"/>
    </row>
    <row r="764" spans="2:9" ht="15.75" customHeight="1">
      <c r="B764" s="2"/>
      <c r="C764" s="2"/>
      <c r="D764" s="2"/>
      <c r="E764" s="2"/>
      <c r="F764" s="2"/>
      <c r="G764" s="2"/>
      <c r="H764" s="2"/>
      <c r="I764" s="2"/>
    </row>
    <row r="765" spans="2:9" ht="15.75" customHeight="1">
      <c r="B765" s="2"/>
      <c r="C765" s="2"/>
      <c r="D765" s="2"/>
      <c r="E765" s="2"/>
      <c r="F765" s="2"/>
      <c r="G765" s="2"/>
      <c r="H765" s="2"/>
      <c r="I765" s="2"/>
    </row>
    <row r="766" spans="2:9" ht="15.75" customHeight="1">
      <c r="B766" s="2"/>
      <c r="C766" s="2"/>
      <c r="D766" s="2"/>
      <c r="E766" s="2"/>
      <c r="F766" s="2"/>
      <c r="G766" s="2"/>
      <c r="H766" s="2"/>
      <c r="I766" s="2"/>
    </row>
    <row r="767" spans="2:9" ht="15.75" customHeight="1">
      <c r="B767" s="2"/>
      <c r="C767" s="2"/>
      <c r="D767" s="2"/>
      <c r="E767" s="2"/>
      <c r="F767" s="2"/>
      <c r="G767" s="2"/>
      <c r="H767" s="2"/>
      <c r="I767" s="2"/>
    </row>
    <row r="768" spans="2:9" ht="15.75" customHeight="1">
      <c r="B768" s="2"/>
      <c r="C768" s="2"/>
      <c r="D768" s="2"/>
      <c r="E768" s="2"/>
      <c r="F768" s="2"/>
      <c r="G768" s="2"/>
      <c r="H768" s="2"/>
      <c r="I768" s="2"/>
    </row>
    <row r="769" spans="2:9" ht="15.75" customHeight="1">
      <c r="B769" s="2"/>
      <c r="C769" s="2"/>
      <c r="D769" s="2"/>
      <c r="E769" s="2"/>
      <c r="F769" s="2"/>
      <c r="G769" s="2"/>
      <c r="H769" s="2"/>
      <c r="I769" s="2"/>
    </row>
    <row r="770" spans="2:9" ht="15.75" customHeight="1">
      <c r="B770" s="2"/>
      <c r="C770" s="2"/>
      <c r="D770" s="2"/>
      <c r="E770" s="2"/>
      <c r="F770" s="2"/>
      <c r="G770" s="2"/>
      <c r="H770" s="2"/>
      <c r="I770" s="2"/>
    </row>
    <row r="771" spans="2:9" ht="15.75" customHeight="1">
      <c r="B771" s="2"/>
      <c r="C771" s="2"/>
      <c r="D771" s="2"/>
      <c r="E771" s="2"/>
      <c r="F771" s="2"/>
      <c r="G771" s="2"/>
      <c r="H771" s="2"/>
      <c r="I771" s="2"/>
    </row>
    <row r="772" spans="2:9" ht="15.75" customHeight="1">
      <c r="B772" s="2"/>
      <c r="C772" s="2"/>
      <c r="D772" s="2"/>
      <c r="E772" s="2"/>
      <c r="F772" s="2"/>
      <c r="G772" s="2"/>
      <c r="H772" s="2"/>
      <c r="I772" s="2"/>
    </row>
    <row r="773" spans="2:9" ht="15.75" customHeight="1">
      <c r="B773" s="2"/>
      <c r="C773" s="2"/>
      <c r="D773" s="2"/>
      <c r="E773" s="2"/>
      <c r="F773" s="2"/>
      <c r="G773" s="2"/>
      <c r="H773" s="2"/>
      <c r="I773" s="2"/>
    </row>
    <row r="774" spans="2:9" ht="15.75" customHeight="1">
      <c r="B774" s="2"/>
      <c r="C774" s="2"/>
      <c r="D774" s="2"/>
      <c r="E774" s="2"/>
      <c r="F774" s="2"/>
      <c r="G774" s="2"/>
      <c r="H774" s="2"/>
      <c r="I774" s="2"/>
    </row>
    <row r="775" spans="2:9" ht="15.75" customHeight="1">
      <c r="B775" s="2"/>
      <c r="C775" s="2"/>
      <c r="D775" s="2"/>
      <c r="E775" s="2"/>
      <c r="F775" s="2"/>
      <c r="G775" s="2"/>
      <c r="H775" s="2"/>
      <c r="I775" s="2"/>
    </row>
    <row r="776" spans="2:9" ht="15.75" customHeight="1">
      <c r="B776" s="2"/>
      <c r="C776" s="2"/>
      <c r="D776" s="2"/>
      <c r="E776" s="2"/>
      <c r="F776" s="2"/>
      <c r="G776" s="2"/>
      <c r="H776" s="2"/>
      <c r="I776" s="2"/>
    </row>
    <row r="777" spans="2:9" ht="15.75" customHeight="1">
      <c r="B777" s="2"/>
      <c r="C777" s="2"/>
      <c r="D777" s="2"/>
      <c r="E777" s="2"/>
      <c r="F777" s="2"/>
      <c r="G777" s="2"/>
      <c r="H777" s="2"/>
      <c r="I777" s="2"/>
    </row>
    <row r="778" spans="2:9" ht="15.75" customHeight="1">
      <c r="B778" s="2"/>
      <c r="C778" s="2"/>
      <c r="D778" s="2"/>
      <c r="E778" s="2"/>
      <c r="F778" s="2"/>
      <c r="G778" s="2"/>
      <c r="H778" s="2"/>
      <c r="I778" s="2"/>
    </row>
    <row r="779" spans="2:9" ht="15.75" customHeight="1">
      <c r="B779" s="2"/>
      <c r="C779" s="2"/>
      <c r="D779" s="2"/>
      <c r="E779" s="2"/>
      <c r="F779" s="2"/>
      <c r="G779" s="2"/>
      <c r="H779" s="2"/>
      <c r="I779" s="2"/>
    </row>
    <row r="780" spans="2:9" ht="15.75" customHeight="1">
      <c r="B780" s="2"/>
      <c r="C780" s="2"/>
      <c r="D780" s="2"/>
      <c r="E780" s="2"/>
      <c r="F780" s="2"/>
      <c r="G780" s="2"/>
      <c r="H780" s="2"/>
      <c r="I780" s="2"/>
    </row>
    <row r="781" spans="2:9" ht="15.75" customHeight="1">
      <c r="B781" s="2"/>
      <c r="C781" s="2"/>
      <c r="D781" s="2"/>
      <c r="E781" s="2"/>
      <c r="F781" s="2"/>
      <c r="G781" s="2"/>
      <c r="H781" s="2"/>
      <c r="I781" s="2"/>
    </row>
    <row r="782" spans="2:9" ht="15.75" customHeight="1">
      <c r="B782" s="2"/>
      <c r="C782" s="2"/>
      <c r="D782" s="2"/>
      <c r="E782" s="2"/>
      <c r="F782" s="2"/>
      <c r="G782" s="2"/>
      <c r="H782" s="2"/>
      <c r="I782" s="2"/>
    </row>
    <row r="783" spans="2:9" ht="15.75" customHeight="1">
      <c r="B783" s="2"/>
      <c r="C783" s="2"/>
      <c r="D783" s="2"/>
      <c r="E783" s="2"/>
      <c r="F783" s="2"/>
      <c r="G783" s="2"/>
      <c r="H783" s="2"/>
      <c r="I783" s="2"/>
    </row>
    <row r="784" spans="2:9" ht="15.75" customHeight="1">
      <c r="B784" s="2"/>
      <c r="C784" s="2"/>
      <c r="D784" s="2"/>
      <c r="E784" s="2"/>
      <c r="F784" s="2"/>
      <c r="G784" s="2"/>
      <c r="H784" s="2"/>
      <c r="I784" s="2"/>
    </row>
    <row r="785" spans="2:9" ht="15.75" customHeight="1">
      <c r="B785" s="2"/>
      <c r="C785" s="2"/>
      <c r="D785" s="2"/>
      <c r="E785" s="2"/>
      <c r="F785" s="2"/>
      <c r="G785" s="2"/>
      <c r="H785" s="2"/>
      <c r="I785" s="2"/>
    </row>
    <row r="786" spans="2:9" ht="15.75" customHeight="1">
      <c r="B786" s="2"/>
      <c r="C786" s="2"/>
      <c r="D786" s="2"/>
      <c r="E786" s="2"/>
      <c r="F786" s="2"/>
      <c r="G786" s="2"/>
      <c r="H786" s="2"/>
      <c r="I786" s="2"/>
    </row>
    <row r="787" spans="2:9" ht="15.75" customHeight="1">
      <c r="B787" s="2"/>
      <c r="C787" s="2"/>
      <c r="D787" s="2"/>
      <c r="E787" s="2"/>
      <c r="F787" s="2"/>
      <c r="G787" s="2"/>
      <c r="H787" s="2"/>
      <c r="I787" s="2"/>
    </row>
    <row r="788" spans="2:9" ht="15.75" customHeight="1">
      <c r="B788" s="2"/>
      <c r="C788" s="2"/>
      <c r="D788" s="2"/>
      <c r="E788" s="2"/>
      <c r="F788" s="2"/>
      <c r="G788" s="2"/>
      <c r="H788" s="2"/>
      <c r="I788" s="2"/>
    </row>
    <row r="789" spans="2:9" ht="15.75" customHeight="1">
      <c r="B789" s="2"/>
      <c r="C789" s="2"/>
      <c r="D789" s="2"/>
      <c r="E789" s="2"/>
      <c r="F789" s="2"/>
      <c r="G789" s="2"/>
      <c r="H789" s="2"/>
      <c r="I789" s="2"/>
    </row>
    <row r="790" spans="2:9" ht="15.75" customHeight="1">
      <c r="B790" s="2"/>
      <c r="C790" s="2"/>
      <c r="D790" s="2"/>
      <c r="E790" s="2"/>
      <c r="F790" s="2"/>
      <c r="G790" s="2"/>
      <c r="H790" s="2"/>
      <c r="I790" s="2"/>
    </row>
    <row r="791" spans="2:9" ht="15.75" customHeight="1">
      <c r="B791" s="2"/>
      <c r="C791" s="2"/>
      <c r="D791" s="2"/>
      <c r="E791" s="2"/>
      <c r="F791" s="2"/>
      <c r="G791" s="2"/>
      <c r="H791" s="2"/>
      <c r="I791" s="2"/>
    </row>
    <row r="792" spans="2:9" ht="15.75" customHeight="1">
      <c r="B792" s="2"/>
      <c r="C792" s="2"/>
      <c r="D792" s="2"/>
      <c r="E792" s="2"/>
      <c r="F792" s="2"/>
      <c r="G792" s="2"/>
      <c r="H792" s="2"/>
      <c r="I792" s="2"/>
    </row>
    <row r="793" spans="2:9" ht="15.75" customHeight="1">
      <c r="B793" s="2"/>
      <c r="C793" s="2"/>
      <c r="D793" s="2"/>
      <c r="E793" s="2"/>
      <c r="F793" s="2"/>
      <c r="G793" s="2"/>
      <c r="H793" s="2"/>
      <c r="I793" s="2"/>
    </row>
    <row r="794" spans="2:9" ht="15.75" customHeight="1">
      <c r="B794" s="2"/>
      <c r="C794" s="2"/>
      <c r="D794" s="2"/>
      <c r="E794" s="2"/>
      <c r="F794" s="2"/>
      <c r="G794" s="2"/>
      <c r="H794" s="2"/>
      <c r="I794" s="2"/>
    </row>
    <row r="795" spans="2:9" ht="15.75" customHeight="1">
      <c r="B795" s="2"/>
      <c r="C795" s="2"/>
      <c r="D795" s="2"/>
      <c r="E795" s="2"/>
      <c r="F795" s="2"/>
      <c r="G795" s="2"/>
      <c r="H795" s="2"/>
      <c r="I795" s="2"/>
    </row>
    <row r="796" spans="2:9" ht="15.75" customHeight="1">
      <c r="B796" s="2"/>
      <c r="C796" s="2"/>
      <c r="D796" s="2"/>
      <c r="E796" s="2"/>
      <c r="F796" s="2"/>
      <c r="G796" s="2"/>
      <c r="H796" s="2"/>
      <c r="I796" s="2"/>
    </row>
    <row r="797" spans="2:9" ht="15.75" customHeight="1">
      <c r="B797" s="2"/>
      <c r="C797" s="2"/>
      <c r="D797" s="2"/>
      <c r="E797" s="2"/>
      <c r="F797" s="2"/>
      <c r="G797" s="2"/>
      <c r="H797" s="2"/>
      <c r="I797" s="2"/>
    </row>
    <row r="798" spans="2:9" ht="15.75" customHeight="1">
      <c r="B798" s="2"/>
      <c r="C798" s="2"/>
      <c r="D798" s="2"/>
      <c r="E798" s="2"/>
      <c r="F798" s="2"/>
      <c r="G798" s="2"/>
      <c r="H798" s="2"/>
      <c r="I798" s="2"/>
    </row>
    <row r="799" spans="2:9" ht="15.75" customHeight="1">
      <c r="B799" s="2"/>
      <c r="C799" s="2"/>
      <c r="D799" s="2"/>
      <c r="E799" s="2"/>
      <c r="F799" s="2"/>
      <c r="G799" s="2"/>
      <c r="H799" s="2"/>
      <c r="I799" s="2"/>
    </row>
    <row r="800" spans="2:9" ht="15.75" customHeight="1">
      <c r="B800" s="2"/>
      <c r="C800" s="2"/>
      <c r="D800" s="2"/>
      <c r="E800" s="2"/>
      <c r="F800" s="2"/>
      <c r="G800" s="2"/>
      <c r="H800" s="2"/>
      <c r="I800" s="2"/>
    </row>
    <row r="801" spans="2:9" ht="15.75" customHeight="1">
      <c r="B801" s="2"/>
      <c r="C801" s="2"/>
      <c r="D801" s="2"/>
      <c r="E801" s="2"/>
      <c r="F801" s="2"/>
      <c r="G801" s="2"/>
      <c r="H801" s="2"/>
      <c r="I801" s="2"/>
    </row>
    <row r="802" spans="2:9" ht="15.75" customHeight="1">
      <c r="B802" s="2"/>
      <c r="C802" s="2"/>
      <c r="D802" s="2"/>
      <c r="E802" s="2"/>
      <c r="F802" s="2"/>
      <c r="G802" s="2"/>
      <c r="H802" s="2"/>
      <c r="I802" s="2"/>
    </row>
    <row r="803" spans="2:9" ht="15.75" customHeight="1">
      <c r="B803" s="2"/>
      <c r="C803" s="2"/>
      <c r="D803" s="2"/>
      <c r="E803" s="2"/>
      <c r="F803" s="2"/>
      <c r="G803" s="2"/>
      <c r="H803" s="2"/>
      <c r="I803" s="2"/>
    </row>
    <row r="804" spans="2:9" ht="15.75" customHeight="1">
      <c r="B804" s="2"/>
      <c r="C804" s="2"/>
      <c r="D804" s="2"/>
      <c r="E804" s="2"/>
      <c r="F804" s="2"/>
      <c r="G804" s="2"/>
      <c r="H804" s="2"/>
      <c r="I804" s="2"/>
    </row>
    <row r="805" spans="2:9" ht="15.75" customHeight="1">
      <c r="B805" s="2"/>
      <c r="C805" s="2"/>
      <c r="D805" s="2"/>
      <c r="E805" s="2"/>
      <c r="F805" s="2"/>
      <c r="G805" s="2"/>
      <c r="H805" s="2"/>
      <c r="I805" s="2"/>
    </row>
    <row r="806" spans="2:9" ht="15.75" customHeight="1">
      <c r="B806" s="2"/>
      <c r="C806" s="2"/>
      <c r="D806" s="2"/>
      <c r="E806" s="2"/>
      <c r="F806" s="2"/>
      <c r="G806" s="2"/>
      <c r="H806" s="2"/>
      <c r="I806" s="2"/>
    </row>
    <row r="807" spans="2:9" ht="15.75" customHeight="1">
      <c r="B807" s="2"/>
      <c r="C807" s="2"/>
      <c r="D807" s="2"/>
      <c r="E807" s="2"/>
      <c r="F807" s="2"/>
      <c r="G807" s="2"/>
      <c r="H807" s="2"/>
      <c r="I807" s="2"/>
    </row>
    <row r="808" spans="2:9" ht="15.75" customHeight="1">
      <c r="B808" s="2"/>
      <c r="C808" s="2"/>
      <c r="D808" s="2"/>
      <c r="E808" s="2"/>
      <c r="F808" s="2"/>
      <c r="G808" s="2"/>
      <c r="H808" s="2"/>
      <c r="I808" s="2"/>
    </row>
    <row r="809" spans="2:9" ht="15.75" customHeight="1">
      <c r="B809" s="2"/>
      <c r="C809" s="2"/>
      <c r="D809" s="2"/>
      <c r="E809" s="2"/>
      <c r="F809" s="2"/>
      <c r="G809" s="2"/>
      <c r="H809" s="2"/>
      <c r="I809" s="2"/>
    </row>
    <row r="810" spans="2:9" ht="15.75" customHeight="1">
      <c r="B810" s="2"/>
      <c r="C810" s="2"/>
      <c r="D810" s="2"/>
      <c r="E810" s="2"/>
      <c r="F810" s="2"/>
      <c r="G810" s="2"/>
      <c r="H810" s="2"/>
      <c r="I810" s="2"/>
    </row>
    <row r="811" spans="2:9" ht="15.75" customHeight="1">
      <c r="B811" s="2"/>
      <c r="C811" s="2"/>
      <c r="D811" s="2"/>
      <c r="E811" s="2"/>
      <c r="F811" s="2"/>
      <c r="G811" s="2"/>
      <c r="H811" s="2"/>
      <c r="I811" s="2"/>
    </row>
    <row r="812" spans="2:9" ht="15.75" customHeight="1">
      <c r="B812" s="2"/>
      <c r="C812" s="2"/>
      <c r="D812" s="2"/>
      <c r="E812" s="2"/>
      <c r="F812" s="2"/>
      <c r="G812" s="2"/>
      <c r="H812" s="2"/>
      <c r="I812" s="2"/>
    </row>
    <row r="813" spans="2:9" ht="15.75" customHeight="1">
      <c r="B813" s="2"/>
      <c r="C813" s="2"/>
      <c r="D813" s="2"/>
      <c r="E813" s="2"/>
      <c r="F813" s="2"/>
      <c r="G813" s="2"/>
      <c r="H813" s="2"/>
      <c r="I813" s="2"/>
    </row>
    <row r="814" spans="2:9" ht="15.75" customHeight="1">
      <c r="B814" s="2"/>
      <c r="C814" s="2"/>
      <c r="D814" s="2"/>
      <c r="E814" s="2"/>
      <c r="F814" s="2"/>
      <c r="G814" s="2"/>
      <c r="H814" s="2"/>
      <c r="I814" s="2"/>
    </row>
    <row r="815" spans="2:9" ht="15.75" customHeight="1">
      <c r="B815" s="2"/>
      <c r="C815" s="2"/>
      <c r="D815" s="2"/>
      <c r="E815" s="2"/>
      <c r="F815" s="2"/>
      <c r="G815" s="2"/>
      <c r="H815" s="2"/>
      <c r="I815" s="2"/>
    </row>
    <row r="816" spans="2:9" ht="15.75" customHeight="1">
      <c r="B816" s="2"/>
      <c r="C816" s="2"/>
      <c r="D816" s="2"/>
      <c r="E816" s="2"/>
      <c r="F816" s="2"/>
      <c r="G816" s="2"/>
      <c r="H816" s="2"/>
      <c r="I816" s="2"/>
    </row>
    <row r="817" spans="2:9" ht="15.75" customHeight="1">
      <c r="B817" s="2"/>
      <c r="C817" s="2"/>
      <c r="D817" s="2"/>
      <c r="E817" s="2"/>
      <c r="F817" s="2"/>
      <c r="G817" s="2"/>
      <c r="H817" s="2"/>
      <c r="I817" s="2"/>
    </row>
    <row r="818" spans="2:9" ht="15.75" customHeight="1">
      <c r="B818" s="2"/>
      <c r="C818" s="2"/>
      <c r="D818" s="2"/>
      <c r="E818" s="2"/>
      <c r="F818" s="2"/>
      <c r="G818" s="2"/>
      <c r="H818" s="2"/>
      <c r="I818" s="2"/>
    </row>
    <row r="819" spans="2:9" ht="15.75" customHeight="1">
      <c r="B819" s="2"/>
      <c r="C819" s="2"/>
      <c r="D819" s="2"/>
      <c r="E819" s="2"/>
      <c r="F819" s="2"/>
      <c r="G819" s="2"/>
      <c r="H819" s="2"/>
      <c r="I819" s="2"/>
    </row>
    <row r="820" spans="2:9" ht="15.75" customHeight="1">
      <c r="B820" s="2"/>
      <c r="C820" s="2"/>
      <c r="D820" s="2"/>
      <c r="E820" s="2"/>
      <c r="F820" s="2"/>
      <c r="G820" s="2"/>
      <c r="H820" s="2"/>
      <c r="I820" s="2"/>
    </row>
    <row r="821" spans="2:9" ht="15.75" customHeight="1">
      <c r="B821" s="2"/>
      <c r="C821" s="2"/>
      <c r="D821" s="2"/>
      <c r="E821" s="2"/>
      <c r="F821" s="2"/>
      <c r="G821" s="2"/>
      <c r="H821" s="2"/>
      <c r="I821" s="2"/>
    </row>
    <row r="822" spans="2:9" ht="15.75" customHeight="1">
      <c r="B822" s="2"/>
      <c r="C822" s="2"/>
      <c r="D822" s="2"/>
      <c r="E822" s="2"/>
      <c r="F822" s="2"/>
      <c r="G822" s="2"/>
      <c r="H822" s="2"/>
      <c r="I822" s="2"/>
    </row>
    <row r="823" spans="2:9" ht="15.75" customHeight="1">
      <c r="B823" s="2"/>
      <c r="C823" s="2"/>
      <c r="D823" s="2"/>
      <c r="E823" s="2"/>
      <c r="F823" s="2"/>
      <c r="G823" s="2"/>
      <c r="H823" s="2"/>
      <c r="I823" s="2"/>
    </row>
    <row r="824" spans="2:9" ht="15.75" customHeight="1">
      <c r="B824" s="2"/>
      <c r="C824" s="2"/>
      <c r="D824" s="2"/>
      <c r="E824" s="2"/>
      <c r="F824" s="2"/>
      <c r="G824" s="2"/>
      <c r="H824" s="2"/>
      <c r="I824" s="2"/>
    </row>
    <row r="825" spans="2:9" ht="15.75" customHeight="1">
      <c r="B825" s="2"/>
      <c r="C825" s="2"/>
      <c r="D825" s="2"/>
      <c r="E825" s="2"/>
      <c r="F825" s="2"/>
      <c r="G825" s="2"/>
      <c r="H825" s="2"/>
      <c r="I825" s="2"/>
    </row>
    <row r="826" spans="2:9" ht="15.75" customHeight="1">
      <c r="B826" s="2"/>
      <c r="C826" s="2"/>
      <c r="D826" s="2"/>
      <c r="E826" s="2"/>
      <c r="F826" s="2"/>
      <c r="G826" s="2"/>
      <c r="H826" s="2"/>
      <c r="I826" s="2"/>
    </row>
    <row r="827" spans="2:9" ht="15.75" customHeight="1">
      <c r="B827" s="2"/>
      <c r="C827" s="2"/>
      <c r="D827" s="2"/>
      <c r="E827" s="2"/>
      <c r="F827" s="2"/>
      <c r="G827" s="2"/>
      <c r="H827" s="2"/>
      <c r="I827" s="2"/>
    </row>
    <row r="828" spans="2:9" ht="15.75" customHeight="1">
      <c r="B828" s="2"/>
      <c r="C828" s="2"/>
      <c r="D828" s="2"/>
      <c r="E828" s="2"/>
      <c r="F828" s="2"/>
      <c r="G828" s="2"/>
      <c r="H828" s="2"/>
      <c r="I828" s="2"/>
    </row>
    <row r="829" spans="2:9" ht="15.75" customHeight="1">
      <c r="B829" s="2"/>
      <c r="C829" s="2"/>
      <c r="D829" s="2"/>
      <c r="E829" s="2"/>
      <c r="F829" s="2"/>
      <c r="G829" s="2"/>
      <c r="H829" s="2"/>
      <c r="I829" s="2"/>
    </row>
    <row r="830" spans="2:9" ht="15.75" customHeight="1">
      <c r="B830" s="2"/>
      <c r="C830" s="2"/>
      <c r="D830" s="2"/>
      <c r="E830" s="2"/>
      <c r="F830" s="2"/>
      <c r="G830" s="2"/>
      <c r="H830" s="2"/>
      <c r="I830" s="2"/>
    </row>
    <row r="831" spans="2:9" ht="15.75" customHeight="1">
      <c r="B831" s="2"/>
      <c r="C831" s="2"/>
      <c r="D831" s="2"/>
      <c r="E831" s="2"/>
      <c r="F831" s="2"/>
      <c r="G831" s="2"/>
      <c r="H831" s="2"/>
      <c r="I831" s="2"/>
    </row>
    <row r="832" spans="2:9" ht="15.75" customHeight="1">
      <c r="B832" s="2"/>
      <c r="C832" s="2"/>
      <c r="D832" s="2"/>
      <c r="E832" s="2"/>
      <c r="F832" s="2"/>
      <c r="G832" s="2"/>
      <c r="H832" s="2"/>
      <c r="I832" s="2"/>
    </row>
    <row r="833" spans="2:9" ht="15.75" customHeight="1">
      <c r="B833" s="2"/>
      <c r="C833" s="2"/>
      <c r="D833" s="2"/>
      <c r="E833" s="2"/>
      <c r="F833" s="2"/>
      <c r="G833" s="2"/>
      <c r="H833" s="2"/>
      <c r="I833" s="2"/>
    </row>
    <row r="834" spans="2:9" ht="15.75" customHeight="1">
      <c r="B834" s="2"/>
      <c r="C834" s="2"/>
      <c r="D834" s="2"/>
      <c r="E834" s="2"/>
      <c r="F834" s="2"/>
      <c r="G834" s="2"/>
      <c r="H834" s="2"/>
      <c r="I834" s="2"/>
    </row>
    <row r="835" spans="2:9" ht="15.75" customHeight="1">
      <c r="B835" s="2"/>
      <c r="C835" s="2"/>
      <c r="D835" s="2"/>
      <c r="E835" s="2"/>
      <c r="F835" s="2"/>
      <c r="G835" s="2"/>
      <c r="H835" s="2"/>
      <c r="I835" s="2"/>
    </row>
    <row r="836" spans="2:9" ht="15.75" customHeight="1">
      <c r="B836" s="2"/>
      <c r="C836" s="2"/>
      <c r="D836" s="2"/>
      <c r="E836" s="2"/>
      <c r="F836" s="2"/>
      <c r="G836" s="2"/>
      <c r="H836" s="2"/>
      <c r="I836" s="2"/>
    </row>
    <row r="837" spans="2:9" ht="15.75" customHeight="1">
      <c r="B837" s="2"/>
      <c r="C837" s="2"/>
      <c r="D837" s="2"/>
      <c r="E837" s="2"/>
      <c r="F837" s="2"/>
      <c r="G837" s="2"/>
      <c r="H837" s="2"/>
      <c r="I837" s="2"/>
    </row>
    <row r="838" spans="2:9" ht="15.75" customHeight="1">
      <c r="B838" s="2"/>
      <c r="C838" s="2"/>
      <c r="D838" s="2"/>
      <c r="E838" s="2"/>
      <c r="F838" s="2"/>
      <c r="G838" s="2"/>
      <c r="H838" s="2"/>
      <c r="I838" s="2"/>
    </row>
    <row r="839" spans="2:9" ht="15.75" customHeight="1">
      <c r="B839" s="2"/>
      <c r="C839" s="2"/>
      <c r="D839" s="2"/>
      <c r="E839" s="2"/>
      <c r="F839" s="2"/>
      <c r="G839" s="2"/>
      <c r="H839" s="2"/>
      <c r="I839" s="2"/>
    </row>
    <row r="840" spans="2:9" ht="15.75" customHeight="1">
      <c r="B840" s="2"/>
      <c r="C840" s="2"/>
      <c r="D840" s="2"/>
      <c r="E840" s="2"/>
      <c r="F840" s="2"/>
      <c r="G840" s="2"/>
      <c r="H840" s="2"/>
      <c r="I840" s="2"/>
    </row>
    <row r="841" spans="2:9" ht="15.75" customHeight="1">
      <c r="B841" s="2"/>
      <c r="C841" s="2"/>
      <c r="D841" s="2"/>
      <c r="E841" s="2"/>
      <c r="F841" s="2"/>
      <c r="G841" s="2"/>
      <c r="H841" s="2"/>
      <c r="I841" s="2"/>
    </row>
    <row r="842" spans="2:9" ht="15.75" customHeight="1">
      <c r="B842" s="2"/>
      <c r="C842" s="2"/>
      <c r="D842" s="2"/>
      <c r="E842" s="2"/>
      <c r="F842" s="2"/>
      <c r="G842" s="2"/>
      <c r="H842" s="2"/>
      <c r="I842" s="2"/>
    </row>
    <row r="843" spans="2:9" ht="15.75" customHeight="1">
      <c r="B843" s="2"/>
      <c r="C843" s="2"/>
      <c r="D843" s="2"/>
      <c r="E843" s="2"/>
      <c r="F843" s="2"/>
      <c r="G843" s="2"/>
      <c r="H843" s="2"/>
      <c r="I843" s="2"/>
    </row>
    <row r="844" spans="2:9" ht="15.75" customHeight="1">
      <c r="B844" s="2"/>
      <c r="C844" s="2"/>
      <c r="D844" s="2"/>
      <c r="E844" s="2"/>
      <c r="F844" s="2"/>
      <c r="G844" s="2"/>
      <c r="H844" s="2"/>
      <c r="I844" s="2"/>
    </row>
    <row r="845" spans="2:9" ht="15.75" customHeight="1">
      <c r="B845" s="2"/>
      <c r="C845" s="2"/>
      <c r="D845" s="2"/>
      <c r="E845" s="2"/>
      <c r="F845" s="2"/>
      <c r="G845" s="2"/>
      <c r="H845" s="2"/>
      <c r="I845" s="2"/>
    </row>
    <row r="846" spans="2:9" ht="15.75" customHeight="1">
      <c r="B846" s="2"/>
      <c r="C846" s="2"/>
      <c r="D846" s="2"/>
      <c r="E846" s="2"/>
      <c r="F846" s="2"/>
      <c r="G846" s="2"/>
      <c r="H846" s="2"/>
      <c r="I846" s="2"/>
    </row>
    <row r="847" spans="2:9" ht="15.75" customHeight="1">
      <c r="B847" s="2"/>
      <c r="C847" s="2"/>
      <c r="D847" s="2"/>
      <c r="E847" s="2"/>
      <c r="F847" s="2"/>
      <c r="G847" s="2"/>
      <c r="H847" s="2"/>
      <c r="I847" s="2"/>
    </row>
    <row r="848" spans="2:9" ht="15.75" customHeight="1">
      <c r="B848" s="2"/>
      <c r="C848" s="2"/>
      <c r="D848" s="2"/>
      <c r="E848" s="2"/>
      <c r="F848" s="2"/>
      <c r="G848" s="2"/>
      <c r="H848" s="2"/>
      <c r="I848" s="2"/>
    </row>
    <row r="849" spans="2:9" ht="15.75" customHeight="1">
      <c r="B849" s="2"/>
      <c r="C849" s="2"/>
      <c r="D849" s="2"/>
      <c r="E849" s="2"/>
      <c r="F849" s="2"/>
      <c r="G849" s="2"/>
      <c r="H849" s="2"/>
      <c r="I849" s="2"/>
    </row>
    <row r="850" spans="2:9" ht="15.75" customHeight="1">
      <c r="B850" s="2"/>
      <c r="C850" s="2"/>
      <c r="D850" s="2"/>
      <c r="E850" s="2"/>
      <c r="F850" s="2"/>
      <c r="G850" s="2"/>
      <c r="H850" s="2"/>
      <c r="I850" s="2"/>
    </row>
    <row r="851" spans="2:9" ht="15.75" customHeight="1">
      <c r="B851" s="2"/>
      <c r="C851" s="2"/>
      <c r="D851" s="2"/>
      <c r="E851" s="2"/>
      <c r="F851" s="2"/>
      <c r="G851" s="2"/>
      <c r="H851" s="2"/>
      <c r="I851" s="2"/>
    </row>
    <row r="852" spans="2:9" ht="15.75" customHeight="1">
      <c r="B852" s="2"/>
      <c r="C852" s="2"/>
      <c r="D852" s="2"/>
      <c r="E852" s="2"/>
      <c r="F852" s="2"/>
      <c r="G852" s="2"/>
      <c r="H852" s="2"/>
      <c r="I852" s="2"/>
    </row>
    <row r="853" spans="2:9" ht="15.75" customHeight="1">
      <c r="B853" s="2"/>
      <c r="C853" s="2"/>
      <c r="D853" s="2"/>
      <c r="E853" s="2"/>
      <c r="F853" s="2"/>
      <c r="G853" s="2"/>
      <c r="H853" s="2"/>
      <c r="I853" s="2"/>
    </row>
    <row r="854" spans="2:9" ht="15.75" customHeight="1">
      <c r="B854" s="2"/>
      <c r="C854" s="2"/>
      <c r="D854" s="2"/>
      <c r="E854" s="2"/>
      <c r="F854" s="2"/>
      <c r="G854" s="2"/>
      <c r="H854" s="2"/>
      <c r="I854" s="2"/>
    </row>
    <row r="855" spans="2:9" ht="15.75" customHeight="1">
      <c r="B855" s="2"/>
      <c r="C855" s="2"/>
      <c r="D855" s="2"/>
      <c r="E855" s="2"/>
      <c r="F855" s="2"/>
      <c r="G855" s="2"/>
      <c r="H855" s="2"/>
      <c r="I855" s="2"/>
    </row>
    <row r="856" spans="2:9" ht="15.75" customHeight="1">
      <c r="B856" s="2"/>
      <c r="C856" s="2"/>
      <c r="D856" s="2"/>
      <c r="E856" s="2"/>
      <c r="F856" s="2"/>
      <c r="G856" s="2"/>
      <c r="H856" s="2"/>
      <c r="I856" s="2"/>
    </row>
    <row r="857" spans="2:9" ht="15.75" customHeight="1">
      <c r="B857" s="2"/>
      <c r="C857" s="2"/>
      <c r="D857" s="2"/>
      <c r="E857" s="2"/>
      <c r="F857" s="2"/>
      <c r="G857" s="2"/>
      <c r="H857" s="2"/>
      <c r="I857" s="2"/>
    </row>
    <row r="858" spans="2:9" ht="15.75" customHeight="1">
      <c r="B858" s="2"/>
      <c r="C858" s="2"/>
      <c r="D858" s="2"/>
      <c r="E858" s="2"/>
      <c r="F858" s="2"/>
      <c r="G858" s="2"/>
      <c r="H858" s="2"/>
      <c r="I858" s="2"/>
    </row>
    <row r="859" spans="2:9" ht="15.75" customHeight="1">
      <c r="B859" s="2"/>
      <c r="C859" s="2"/>
      <c r="D859" s="2"/>
      <c r="E859" s="2"/>
      <c r="F859" s="2"/>
      <c r="G859" s="2"/>
      <c r="H859" s="2"/>
      <c r="I859" s="2"/>
    </row>
    <row r="860" spans="2:9" ht="15.75" customHeight="1">
      <c r="B860" s="2"/>
      <c r="C860" s="2"/>
      <c r="D860" s="2"/>
      <c r="E860" s="2"/>
      <c r="F860" s="2"/>
      <c r="G860" s="2"/>
      <c r="H860" s="2"/>
      <c r="I860" s="2"/>
    </row>
    <row r="861" spans="2:9" ht="15.75" customHeight="1">
      <c r="B861" s="2"/>
      <c r="C861" s="2"/>
      <c r="D861" s="2"/>
      <c r="E861" s="2"/>
      <c r="F861" s="2"/>
      <c r="G861" s="2"/>
      <c r="H861" s="2"/>
      <c r="I861" s="2"/>
    </row>
    <row r="862" spans="2:9" ht="15.75" customHeight="1">
      <c r="B862" s="2"/>
      <c r="C862" s="2"/>
      <c r="D862" s="2"/>
      <c r="E862" s="2"/>
      <c r="F862" s="2"/>
      <c r="G862" s="2"/>
      <c r="H862" s="2"/>
      <c r="I862" s="2"/>
    </row>
    <row r="863" spans="2:9" ht="15.75" customHeight="1">
      <c r="B863" s="2"/>
      <c r="C863" s="2"/>
      <c r="D863" s="2"/>
      <c r="E863" s="2"/>
      <c r="F863" s="2"/>
      <c r="G863" s="2"/>
      <c r="H863" s="2"/>
      <c r="I863" s="2"/>
    </row>
    <row r="864" spans="2:9" ht="15.75" customHeight="1">
      <c r="B864" s="2"/>
      <c r="C864" s="2"/>
      <c r="D864" s="2"/>
      <c r="E864" s="2"/>
      <c r="F864" s="2"/>
      <c r="G864" s="2"/>
      <c r="H864" s="2"/>
      <c r="I864" s="2"/>
    </row>
    <row r="865" spans="2:9" ht="15.75" customHeight="1">
      <c r="B865" s="2"/>
      <c r="C865" s="2"/>
      <c r="D865" s="2"/>
      <c r="E865" s="2"/>
      <c r="F865" s="2"/>
      <c r="G865" s="2"/>
      <c r="H865" s="2"/>
      <c r="I865" s="2"/>
    </row>
    <row r="866" spans="2:9" ht="15.75" customHeight="1">
      <c r="B866" s="2"/>
      <c r="C866" s="2"/>
      <c r="D866" s="2"/>
      <c r="E866" s="2"/>
      <c r="F866" s="2"/>
      <c r="G866" s="2"/>
      <c r="H866" s="2"/>
      <c r="I866" s="2"/>
    </row>
    <row r="867" spans="2:9" ht="15.75" customHeight="1">
      <c r="B867" s="2"/>
      <c r="C867" s="2"/>
      <c r="D867" s="2"/>
      <c r="E867" s="2"/>
      <c r="F867" s="2"/>
      <c r="G867" s="2"/>
      <c r="H867" s="2"/>
      <c r="I867" s="2"/>
    </row>
    <row r="868" spans="2:9" ht="15.75" customHeight="1">
      <c r="B868" s="2"/>
      <c r="C868" s="2"/>
      <c r="D868" s="2"/>
      <c r="E868" s="2"/>
      <c r="F868" s="2"/>
      <c r="G868" s="2"/>
      <c r="H868" s="2"/>
      <c r="I868" s="2"/>
    </row>
    <row r="869" spans="2:9" ht="15.75" customHeight="1">
      <c r="B869" s="2"/>
      <c r="C869" s="2"/>
      <c r="D869" s="2"/>
      <c r="E869" s="2"/>
      <c r="F869" s="2"/>
      <c r="G869" s="2"/>
      <c r="H869" s="2"/>
      <c r="I869" s="2"/>
    </row>
    <row r="870" spans="2:9" ht="15.75" customHeight="1">
      <c r="B870" s="2"/>
      <c r="C870" s="2"/>
      <c r="D870" s="2"/>
      <c r="E870" s="2"/>
      <c r="F870" s="2"/>
      <c r="G870" s="2"/>
      <c r="H870" s="2"/>
      <c r="I870" s="2"/>
    </row>
    <row r="871" spans="2:9" ht="15.75" customHeight="1">
      <c r="B871" s="2"/>
      <c r="C871" s="2"/>
      <c r="D871" s="2"/>
      <c r="E871" s="2"/>
      <c r="F871" s="2"/>
      <c r="G871" s="2"/>
      <c r="H871" s="2"/>
      <c r="I871" s="2"/>
    </row>
    <row r="872" spans="2:9" ht="15.75" customHeight="1">
      <c r="B872" s="2"/>
      <c r="C872" s="2"/>
      <c r="D872" s="2"/>
      <c r="E872" s="2"/>
      <c r="F872" s="2"/>
      <c r="G872" s="2"/>
      <c r="H872" s="2"/>
      <c r="I872" s="2"/>
    </row>
    <row r="873" spans="2:9" ht="15.75" customHeight="1">
      <c r="B873" s="2"/>
      <c r="C873" s="2"/>
      <c r="D873" s="2"/>
      <c r="E873" s="2"/>
      <c r="F873" s="2"/>
      <c r="G873" s="2"/>
      <c r="H873" s="2"/>
      <c r="I873" s="2"/>
    </row>
    <row r="874" spans="2:9" ht="15.75" customHeight="1">
      <c r="B874" s="2"/>
      <c r="C874" s="2"/>
      <c r="D874" s="2"/>
      <c r="E874" s="2"/>
      <c r="F874" s="2"/>
      <c r="G874" s="2"/>
      <c r="H874" s="2"/>
      <c r="I874" s="2"/>
    </row>
    <row r="875" spans="2:9" ht="15.75" customHeight="1">
      <c r="B875" s="2"/>
      <c r="C875" s="2"/>
      <c r="D875" s="2"/>
      <c r="E875" s="2"/>
      <c r="F875" s="2"/>
      <c r="G875" s="2"/>
      <c r="H875" s="2"/>
      <c r="I875" s="2"/>
    </row>
    <row r="876" spans="2:9" ht="15.75" customHeight="1">
      <c r="B876" s="2"/>
      <c r="C876" s="2"/>
      <c r="D876" s="2"/>
      <c r="E876" s="2"/>
      <c r="F876" s="2"/>
      <c r="G876" s="2"/>
      <c r="H876" s="2"/>
      <c r="I876" s="2"/>
    </row>
    <row r="877" spans="2:9" ht="15.75" customHeight="1">
      <c r="B877" s="2"/>
      <c r="C877" s="2"/>
      <c r="D877" s="2"/>
      <c r="E877" s="2"/>
      <c r="F877" s="2"/>
      <c r="G877" s="2"/>
      <c r="H877" s="2"/>
      <c r="I877" s="2"/>
    </row>
    <row r="878" spans="2:9" ht="15.75" customHeight="1">
      <c r="B878" s="2"/>
      <c r="C878" s="2"/>
      <c r="D878" s="2"/>
      <c r="E878" s="2"/>
      <c r="F878" s="2"/>
      <c r="G878" s="2"/>
      <c r="H878" s="2"/>
      <c r="I878" s="2"/>
    </row>
    <row r="879" spans="2:9" ht="15.75" customHeight="1">
      <c r="B879" s="2"/>
      <c r="C879" s="2"/>
      <c r="D879" s="2"/>
      <c r="E879" s="2"/>
      <c r="F879" s="2"/>
      <c r="G879" s="2"/>
      <c r="H879" s="2"/>
      <c r="I879" s="2"/>
    </row>
    <row r="880" spans="2:9" ht="15.75" customHeight="1">
      <c r="B880" s="2"/>
      <c r="C880" s="2"/>
      <c r="D880" s="2"/>
      <c r="E880" s="2"/>
      <c r="F880" s="2"/>
      <c r="G880" s="2"/>
      <c r="H880" s="2"/>
      <c r="I880" s="2"/>
    </row>
    <row r="881" spans="2:9" ht="15.75" customHeight="1">
      <c r="B881" s="2"/>
      <c r="C881" s="2"/>
      <c r="D881" s="2"/>
      <c r="E881" s="2"/>
      <c r="F881" s="2"/>
      <c r="G881" s="2"/>
      <c r="H881" s="2"/>
      <c r="I881" s="2"/>
    </row>
    <row r="882" spans="2:9" ht="15.75" customHeight="1">
      <c r="B882" s="2"/>
      <c r="C882" s="2"/>
      <c r="D882" s="2"/>
      <c r="E882" s="2"/>
      <c r="F882" s="2"/>
      <c r="G882" s="2"/>
      <c r="H882" s="2"/>
      <c r="I882" s="2"/>
    </row>
    <row r="883" spans="2:9" ht="15.75" customHeight="1">
      <c r="B883" s="2"/>
      <c r="C883" s="2"/>
      <c r="D883" s="2"/>
      <c r="E883" s="2"/>
      <c r="F883" s="2"/>
      <c r="G883" s="2"/>
      <c r="H883" s="2"/>
      <c r="I883" s="2"/>
    </row>
    <row r="884" spans="2:9" ht="15.75" customHeight="1">
      <c r="B884" s="2"/>
      <c r="C884" s="2"/>
      <c r="D884" s="2"/>
      <c r="E884" s="2"/>
      <c r="F884" s="2"/>
      <c r="G884" s="2"/>
      <c r="H884" s="2"/>
      <c r="I884" s="2"/>
    </row>
    <row r="885" spans="2:9" ht="15.75" customHeight="1">
      <c r="B885" s="2"/>
      <c r="C885" s="2"/>
      <c r="D885" s="2"/>
      <c r="E885" s="2"/>
      <c r="F885" s="2"/>
      <c r="G885" s="2"/>
      <c r="H885" s="2"/>
      <c r="I885" s="2"/>
    </row>
    <row r="886" spans="2:9" ht="15.75" customHeight="1">
      <c r="B886" s="2"/>
      <c r="C886" s="2"/>
      <c r="D886" s="2"/>
      <c r="E886" s="2"/>
      <c r="F886" s="2"/>
      <c r="G886" s="2"/>
      <c r="H886" s="2"/>
      <c r="I886" s="2"/>
    </row>
    <row r="887" spans="2:9" ht="15.75" customHeight="1">
      <c r="B887" s="2"/>
      <c r="C887" s="2"/>
      <c r="D887" s="2"/>
      <c r="E887" s="2"/>
      <c r="F887" s="2"/>
      <c r="G887" s="2"/>
      <c r="H887" s="2"/>
      <c r="I887" s="2"/>
    </row>
    <row r="888" spans="2:9" ht="15.75" customHeight="1">
      <c r="B888" s="2"/>
      <c r="C888" s="2"/>
      <c r="D888" s="2"/>
      <c r="E888" s="2"/>
      <c r="F888" s="2"/>
      <c r="G888" s="2"/>
      <c r="H888" s="2"/>
      <c r="I888" s="2"/>
    </row>
    <row r="889" spans="2:9" ht="15.75" customHeight="1">
      <c r="B889" s="2"/>
      <c r="C889" s="2"/>
      <c r="D889" s="2"/>
      <c r="E889" s="2"/>
      <c r="F889" s="2"/>
      <c r="G889" s="2"/>
      <c r="H889" s="2"/>
      <c r="I889" s="2"/>
    </row>
    <row r="890" spans="2:9" ht="15.75" customHeight="1">
      <c r="B890" s="2"/>
      <c r="C890" s="2"/>
      <c r="D890" s="2"/>
      <c r="E890" s="2"/>
      <c r="F890" s="2"/>
      <c r="G890" s="2"/>
      <c r="H890" s="2"/>
      <c r="I890" s="2"/>
    </row>
    <row r="891" spans="2:9" ht="15.75" customHeight="1">
      <c r="B891" s="2"/>
      <c r="C891" s="2"/>
      <c r="D891" s="2"/>
      <c r="E891" s="2"/>
      <c r="F891" s="2"/>
      <c r="G891" s="2"/>
      <c r="H891" s="2"/>
      <c r="I891" s="2"/>
    </row>
    <row r="892" spans="2:9" ht="15.75" customHeight="1">
      <c r="B892" s="2"/>
      <c r="C892" s="2"/>
      <c r="D892" s="2"/>
      <c r="E892" s="2"/>
      <c r="F892" s="2"/>
      <c r="G892" s="2"/>
      <c r="H892" s="2"/>
      <c r="I892" s="2"/>
    </row>
    <row r="893" spans="2:9" ht="15.75" customHeight="1">
      <c r="B893" s="2"/>
      <c r="C893" s="2"/>
      <c r="D893" s="2"/>
      <c r="E893" s="2"/>
      <c r="F893" s="2"/>
      <c r="G893" s="2"/>
      <c r="H893" s="2"/>
      <c r="I893" s="2"/>
    </row>
    <row r="894" spans="2:9" ht="15.75" customHeight="1">
      <c r="B894" s="2"/>
      <c r="C894" s="2"/>
      <c r="D894" s="2"/>
      <c r="E894" s="2"/>
      <c r="F894" s="2"/>
      <c r="G894" s="2"/>
      <c r="H894" s="2"/>
      <c r="I894" s="2"/>
    </row>
    <row r="895" spans="2:9" ht="15.75" customHeight="1">
      <c r="B895" s="2"/>
      <c r="C895" s="2"/>
      <c r="D895" s="2"/>
      <c r="E895" s="2"/>
      <c r="F895" s="2"/>
      <c r="G895" s="2"/>
      <c r="H895" s="2"/>
      <c r="I895" s="2"/>
    </row>
    <row r="896" spans="2:9" ht="15.75" customHeight="1">
      <c r="B896" s="2"/>
      <c r="C896" s="2"/>
      <c r="D896" s="2"/>
      <c r="E896" s="2"/>
      <c r="F896" s="2"/>
      <c r="G896" s="2"/>
      <c r="H896" s="2"/>
      <c r="I896" s="2"/>
    </row>
    <row r="897" spans="2:9" ht="15.75" customHeight="1">
      <c r="B897" s="2"/>
      <c r="C897" s="2"/>
      <c r="D897" s="2"/>
      <c r="E897" s="2"/>
      <c r="F897" s="2"/>
      <c r="G897" s="2"/>
      <c r="H897" s="2"/>
      <c r="I897" s="2"/>
    </row>
    <row r="898" spans="2:9" ht="15.75" customHeight="1">
      <c r="B898" s="2"/>
      <c r="C898" s="2"/>
      <c r="D898" s="2"/>
      <c r="E898" s="2"/>
      <c r="F898" s="2"/>
      <c r="G898" s="2"/>
      <c r="H898" s="2"/>
      <c r="I898" s="2"/>
    </row>
    <row r="899" spans="2:9" ht="15.75" customHeight="1">
      <c r="B899" s="2"/>
      <c r="C899" s="2"/>
      <c r="D899" s="2"/>
      <c r="E899" s="2"/>
      <c r="F899" s="2"/>
      <c r="G899" s="2"/>
      <c r="H899" s="2"/>
      <c r="I899" s="2"/>
    </row>
    <row r="900" spans="2:9" ht="15.75" customHeight="1">
      <c r="B900" s="2"/>
      <c r="C900" s="2"/>
      <c r="D900" s="2"/>
      <c r="E900" s="2"/>
      <c r="F900" s="2"/>
      <c r="G900" s="2"/>
      <c r="H900" s="2"/>
      <c r="I900" s="2"/>
    </row>
    <row r="901" spans="2:9" ht="15.75" customHeight="1">
      <c r="B901" s="2"/>
      <c r="C901" s="2"/>
      <c r="D901" s="2"/>
      <c r="E901" s="2"/>
      <c r="F901" s="2"/>
      <c r="G901" s="2"/>
      <c r="H901" s="2"/>
      <c r="I901" s="2"/>
    </row>
    <row r="902" spans="2:9" ht="15.75" customHeight="1">
      <c r="B902" s="2"/>
      <c r="C902" s="2"/>
      <c r="D902" s="2"/>
      <c r="E902" s="2"/>
      <c r="F902" s="2"/>
      <c r="G902" s="2"/>
      <c r="H902" s="2"/>
      <c r="I902" s="2"/>
    </row>
    <row r="903" spans="2:9" ht="15.75" customHeight="1">
      <c r="B903" s="2"/>
      <c r="C903" s="2"/>
      <c r="D903" s="2"/>
      <c r="E903" s="2"/>
      <c r="F903" s="2"/>
      <c r="G903" s="2"/>
      <c r="H903" s="2"/>
      <c r="I903" s="2"/>
    </row>
    <row r="904" spans="2:9" ht="15.75" customHeight="1">
      <c r="B904" s="2"/>
      <c r="C904" s="2"/>
      <c r="D904" s="2"/>
      <c r="E904" s="2"/>
      <c r="F904" s="2"/>
      <c r="G904" s="2"/>
      <c r="H904" s="2"/>
      <c r="I904" s="2"/>
    </row>
    <row r="905" spans="2:9" ht="15.75" customHeight="1">
      <c r="B905" s="2"/>
      <c r="C905" s="2"/>
      <c r="D905" s="2"/>
      <c r="E905" s="2"/>
      <c r="F905" s="2"/>
      <c r="G905" s="2"/>
      <c r="H905" s="2"/>
      <c r="I905" s="2"/>
    </row>
    <row r="906" spans="2:9" ht="15.75" customHeight="1">
      <c r="B906" s="2"/>
      <c r="C906" s="2"/>
      <c r="D906" s="2"/>
      <c r="E906" s="2"/>
      <c r="F906" s="2"/>
      <c r="G906" s="2"/>
      <c r="H906" s="2"/>
      <c r="I906" s="2"/>
    </row>
    <row r="907" spans="2:9" ht="15.75" customHeight="1">
      <c r="B907" s="2"/>
      <c r="C907" s="2"/>
      <c r="D907" s="2"/>
      <c r="E907" s="2"/>
      <c r="F907" s="2"/>
      <c r="G907" s="2"/>
      <c r="H907" s="2"/>
      <c r="I907" s="2"/>
    </row>
    <row r="908" spans="2:9" ht="15.75" customHeight="1">
      <c r="B908" s="2"/>
      <c r="C908" s="2"/>
      <c r="D908" s="2"/>
      <c r="E908" s="2"/>
      <c r="F908" s="2"/>
      <c r="G908" s="2"/>
      <c r="H908" s="2"/>
      <c r="I908" s="2"/>
    </row>
    <row r="909" spans="2:9" ht="15.75" customHeight="1">
      <c r="B909" s="2"/>
      <c r="C909" s="2"/>
      <c r="D909" s="2"/>
      <c r="E909" s="2"/>
      <c r="F909" s="2"/>
      <c r="G909" s="2"/>
      <c r="H909" s="2"/>
      <c r="I909" s="2"/>
    </row>
    <row r="910" spans="2:9" ht="15.75" customHeight="1">
      <c r="B910" s="2"/>
      <c r="C910" s="2"/>
      <c r="D910" s="2"/>
      <c r="E910" s="2"/>
      <c r="F910" s="2"/>
      <c r="G910" s="2"/>
      <c r="H910" s="2"/>
      <c r="I910" s="2"/>
    </row>
    <row r="911" spans="2:9" ht="15.75" customHeight="1">
      <c r="B911" s="2"/>
      <c r="C911" s="2"/>
      <c r="D911" s="2"/>
      <c r="E911" s="2"/>
      <c r="F911" s="2"/>
      <c r="G911" s="2"/>
      <c r="H911" s="2"/>
      <c r="I911" s="2"/>
    </row>
    <row r="912" spans="2:9" ht="15.75" customHeight="1">
      <c r="B912" s="2"/>
      <c r="C912" s="2"/>
      <c r="D912" s="2"/>
      <c r="E912" s="2"/>
      <c r="F912" s="2"/>
      <c r="G912" s="2"/>
      <c r="H912" s="2"/>
      <c r="I912" s="2"/>
    </row>
    <row r="913" spans="2:9" ht="15.75" customHeight="1">
      <c r="B913" s="2"/>
      <c r="C913" s="2"/>
      <c r="D913" s="2"/>
      <c r="E913" s="2"/>
      <c r="F913" s="2"/>
      <c r="G913" s="2"/>
      <c r="H913" s="2"/>
      <c r="I913" s="2"/>
    </row>
    <row r="914" spans="2:9" ht="15.75" customHeight="1">
      <c r="B914" s="2"/>
      <c r="C914" s="2"/>
      <c r="D914" s="2"/>
      <c r="E914" s="2"/>
      <c r="F914" s="2"/>
      <c r="G914" s="2"/>
      <c r="H914" s="2"/>
      <c r="I914" s="2"/>
    </row>
    <row r="915" spans="2:9" ht="15.75" customHeight="1">
      <c r="B915" s="2"/>
      <c r="C915" s="2"/>
      <c r="D915" s="2"/>
      <c r="E915" s="2"/>
      <c r="F915" s="2"/>
      <c r="G915" s="2"/>
      <c r="H915" s="2"/>
      <c r="I915" s="2"/>
    </row>
    <row r="916" spans="2:9" ht="15.75" customHeight="1">
      <c r="B916" s="2"/>
      <c r="C916" s="2"/>
      <c r="D916" s="2"/>
      <c r="E916" s="2"/>
      <c r="F916" s="2"/>
      <c r="G916" s="2"/>
      <c r="H916" s="2"/>
      <c r="I916" s="2"/>
    </row>
    <row r="917" spans="2:9" ht="15.75" customHeight="1">
      <c r="B917" s="2"/>
      <c r="C917" s="2"/>
      <c r="D917" s="2"/>
      <c r="E917" s="2"/>
      <c r="F917" s="2"/>
      <c r="G917" s="2"/>
      <c r="H917" s="2"/>
      <c r="I917" s="2"/>
    </row>
    <row r="918" spans="2:9" ht="15.75" customHeight="1">
      <c r="B918" s="2"/>
      <c r="C918" s="2"/>
      <c r="D918" s="2"/>
      <c r="E918" s="2"/>
      <c r="F918" s="2"/>
      <c r="G918" s="2"/>
      <c r="H918" s="2"/>
      <c r="I918" s="2"/>
    </row>
    <row r="919" spans="2:9" ht="15.75" customHeight="1">
      <c r="B919" s="2"/>
      <c r="C919" s="2"/>
      <c r="D919" s="2"/>
      <c r="E919" s="2"/>
      <c r="F919" s="2"/>
      <c r="G919" s="2"/>
      <c r="H919" s="2"/>
      <c r="I919" s="2"/>
    </row>
    <row r="920" spans="2:9" ht="15.75" customHeight="1">
      <c r="B920" s="2"/>
      <c r="C920" s="2"/>
      <c r="D920" s="2"/>
      <c r="E920" s="2"/>
      <c r="F920" s="2"/>
      <c r="G920" s="2"/>
      <c r="H920" s="2"/>
      <c r="I920" s="2"/>
    </row>
    <row r="921" spans="2:9" ht="15.75" customHeight="1">
      <c r="B921" s="2"/>
      <c r="C921" s="2"/>
      <c r="D921" s="2"/>
      <c r="E921" s="2"/>
      <c r="F921" s="2"/>
      <c r="G921" s="2"/>
      <c r="H921" s="2"/>
      <c r="I921" s="2"/>
    </row>
    <row r="922" spans="2:9" ht="15.75" customHeight="1">
      <c r="B922" s="2"/>
      <c r="C922" s="2"/>
      <c r="D922" s="2"/>
      <c r="E922" s="2"/>
      <c r="F922" s="2"/>
      <c r="G922" s="2"/>
      <c r="H922" s="2"/>
      <c r="I922" s="2"/>
    </row>
    <row r="923" spans="2:9" ht="15.75" customHeight="1">
      <c r="B923" s="2"/>
      <c r="C923" s="2"/>
      <c r="D923" s="2"/>
      <c r="E923" s="2"/>
      <c r="F923" s="2"/>
      <c r="G923" s="2"/>
      <c r="H923" s="2"/>
      <c r="I923" s="2"/>
    </row>
    <row r="924" spans="2:9" ht="15.75" customHeight="1">
      <c r="B924" s="2"/>
      <c r="C924" s="2"/>
      <c r="D924" s="2"/>
      <c r="E924" s="2"/>
      <c r="F924" s="2"/>
      <c r="G924" s="2"/>
      <c r="H924" s="2"/>
      <c r="I924" s="2"/>
    </row>
    <row r="925" spans="2:9" ht="15.75" customHeight="1">
      <c r="B925" s="2"/>
      <c r="C925" s="2"/>
      <c r="D925" s="2"/>
      <c r="E925" s="2"/>
      <c r="F925" s="2"/>
      <c r="G925" s="2"/>
      <c r="H925" s="2"/>
      <c r="I925" s="2"/>
    </row>
    <row r="926" spans="2:9" ht="15.75" customHeight="1">
      <c r="B926" s="2"/>
      <c r="C926" s="2"/>
      <c r="D926" s="2"/>
      <c r="E926" s="2"/>
      <c r="F926" s="2"/>
      <c r="G926" s="2"/>
      <c r="H926" s="2"/>
      <c r="I926" s="2"/>
    </row>
    <row r="927" spans="2:9" ht="15.75" customHeight="1">
      <c r="B927" s="2"/>
      <c r="C927" s="2"/>
      <c r="D927" s="2"/>
      <c r="E927" s="2"/>
      <c r="F927" s="2"/>
      <c r="G927" s="2"/>
      <c r="H927" s="2"/>
      <c r="I927" s="2"/>
    </row>
    <row r="928" spans="2:9" ht="15.75" customHeight="1">
      <c r="B928" s="2"/>
      <c r="C928" s="2"/>
      <c r="D928" s="2"/>
      <c r="E928" s="2"/>
      <c r="F928" s="2"/>
      <c r="G928" s="2"/>
      <c r="H928" s="2"/>
      <c r="I928" s="2"/>
    </row>
    <row r="929" spans="2:9" ht="15.75" customHeight="1">
      <c r="B929" s="2"/>
      <c r="C929" s="2"/>
      <c r="D929" s="2"/>
      <c r="E929" s="2"/>
      <c r="F929" s="2"/>
      <c r="G929" s="2"/>
      <c r="H929" s="2"/>
      <c r="I929" s="2"/>
    </row>
    <row r="930" spans="2:9" ht="15.75" customHeight="1">
      <c r="B930" s="2"/>
      <c r="C930" s="2"/>
      <c r="D930" s="2"/>
      <c r="E930" s="2"/>
      <c r="F930" s="2"/>
      <c r="G930" s="2"/>
      <c r="H930" s="2"/>
      <c r="I930" s="2"/>
    </row>
    <row r="931" spans="2:9" ht="15.75" customHeight="1">
      <c r="B931" s="2"/>
      <c r="C931" s="2"/>
      <c r="D931" s="2"/>
      <c r="E931" s="2"/>
      <c r="F931" s="2"/>
      <c r="G931" s="2"/>
      <c r="H931" s="2"/>
      <c r="I931" s="2"/>
    </row>
    <row r="932" spans="2:9" ht="15.75" customHeight="1">
      <c r="B932" s="2"/>
      <c r="C932" s="2"/>
      <c r="D932" s="2"/>
      <c r="E932" s="2"/>
      <c r="F932" s="2"/>
      <c r="G932" s="2"/>
      <c r="H932" s="2"/>
      <c r="I932" s="2"/>
    </row>
    <row r="933" spans="2:9" ht="15.75" customHeight="1">
      <c r="B933" s="2"/>
      <c r="C933" s="2"/>
      <c r="D933" s="2"/>
      <c r="E933" s="2"/>
      <c r="F933" s="2"/>
      <c r="G933" s="2"/>
      <c r="H933" s="2"/>
      <c r="I933" s="2"/>
    </row>
    <row r="934" spans="2:9" ht="15.75" customHeight="1">
      <c r="B934" s="2"/>
      <c r="C934" s="2"/>
      <c r="D934" s="2"/>
      <c r="E934" s="2"/>
      <c r="F934" s="2"/>
      <c r="G934" s="2"/>
      <c r="H934" s="2"/>
      <c r="I934" s="2"/>
    </row>
    <row r="935" spans="2:9" ht="15.75" customHeight="1">
      <c r="B935" s="2"/>
      <c r="C935" s="2"/>
      <c r="D935" s="2"/>
      <c r="E935" s="2"/>
      <c r="F935" s="2"/>
      <c r="G935" s="2"/>
      <c r="H935" s="2"/>
      <c r="I935" s="2"/>
    </row>
    <row r="936" spans="2:9" ht="15.75" customHeight="1">
      <c r="B936" s="2"/>
      <c r="C936" s="2"/>
      <c r="D936" s="2"/>
      <c r="E936" s="2"/>
      <c r="F936" s="2"/>
      <c r="G936" s="2"/>
      <c r="H936" s="2"/>
      <c r="I936" s="2"/>
    </row>
    <row r="937" spans="2:9" ht="15.75" customHeight="1">
      <c r="B937" s="2"/>
      <c r="C937" s="2"/>
      <c r="D937" s="2"/>
      <c r="E937" s="2"/>
      <c r="F937" s="2"/>
      <c r="G937" s="2"/>
      <c r="H937" s="2"/>
      <c r="I937" s="2"/>
    </row>
    <row r="938" spans="2:9" ht="15.75" customHeight="1">
      <c r="B938" s="2"/>
      <c r="C938" s="2"/>
      <c r="D938" s="2"/>
      <c r="E938" s="2"/>
      <c r="F938" s="2"/>
      <c r="G938" s="2"/>
      <c r="H938" s="2"/>
      <c r="I938" s="2"/>
    </row>
    <row r="939" spans="2:9" ht="15.75" customHeight="1">
      <c r="B939" s="2"/>
      <c r="C939" s="2"/>
      <c r="D939" s="2"/>
      <c r="E939" s="2"/>
      <c r="F939" s="2"/>
      <c r="G939" s="2"/>
      <c r="H939" s="2"/>
      <c r="I939" s="2"/>
    </row>
    <row r="940" spans="2:9" ht="15.75" customHeight="1">
      <c r="B940" s="2"/>
      <c r="C940" s="2"/>
      <c r="D940" s="2"/>
      <c r="E940" s="2"/>
      <c r="F940" s="2"/>
      <c r="G940" s="2"/>
      <c r="H940" s="2"/>
      <c r="I940" s="2"/>
    </row>
    <row r="941" spans="2:9" ht="15.75" customHeight="1">
      <c r="B941" s="2"/>
      <c r="C941" s="2"/>
      <c r="D941" s="2"/>
      <c r="E941" s="2"/>
      <c r="F941" s="2"/>
      <c r="G941" s="2"/>
      <c r="H941" s="2"/>
      <c r="I941" s="2"/>
    </row>
    <row r="942" spans="2:9" ht="15.75" customHeight="1">
      <c r="B942" s="2"/>
      <c r="C942" s="2"/>
      <c r="D942" s="2"/>
      <c r="E942" s="2"/>
      <c r="F942" s="2"/>
      <c r="G942" s="2"/>
      <c r="H942" s="2"/>
      <c r="I942" s="2"/>
    </row>
    <row r="943" spans="2:9" ht="15.75" customHeight="1">
      <c r="B943" s="2"/>
      <c r="C943" s="2"/>
      <c r="D943" s="2"/>
      <c r="E943" s="2"/>
      <c r="F943" s="2"/>
      <c r="G943" s="2"/>
      <c r="H943" s="2"/>
      <c r="I943" s="2"/>
    </row>
    <row r="944" spans="2:9" ht="15.75" customHeight="1">
      <c r="B944" s="2"/>
      <c r="C944" s="2"/>
      <c r="D944" s="2"/>
      <c r="E944" s="2"/>
      <c r="F944" s="2"/>
      <c r="G944" s="2"/>
      <c r="H944" s="2"/>
      <c r="I944" s="2"/>
    </row>
    <row r="945" spans="2:9" ht="15.75" customHeight="1">
      <c r="B945" s="2"/>
      <c r="C945" s="2"/>
      <c r="D945" s="2"/>
      <c r="E945" s="2"/>
      <c r="F945" s="2"/>
      <c r="G945" s="2"/>
      <c r="H945" s="2"/>
      <c r="I945" s="2"/>
    </row>
    <row r="946" spans="2:9" ht="15.75" customHeight="1">
      <c r="B946" s="2"/>
      <c r="C946" s="2"/>
      <c r="D946" s="2"/>
      <c r="E946" s="2"/>
      <c r="F946" s="2"/>
      <c r="G946" s="2"/>
      <c r="H946" s="2"/>
      <c r="I946" s="2"/>
    </row>
    <row r="947" spans="2:9" ht="15.75" customHeight="1">
      <c r="B947" s="2"/>
      <c r="C947" s="2"/>
      <c r="D947" s="2"/>
      <c r="E947" s="2"/>
      <c r="F947" s="2"/>
      <c r="G947" s="2"/>
      <c r="H947" s="2"/>
      <c r="I947" s="2"/>
    </row>
    <row r="948" spans="2:9" ht="15.75" customHeight="1">
      <c r="B948" s="2"/>
      <c r="C948" s="2"/>
      <c r="D948" s="2"/>
      <c r="E948" s="2"/>
      <c r="F948" s="2"/>
      <c r="G948" s="2"/>
      <c r="H948" s="2"/>
      <c r="I948" s="2"/>
    </row>
    <row r="949" spans="2:9" ht="15.75" customHeight="1">
      <c r="B949" s="2"/>
      <c r="C949" s="2"/>
      <c r="D949" s="2"/>
      <c r="E949" s="2"/>
      <c r="F949" s="2"/>
      <c r="G949" s="2"/>
      <c r="H949" s="2"/>
      <c r="I949" s="2"/>
    </row>
    <row r="950" spans="2:9" ht="15.75" customHeight="1">
      <c r="B950" s="2"/>
      <c r="C950" s="2"/>
      <c r="D950" s="2"/>
      <c r="E950" s="2"/>
      <c r="F950" s="2"/>
      <c r="G950" s="2"/>
      <c r="H950" s="2"/>
      <c r="I950" s="2"/>
    </row>
    <row r="951" spans="2:9" ht="15.75" customHeight="1">
      <c r="B951" s="2"/>
      <c r="C951" s="2"/>
      <c r="D951" s="2"/>
      <c r="E951" s="2"/>
      <c r="F951" s="2"/>
      <c r="G951" s="2"/>
      <c r="H951" s="2"/>
      <c r="I951" s="2"/>
    </row>
    <row r="952" spans="2:9" ht="15.75" customHeight="1">
      <c r="B952" s="2"/>
      <c r="C952" s="2"/>
      <c r="D952" s="2"/>
      <c r="E952" s="2"/>
      <c r="F952" s="2"/>
      <c r="G952" s="2"/>
      <c r="H952" s="2"/>
      <c r="I952" s="2"/>
    </row>
    <row r="953" spans="2:9" ht="15.75" customHeight="1">
      <c r="B953" s="2"/>
      <c r="C953" s="2"/>
      <c r="D953" s="2"/>
      <c r="E953" s="2"/>
      <c r="F953" s="2"/>
      <c r="G953" s="2"/>
      <c r="H953" s="2"/>
      <c r="I953" s="2"/>
    </row>
    <row r="954" spans="2:9" ht="15.75" customHeight="1">
      <c r="B954" s="2"/>
      <c r="C954" s="2"/>
      <c r="D954" s="2"/>
      <c r="E954" s="2"/>
      <c r="F954" s="2"/>
      <c r="G954" s="2"/>
      <c r="H954" s="2"/>
      <c r="I954" s="2"/>
    </row>
    <row r="955" spans="2:9" ht="15.75" customHeight="1">
      <c r="B955" s="2"/>
      <c r="C955" s="2"/>
      <c r="D955" s="2"/>
      <c r="E955" s="2"/>
      <c r="F955" s="2"/>
      <c r="G955" s="2"/>
      <c r="H955" s="2"/>
      <c r="I955" s="2"/>
    </row>
    <row r="956" spans="2:9" ht="15.75" customHeight="1">
      <c r="B956" s="2"/>
      <c r="C956" s="2"/>
      <c r="D956" s="2"/>
      <c r="E956" s="2"/>
      <c r="F956" s="2"/>
      <c r="G956" s="2"/>
      <c r="H956" s="2"/>
      <c r="I956" s="2"/>
    </row>
    <row r="957" spans="2:9" ht="15.75" customHeight="1">
      <c r="B957" s="2"/>
      <c r="C957" s="2"/>
      <c r="D957" s="2"/>
      <c r="E957" s="2"/>
      <c r="F957" s="2"/>
      <c r="G957" s="2"/>
      <c r="H957" s="2"/>
      <c r="I957" s="2"/>
    </row>
    <row r="958" spans="2:9" ht="15.75" customHeight="1">
      <c r="B958" s="2"/>
      <c r="C958" s="2"/>
      <c r="D958" s="2"/>
      <c r="E958" s="2"/>
      <c r="F958" s="2"/>
      <c r="G958" s="2"/>
      <c r="H958" s="2"/>
      <c r="I958" s="2"/>
    </row>
    <row r="959" spans="2:9" ht="15.75" customHeight="1">
      <c r="B959" s="2"/>
      <c r="C959" s="2"/>
      <c r="D959" s="2"/>
      <c r="E959" s="2"/>
      <c r="F959" s="2"/>
      <c r="G959" s="2"/>
      <c r="H959" s="2"/>
      <c r="I959" s="2"/>
    </row>
    <row r="960" spans="2:9" ht="15.75" customHeight="1">
      <c r="B960" s="2"/>
      <c r="C960" s="2"/>
      <c r="D960" s="2"/>
      <c r="E960" s="2"/>
      <c r="F960" s="2"/>
      <c r="G960" s="2"/>
      <c r="H960" s="2"/>
      <c r="I960" s="2"/>
    </row>
    <row r="961" spans="2:9" ht="15.75" customHeight="1">
      <c r="B961" s="2"/>
      <c r="C961" s="2"/>
      <c r="D961" s="2"/>
      <c r="E961" s="2"/>
      <c r="F961" s="2"/>
      <c r="G961" s="2"/>
      <c r="H961" s="2"/>
      <c r="I961" s="2"/>
    </row>
    <row r="962" spans="2:9" ht="15.75" customHeight="1">
      <c r="B962" s="2"/>
      <c r="C962" s="2"/>
      <c r="D962" s="2"/>
      <c r="E962" s="2"/>
      <c r="F962" s="2"/>
      <c r="G962" s="2"/>
      <c r="H962" s="2"/>
      <c r="I962" s="2"/>
    </row>
    <row r="963" spans="2:9" ht="15.75" customHeight="1">
      <c r="B963" s="2"/>
      <c r="C963" s="2"/>
      <c r="D963" s="2"/>
      <c r="E963" s="2"/>
      <c r="F963" s="2"/>
      <c r="G963" s="2"/>
      <c r="H963" s="2"/>
      <c r="I963" s="2"/>
    </row>
    <row r="964" spans="2:9" ht="15.75" customHeight="1">
      <c r="B964" s="2"/>
      <c r="C964" s="2"/>
      <c r="D964" s="2"/>
      <c r="E964" s="2"/>
      <c r="F964" s="2"/>
      <c r="G964" s="2"/>
      <c r="H964" s="2"/>
      <c r="I964" s="2"/>
    </row>
    <row r="965" spans="2:9" ht="15.75" customHeight="1">
      <c r="B965" s="2"/>
      <c r="C965" s="2"/>
      <c r="D965" s="2"/>
      <c r="E965" s="2"/>
      <c r="F965" s="2"/>
      <c r="G965" s="2"/>
      <c r="H965" s="2"/>
      <c r="I965" s="2"/>
    </row>
    <row r="966" spans="2:9" ht="15.75" customHeight="1">
      <c r="B966" s="2"/>
      <c r="C966" s="2"/>
      <c r="D966" s="2"/>
      <c r="E966" s="2"/>
      <c r="F966" s="2"/>
      <c r="G966" s="2"/>
      <c r="H966" s="2"/>
      <c r="I966" s="2"/>
    </row>
    <row r="967" spans="2:9" ht="15.75" customHeight="1">
      <c r="B967" s="2"/>
      <c r="C967" s="2"/>
      <c r="D967" s="2"/>
      <c r="E967" s="2"/>
      <c r="F967" s="2"/>
      <c r="G967" s="2"/>
      <c r="H967" s="2"/>
      <c r="I967" s="2"/>
    </row>
    <row r="968" spans="2:9" ht="15.75" customHeight="1">
      <c r="B968" s="2"/>
      <c r="C968" s="2"/>
      <c r="D968" s="2"/>
      <c r="E968" s="2"/>
      <c r="F968" s="2"/>
      <c r="G968" s="2"/>
      <c r="H968" s="2"/>
      <c r="I968" s="2"/>
    </row>
    <row r="969" spans="2:9" ht="15.75" customHeight="1">
      <c r="B969" s="2"/>
      <c r="C969" s="2"/>
      <c r="D969" s="2"/>
      <c r="E969" s="2"/>
      <c r="F969" s="2"/>
      <c r="G969" s="2"/>
      <c r="H969" s="2"/>
      <c r="I969" s="2"/>
    </row>
    <row r="970" spans="2:9" ht="15.75" customHeight="1">
      <c r="B970" s="2"/>
      <c r="C970" s="2"/>
      <c r="D970" s="2"/>
      <c r="E970" s="2"/>
      <c r="F970" s="2"/>
      <c r="G970" s="2"/>
      <c r="H970" s="2"/>
      <c r="I970" s="2"/>
    </row>
    <row r="971" spans="2:9" ht="15.75" customHeight="1">
      <c r="B971" s="2"/>
      <c r="C971" s="2"/>
      <c r="D971" s="2"/>
      <c r="E971" s="2"/>
      <c r="F971" s="2"/>
      <c r="G971" s="2"/>
      <c r="H971" s="2"/>
      <c r="I971" s="2"/>
    </row>
    <row r="972" spans="2:9" ht="15.75" customHeight="1">
      <c r="B972" s="2"/>
      <c r="C972" s="2"/>
      <c r="D972" s="2"/>
      <c r="E972" s="2"/>
      <c r="F972" s="2"/>
      <c r="G972" s="2"/>
      <c r="H972" s="2"/>
      <c r="I972" s="2"/>
    </row>
    <row r="973" spans="2:9" ht="15.75" customHeight="1">
      <c r="B973" s="2"/>
      <c r="C973" s="2"/>
      <c r="D973" s="2"/>
      <c r="E973" s="2"/>
      <c r="F973" s="2"/>
      <c r="G973" s="2"/>
      <c r="H973" s="2"/>
      <c r="I973" s="2"/>
    </row>
    <row r="974" spans="2:9" ht="15.75" customHeight="1">
      <c r="B974" s="2"/>
      <c r="C974" s="2"/>
      <c r="D974" s="2"/>
      <c r="E974" s="2"/>
      <c r="F974" s="2"/>
      <c r="G974" s="2"/>
      <c r="H974" s="2"/>
      <c r="I974" s="2"/>
    </row>
    <row r="975" spans="2:9" ht="15.75" customHeight="1">
      <c r="B975" s="2"/>
      <c r="C975" s="2"/>
      <c r="D975" s="2"/>
      <c r="E975" s="2"/>
      <c r="F975" s="2"/>
      <c r="G975" s="2"/>
      <c r="H975" s="2"/>
      <c r="I975" s="2"/>
    </row>
    <row r="976" spans="2:9" ht="15.75" customHeight="1">
      <c r="B976" s="2"/>
      <c r="C976" s="2"/>
      <c r="D976" s="2"/>
      <c r="E976" s="2"/>
      <c r="F976" s="2"/>
      <c r="G976" s="2"/>
      <c r="H976" s="2"/>
      <c r="I976" s="2"/>
    </row>
    <row r="977" spans="2:9" ht="15.75" customHeight="1">
      <c r="B977" s="2"/>
      <c r="C977" s="2"/>
      <c r="D977" s="2"/>
      <c r="E977" s="2"/>
      <c r="F977" s="2"/>
      <c r="G977" s="2"/>
      <c r="H977" s="2"/>
      <c r="I977" s="2"/>
    </row>
    <row r="978" spans="2:9" ht="15.75" customHeight="1">
      <c r="B978" s="2"/>
      <c r="C978" s="2"/>
      <c r="D978" s="2"/>
      <c r="E978" s="2"/>
      <c r="F978" s="2"/>
      <c r="G978" s="2"/>
      <c r="H978" s="2"/>
      <c r="I978" s="2"/>
    </row>
    <row r="979" spans="2:9" ht="15.75" customHeight="1">
      <c r="B979" s="2"/>
      <c r="C979" s="2"/>
      <c r="D979" s="2"/>
      <c r="E979" s="2"/>
      <c r="F979" s="2"/>
      <c r="G979" s="2"/>
      <c r="H979" s="2"/>
      <c r="I979" s="2"/>
    </row>
    <row r="980" spans="2:9" ht="15.75" customHeight="1">
      <c r="B980" s="2"/>
      <c r="C980" s="2"/>
      <c r="D980" s="2"/>
      <c r="E980" s="2"/>
      <c r="F980" s="2"/>
      <c r="G980" s="2"/>
      <c r="H980" s="2"/>
      <c r="I980" s="2"/>
    </row>
    <row r="981" spans="2:9" ht="15.75" customHeight="1">
      <c r="B981" s="2"/>
      <c r="C981" s="2"/>
      <c r="D981" s="2"/>
      <c r="E981" s="2"/>
      <c r="F981" s="2"/>
      <c r="G981" s="2"/>
      <c r="H981" s="2"/>
      <c r="I981" s="2"/>
    </row>
    <row r="982" spans="2:9" ht="15.75" customHeight="1">
      <c r="B982" s="2"/>
      <c r="C982" s="2"/>
      <c r="D982" s="2"/>
      <c r="E982" s="2"/>
      <c r="F982" s="2"/>
      <c r="G982" s="2"/>
      <c r="H982" s="2"/>
      <c r="I982" s="2"/>
    </row>
    <row r="983" spans="2:9" ht="15.75" customHeight="1">
      <c r="B983" s="2"/>
      <c r="C983" s="2"/>
      <c r="D983" s="2"/>
      <c r="E983" s="2"/>
      <c r="F983" s="2"/>
      <c r="G983" s="2"/>
      <c r="H983" s="2"/>
      <c r="I983" s="2"/>
    </row>
    <row r="984" spans="2:9" ht="15.75" customHeight="1">
      <c r="B984" s="2"/>
      <c r="C984" s="2"/>
      <c r="D984" s="2"/>
      <c r="E984" s="2"/>
      <c r="F984" s="2"/>
      <c r="G984" s="2"/>
      <c r="H984" s="2"/>
      <c r="I984" s="2"/>
    </row>
    <row r="985" spans="2:9" ht="15.75" customHeight="1">
      <c r="B985" s="2"/>
      <c r="C985" s="2"/>
      <c r="D985" s="2"/>
      <c r="E985" s="2"/>
      <c r="F985" s="2"/>
      <c r="G985" s="2"/>
      <c r="H985" s="2"/>
      <c r="I985" s="2"/>
    </row>
    <row r="986" spans="2:9" ht="15.75" customHeight="1">
      <c r="B986" s="2"/>
      <c r="C986" s="2"/>
      <c r="D986" s="2"/>
      <c r="E986" s="2"/>
      <c r="F986" s="2"/>
      <c r="G986" s="2"/>
      <c r="H986" s="2"/>
      <c r="I986" s="2"/>
    </row>
    <row r="987" spans="2:9" ht="15.75" customHeight="1">
      <c r="B987" s="2"/>
      <c r="C987" s="2"/>
      <c r="D987" s="2"/>
      <c r="E987" s="2"/>
      <c r="F987" s="2"/>
      <c r="G987" s="2"/>
      <c r="H987" s="2"/>
      <c r="I987" s="2"/>
    </row>
    <row r="988" spans="2:9" ht="15.75" customHeight="1">
      <c r="B988" s="2"/>
      <c r="C988" s="2"/>
      <c r="D988" s="2"/>
      <c r="E988" s="2"/>
      <c r="F988" s="2"/>
      <c r="G988" s="2"/>
      <c r="H988" s="2"/>
      <c r="I988" s="2"/>
    </row>
    <row r="989" spans="2:9" ht="15.75" customHeight="1">
      <c r="B989" s="2"/>
      <c r="C989" s="2"/>
      <c r="D989" s="2"/>
      <c r="E989" s="2"/>
      <c r="F989" s="2"/>
      <c r="G989" s="2"/>
      <c r="H989" s="2"/>
      <c r="I989" s="2"/>
    </row>
    <row r="990" spans="2:9" ht="15.75" customHeight="1">
      <c r="B990" s="2"/>
      <c r="C990" s="2"/>
      <c r="D990" s="2"/>
      <c r="E990" s="2"/>
      <c r="F990" s="2"/>
      <c r="G990" s="2"/>
      <c r="H990" s="2"/>
      <c r="I990" s="2"/>
    </row>
    <row r="991" spans="2:9" ht="15.75" customHeight="1">
      <c r="B991" s="2"/>
      <c r="C991" s="2"/>
      <c r="D991" s="2"/>
      <c r="E991" s="2"/>
      <c r="F991" s="2"/>
      <c r="G991" s="2"/>
      <c r="H991" s="2"/>
      <c r="I991" s="2"/>
    </row>
    <row r="992" spans="2:9" ht="15.75" customHeight="1">
      <c r="B992" s="2"/>
      <c r="C992" s="2"/>
      <c r="D992" s="2"/>
      <c r="E992" s="2"/>
      <c r="F992" s="2"/>
      <c r="G992" s="2"/>
      <c r="H992" s="2"/>
      <c r="I992" s="2"/>
    </row>
    <row r="993" spans="2:9" ht="15.75" customHeight="1">
      <c r="B993" s="2"/>
      <c r="C993" s="2"/>
      <c r="D993" s="2"/>
      <c r="E993" s="2"/>
      <c r="F993" s="2"/>
      <c r="G993" s="2"/>
      <c r="H993" s="2"/>
      <c r="I993" s="2"/>
    </row>
    <row r="994" spans="2:9" ht="15.75" customHeight="1">
      <c r="B994" s="2"/>
      <c r="C994" s="2"/>
      <c r="D994" s="2"/>
      <c r="E994" s="2"/>
      <c r="F994" s="2"/>
      <c r="G994" s="2"/>
      <c r="H994" s="2"/>
      <c r="I994" s="2"/>
    </row>
    <row r="995" spans="2:9" ht="15.75" customHeight="1">
      <c r="B995" s="2"/>
      <c r="C995" s="2"/>
      <c r="D995" s="2"/>
      <c r="E995" s="2"/>
      <c r="F995" s="2"/>
      <c r="G995" s="2"/>
      <c r="H995" s="2"/>
      <c r="I995" s="2"/>
    </row>
    <row r="996" spans="2:9" ht="15.75" customHeight="1">
      <c r="B996" s="2"/>
      <c r="C996" s="2"/>
      <c r="D996" s="2"/>
      <c r="E996" s="2"/>
      <c r="F996" s="2"/>
      <c r="G996" s="2"/>
      <c r="H996" s="2"/>
      <c r="I996" s="2"/>
    </row>
    <row r="997" spans="2:9" ht="15.75" customHeight="1">
      <c r="B997" s="2"/>
      <c r="C997" s="2"/>
      <c r="D997" s="2"/>
      <c r="E997" s="2"/>
      <c r="F997" s="2"/>
      <c r="G997" s="2"/>
      <c r="H997" s="2"/>
      <c r="I997" s="2"/>
    </row>
    <row r="998" spans="2:9" ht="15.75" customHeight="1">
      <c r="B998" s="2"/>
      <c r="C998" s="2"/>
      <c r="D998" s="2"/>
      <c r="E998" s="2"/>
      <c r="F998" s="2"/>
      <c r="G998" s="2"/>
      <c r="H998" s="2"/>
      <c r="I998" s="2"/>
    </row>
    <row r="999" spans="2:9" ht="15.75" customHeight="1">
      <c r="B999" s="2"/>
      <c r="C999" s="2"/>
      <c r="D999" s="2"/>
      <c r="E999" s="2"/>
      <c r="F999" s="2"/>
      <c r="G999" s="2"/>
      <c r="H999" s="2"/>
      <c r="I999" s="2"/>
    </row>
    <row r="1000" spans="2:9" ht="15.75" customHeight="1">
      <c r="B1000" s="2"/>
      <c r="C1000" s="2"/>
      <c r="D1000" s="2"/>
      <c r="E1000" s="2"/>
      <c r="F1000" s="2"/>
      <c r="G1000" s="2"/>
      <c r="H1000" s="2"/>
      <c r="I1000" s="2"/>
    </row>
  </sheetData>
  <mergeCells count="2">
    <mergeCell ref="A2:I2"/>
    <mergeCell ref="A19:D19"/>
  </mergeCells>
  <hyperlinks>
    <hyperlink ref="A24" r:id="rId1" xr:uid="{00000000-0004-0000-0500-000000000000}"/>
  </hyperlink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dc:creator>
  <cp:keywords/>
  <dc:description/>
  <cp:lastModifiedBy/>
  <cp:revision/>
  <dcterms:created xsi:type="dcterms:W3CDTF">2026-06-20T13:23:48Z</dcterms:created>
  <dcterms:modified xsi:type="dcterms:W3CDTF">2026-09-14T12:50:04Z</dcterms:modified>
  <cp:category/>
  <cp:contentStatus/>
</cp:coreProperties>
</file>